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pro/Documents/Intern/NISTI/"/>
    </mc:Choice>
  </mc:AlternateContent>
  <xr:revisionPtr revIDLastSave="0" documentId="8_{DA4095E6-0951-924A-9334-3578B0E6F5E1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Parameter Price List" sheetId="1" r:id="rId1"/>
    <sheet name="Service Data" sheetId="2" r:id="rId2"/>
  </sheets>
  <definedNames>
    <definedName name="_xlnm._FilterDatabase" localSheetId="1" hidden="1">'Service Data'!$A$1:$W$2001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" i="2"/>
  <c r="R1365" i="2"/>
  <c r="P868" i="2"/>
  <c r="R868" i="2" s="1"/>
  <c r="P869" i="2"/>
  <c r="R869" i="2" s="1"/>
  <c r="P870" i="2"/>
  <c r="R870" i="2" s="1"/>
  <c r="P871" i="2"/>
  <c r="R871" i="2" s="1"/>
  <c r="P824" i="2"/>
  <c r="R824" i="2" s="1"/>
  <c r="P825" i="2"/>
  <c r="R825" i="2" s="1"/>
  <c r="P826" i="2"/>
  <c r="R826" i="2" s="1"/>
  <c r="P1048" i="2"/>
  <c r="R1048" i="2" s="1"/>
  <c r="P169" i="2"/>
  <c r="R169" i="2" s="1"/>
  <c r="P170" i="2"/>
  <c r="R170" i="2" s="1"/>
  <c r="P586" i="2"/>
  <c r="R586" i="2" s="1"/>
  <c r="P587" i="2"/>
  <c r="R587" i="2" s="1"/>
  <c r="P588" i="2"/>
  <c r="R588" i="2" s="1"/>
  <c r="P589" i="2"/>
  <c r="R589" i="2" s="1"/>
  <c r="P590" i="2"/>
  <c r="R590" i="2" s="1"/>
  <c r="P754" i="2"/>
  <c r="R754" i="2" s="1"/>
  <c r="P755" i="2"/>
  <c r="R755" i="2" s="1"/>
  <c r="P756" i="2"/>
  <c r="R756" i="2" s="1"/>
  <c r="P757" i="2"/>
  <c r="R757" i="2" s="1"/>
  <c r="P758" i="2"/>
  <c r="R758" i="2" s="1"/>
  <c r="P1900" i="2"/>
  <c r="R1900" i="2" s="1"/>
  <c r="P1901" i="2"/>
  <c r="R1901" i="2" s="1"/>
  <c r="P1902" i="2"/>
  <c r="R1902" i="2" s="1"/>
  <c r="P1903" i="2"/>
  <c r="R1903" i="2" s="1"/>
  <c r="P817" i="2"/>
  <c r="R817" i="2" s="1"/>
  <c r="P818" i="2"/>
  <c r="R818" i="2" s="1"/>
  <c r="P1770" i="2"/>
  <c r="R1770" i="2" s="1"/>
  <c r="P1771" i="2"/>
  <c r="R1771" i="2" s="1"/>
  <c r="P1775" i="2"/>
  <c r="R1775" i="2" s="1"/>
  <c r="P333" i="2"/>
  <c r="R333" i="2" s="1"/>
  <c r="P334" i="2"/>
  <c r="R334" i="2" s="1"/>
  <c r="P1298" i="2"/>
  <c r="R1298" i="2" s="1"/>
  <c r="P1299" i="2"/>
  <c r="R1299" i="2" s="1"/>
  <c r="P1300" i="2"/>
  <c r="R1300" i="2" s="1"/>
  <c r="P1301" i="2"/>
  <c r="R1301" i="2" s="1"/>
  <c r="P1302" i="2"/>
  <c r="R1302" i="2" s="1"/>
  <c r="P1334" i="2"/>
  <c r="R1334" i="2" s="1"/>
  <c r="P1335" i="2"/>
  <c r="R1335" i="2" s="1"/>
  <c r="P1336" i="2"/>
  <c r="R1336" i="2" s="1"/>
  <c r="P1337" i="2"/>
  <c r="R1337" i="2" s="1"/>
  <c r="P1338" i="2"/>
  <c r="R1338" i="2" s="1"/>
  <c r="P646" i="2"/>
  <c r="R646" i="2" s="1"/>
  <c r="P647" i="2"/>
  <c r="R647" i="2" s="1"/>
  <c r="P648" i="2"/>
  <c r="R648" i="2" s="1"/>
  <c r="P649" i="2"/>
  <c r="R649" i="2" s="1"/>
  <c r="P1926" i="2"/>
  <c r="R1926" i="2" s="1"/>
  <c r="P1927" i="2"/>
  <c r="R1927" i="2" s="1"/>
  <c r="P1928" i="2"/>
  <c r="R1928" i="2" s="1"/>
  <c r="P1929" i="2"/>
  <c r="R1929" i="2" s="1"/>
  <c r="P1930" i="2"/>
  <c r="R1930" i="2" s="1"/>
  <c r="P537" i="2"/>
  <c r="R537" i="2" s="1"/>
  <c r="P538" i="2"/>
  <c r="R538" i="2" s="1"/>
  <c r="P819" i="2"/>
  <c r="R819" i="2" s="1"/>
  <c r="P820" i="2"/>
  <c r="R820" i="2" s="1"/>
  <c r="P821" i="2"/>
  <c r="R821" i="2" s="1"/>
  <c r="P1017" i="2"/>
  <c r="R1017" i="2" s="1"/>
  <c r="P1072" i="2"/>
  <c r="R1072" i="2" s="1"/>
  <c r="P1073" i="2"/>
  <c r="R1073" i="2" s="1"/>
  <c r="P1074" i="2"/>
  <c r="R1074" i="2" s="1"/>
  <c r="P1756" i="2"/>
  <c r="R1756" i="2" s="1"/>
  <c r="P1757" i="2"/>
  <c r="R1757" i="2" s="1"/>
  <c r="P1758" i="2"/>
  <c r="R1758" i="2" s="1"/>
  <c r="P1759" i="2"/>
  <c r="R1759" i="2" s="1"/>
  <c r="P1760" i="2"/>
  <c r="R1760" i="2" s="1"/>
  <c r="P1695" i="2"/>
  <c r="R1695" i="2" s="1"/>
  <c r="P1696" i="2"/>
  <c r="R1696" i="2" s="1"/>
  <c r="P1095" i="2"/>
  <c r="R1095" i="2" s="1"/>
  <c r="P1096" i="2"/>
  <c r="R1096" i="2" s="1"/>
  <c r="P1097" i="2"/>
  <c r="R1097" i="2" s="1"/>
  <c r="P1098" i="2"/>
  <c r="R1098" i="2" s="1"/>
  <c r="P1099" i="2"/>
  <c r="R1099" i="2" s="1"/>
  <c r="P550" i="2"/>
  <c r="R550" i="2" s="1"/>
  <c r="P551" i="2"/>
  <c r="R551" i="2" s="1"/>
  <c r="P552" i="2"/>
  <c r="R552" i="2" s="1"/>
  <c r="P553" i="2"/>
  <c r="R553" i="2" s="1"/>
  <c r="P559" i="2"/>
  <c r="R559" i="2" s="1"/>
  <c r="P679" i="2"/>
  <c r="R679" i="2" s="1"/>
  <c r="P680" i="2"/>
  <c r="R680" i="2" s="1"/>
  <c r="P681" i="2"/>
  <c r="R681" i="2" s="1"/>
  <c r="P682" i="2"/>
  <c r="R682" i="2" s="1"/>
  <c r="P148" i="2"/>
  <c r="R148" i="2" s="1"/>
  <c r="P1577" i="2"/>
  <c r="R1577" i="2" s="1"/>
  <c r="P1578" i="2"/>
  <c r="R1578" i="2" s="1"/>
  <c r="P1579" i="2"/>
  <c r="R1579" i="2" s="1"/>
  <c r="P1580" i="2"/>
  <c r="R1580" i="2" s="1"/>
  <c r="P1220" i="2"/>
  <c r="R1220" i="2" s="1"/>
  <c r="P1221" i="2"/>
  <c r="R1221" i="2" s="1"/>
  <c r="P1222" i="2"/>
  <c r="R1222" i="2" s="1"/>
  <c r="P1223" i="2"/>
  <c r="R1223" i="2" s="1"/>
  <c r="P1224" i="2"/>
  <c r="R1224" i="2" s="1"/>
  <c r="P961" i="2"/>
  <c r="R961" i="2" s="1"/>
  <c r="P962" i="2"/>
  <c r="R962" i="2" s="1"/>
  <c r="P963" i="2"/>
  <c r="R963" i="2" s="1"/>
  <c r="P964" i="2"/>
  <c r="R964" i="2" s="1"/>
  <c r="P965" i="2"/>
  <c r="R965" i="2" s="1"/>
  <c r="P171" i="2"/>
  <c r="R171" i="2" s="1"/>
  <c r="P1527" i="2"/>
  <c r="R1527" i="2" s="1"/>
  <c r="P753" i="2"/>
  <c r="R753" i="2" s="1"/>
  <c r="P657" i="2"/>
  <c r="R657" i="2" s="1"/>
  <c r="P1776" i="2"/>
  <c r="R1776" i="2" s="1"/>
  <c r="P1777" i="2"/>
  <c r="R1777" i="2" s="1"/>
  <c r="P1778" i="2"/>
  <c r="R1778" i="2" s="1"/>
  <c r="P1375" i="2"/>
  <c r="R1375" i="2" s="1"/>
  <c r="P117" i="2"/>
  <c r="R117" i="2" s="1"/>
  <c r="P118" i="2"/>
  <c r="R118" i="2" s="1"/>
  <c r="P1853" i="2"/>
  <c r="R1853" i="2" s="1"/>
  <c r="P1854" i="2"/>
  <c r="R1854" i="2" s="1"/>
  <c r="P1769" i="2"/>
  <c r="R1769" i="2" s="1"/>
  <c r="P214" i="2"/>
  <c r="R214" i="2" s="1"/>
  <c r="P215" i="2"/>
  <c r="R215" i="2" s="1"/>
  <c r="P216" i="2"/>
  <c r="R216" i="2" s="1"/>
  <c r="P217" i="2"/>
  <c r="R217" i="2" s="1"/>
  <c r="P609" i="2"/>
  <c r="R609" i="2" s="1"/>
  <c r="P1306" i="2"/>
  <c r="R1306" i="2" s="1"/>
  <c r="P1307" i="2"/>
  <c r="R1307" i="2" s="1"/>
  <c r="P1308" i="2"/>
  <c r="R1308" i="2" s="1"/>
  <c r="P1309" i="2"/>
  <c r="R1309" i="2" s="1"/>
  <c r="P1310" i="2"/>
  <c r="R1310" i="2" s="1"/>
  <c r="P1435" i="2"/>
  <c r="R1435" i="2" s="1"/>
  <c r="P1436" i="2"/>
  <c r="R1436" i="2" s="1"/>
  <c r="P1437" i="2"/>
  <c r="R1437" i="2" s="1"/>
  <c r="P1438" i="2"/>
  <c r="R1438" i="2" s="1"/>
  <c r="P998" i="2"/>
  <c r="R998" i="2" s="1"/>
  <c r="P999" i="2"/>
  <c r="R999" i="2" s="1"/>
  <c r="P292" i="2"/>
  <c r="R292" i="2" s="1"/>
  <c r="P293" i="2"/>
  <c r="R293" i="2" s="1"/>
  <c r="P1595" i="2"/>
  <c r="R1595" i="2" s="1"/>
  <c r="P1596" i="2"/>
  <c r="R1596" i="2" s="1"/>
  <c r="P1597" i="2"/>
  <c r="R1597" i="2" s="1"/>
  <c r="P1598" i="2"/>
  <c r="R1598" i="2" s="1"/>
  <c r="P1831" i="2"/>
  <c r="R1831" i="2" s="1"/>
  <c r="P1832" i="2"/>
  <c r="R1832" i="2" s="1"/>
  <c r="P1833" i="2"/>
  <c r="R1833" i="2" s="1"/>
  <c r="P1834" i="2"/>
  <c r="R1834" i="2" s="1"/>
  <c r="P1367" i="2"/>
  <c r="R1367" i="2" s="1"/>
  <c r="P631" i="2"/>
  <c r="R631" i="2" s="1"/>
  <c r="P632" i="2"/>
  <c r="R632" i="2" s="1"/>
  <c r="P633" i="2"/>
  <c r="R633" i="2" s="1"/>
  <c r="P1840" i="2"/>
  <c r="R1840" i="2" s="1"/>
  <c r="P1841" i="2"/>
  <c r="R1841" i="2" s="1"/>
  <c r="P1842" i="2"/>
  <c r="R1842" i="2" s="1"/>
  <c r="P1172" i="2"/>
  <c r="R1172" i="2" s="1"/>
  <c r="P1519" i="2"/>
  <c r="R1519" i="2" s="1"/>
  <c r="P1100" i="2"/>
  <c r="R1100" i="2" s="1"/>
  <c r="P1173" i="2"/>
  <c r="R1173" i="2" s="1"/>
  <c r="P1174" i="2"/>
  <c r="R1174" i="2" s="1"/>
  <c r="P1175" i="2"/>
  <c r="R1175" i="2" s="1"/>
  <c r="P1176" i="2"/>
  <c r="R1176" i="2" s="1"/>
  <c r="P1257" i="2"/>
  <c r="R1257" i="2" s="1"/>
  <c r="P1258" i="2"/>
  <c r="R1258" i="2" s="1"/>
  <c r="P1259" i="2"/>
  <c r="R1259" i="2" s="1"/>
  <c r="P141" i="2"/>
  <c r="R141" i="2" s="1"/>
  <c r="P142" i="2"/>
  <c r="R142" i="2" s="1"/>
  <c r="P751" i="2"/>
  <c r="R751" i="2" s="1"/>
  <c r="P752" i="2"/>
  <c r="R752" i="2" s="1"/>
  <c r="P315" i="2"/>
  <c r="R315" i="2" s="1"/>
  <c r="P1599" i="2"/>
  <c r="R1599" i="2" s="1"/>
  <c r="P1600" i="2"/>
  <c r="R1600" i="2" s="1"/>
  <c r="P1601" i="2"/>
  <c r="R1601" i="2" s="1"/>
  <c r="P1602" i="2"/>
  <c r="R1602" i="2" s="1"/>
  <c r="P1453" i="2"/>
  <c r="R1453" i="2" s="1"/>
  <c r="P1785" i="2"/>
  <c r="R1785" i="2" s="1"/>
  <c r="P1786" i="2"/>
  <c r="R1786" i="2" s="1"/>
  <c r="P1787" i="2"/>
  <c r="R1787" i="2" s="1"/>
  <c r="P1788" i="2"/>
  <c r="R1788" i="2" s="1"/>
  <c r="P1481" i="2"/>
  <c r="R1481" i="2" s="1"/>
  <c r="P1482" i="2"/>
  <c r="R1482" i="2" s="1"/>
  <c r="P1483" i="2"/>
  <c r="R1483" i="2" s="1"/>
  <c r="P1484" i="2"/>
  <c r="R1484" i="2" s="1"/>
  <c r="P966" i="2"/>
  <c r="R966" i="2" s="1"/>
  <c r="P967" i="2"/>
  <c r="R967" i="2" s="1"/>
  <c r="P968" i="2"/>
  <c r="R968" i="2" s="1"/>
  <c r="P969" i="2"/>
  <c r="R969" i="2" s="1"/>
  <c r="P970" i="2"/>
  <c r="R970" i="2" s="1"/>
  <c r="P1113" i="2"/>
  <c r="R1113" i="2" s="1"/>
  <c r="P1114" i="2"/>
  <c r="R1114" i="2" s="1"/>
  <c r="P1115" i="2"/>
  <c r="R1115" i="2" s="1"/>
  <c r="P396" i="2"/>
  <c r="R396" i="2" s="1"/>
  <c r="P1603" i="2"/>
  <c r="R1603" i="2" s="1"/>
  <c r="P1604" i="2"/>
  <c r="R1604" i="2" s="1"/>
  <c r="P1605" i="2"/>
  <c r="R1605" i="2" s="1"/>
  <c r="P1368" i="2"/>
  <c r="R1368" i="2" s="1"/>
  <c r="P1369" i="2"/>
  <c r="R1369" i="2" s="1"/>
  <c r="P1267" i="2"/>
  <c r="R1267" i="2" s="1"/>
  <c r="P1268" i="2"/>
  <c r="R1268" i="2" s="1"/>
  <c r="P1269" i="2"/>
  <c r="R1269" i="2" s="1"/>
  <c r="P1270" i="2"/>
  <c r="R1270" i="2" s="1"/>
  <c r="P1449" i="2"/>
  <c r="R1449" i="2" s="1"/>
  <c r="P1450" i="2"/>
  <c r="R1450" i="2" s="1"/>
  <c r="P1451" i="2"/>
  <c r="R1451" i="2" s="1"/>
  <c r="P1979" i="2"/>
  <c r="R1979" i="2" s="1"/>
  <c r="P1021" i="2"/>
  <c r="R1021" i="2" s="1"/>
  <c r="P1022" i="2"/>
  <c r="R1022" i="2" s="1"/>
  <c r="P1023" i="2"/>
  <c r="R1023" i="2" s="1"/>
  <c r="P1024" i="2"/>
  <c r="R1024" i="2" s="1"/>
  <c r="P478" i="2"/>
  <c r="R478" i="2" s="1"/>
  <c r="P479" i="2"/>
  <c r="R479" i="2" s="1"/>
  <c r="P480" i="2"/>
  <c r="R480" i="2" s="1"/>
  <c r="P481" i="2"/>
  <c r="R481" i="2" s="1"/>
  <c r="P482" i="2"/>
  <c r="R482" i="2" s="1"/>
  <c r="P1628" i="2"/>
  <c r="R1628" i="2" s="1"/>
  <c r="P1629" i="2"/>
  <c r="R1629" i="2" s="1"/>
  <c r="P1630" i="2"/>
  <c r="R1630" i="2" s="1"/>
  <c r="P1564" i="2"/>
  <c r="R1564" i="2" s="1"/>
  <c r="P623" i="2"/>
  <c r="R623" i="2" s="1"/>
  <c r="P624" i="2"/>
  <c r="R624" i="2" s="1"/>
  <c r="P625" i="2"/>
  <c r="R625" i="2" s="1"/>
  <c r="P626" i="2"/>
  <c r="R626" i="2" s="1"/>
  <c r="P435" i="2"/>
  <c r="R435" i="2" s="1"/>
  <c r="P436" i="2"/>
  <c r="R436" i="2" s="1"/>
  <c r="P846" i="2"/>
  <c r="R846" i="2" s="1"/>
  <c r="P847" i="2"/>
  <c r="R847" i="2" s="1"/>
  <c r="P848" i="2"/>
  <c r="R848" i="2" s="1"/>
  <c r="P849" i="2"/>
  <c r="R849" i="2" s="1"/>
  <c r="P381" i="2"/>
  <c r="R381" i="2" s="1"/>
  <c r="P247" i="2"/>
  <c r="R247" i="2" s="1"/>
  <c r="P248" i="2"/>
  <c r="R248" i="2" s="1"/>
  <c r="P1864" i="2"/>
  <c r="R1864" i="2" s="1"/>
  <c r="P1865" i="2"/>
  <c r="R1865" i="2" s="1"/>
  <c r="P1866" i="2"/>
  <c r="R1866" i="2" s="1"/>
  <c r="P591" i="2"/>
  <c r="R591" i="2" s="1"/>
  <c r="P592" i="2"/>
  <c r="R592" i="2" s="1"/>
  <c r="P1761" i="2"/>
  <c r="R1761" i="2" s="1"/>
  <c r="P1762" i="2"/>
  <c r="R1762" i="2" s="1"/>
  <c r="P1763" i="2"/>
  <c r="R1763" i="2" s="1"/>
  <c r="P335" i="2"/>
  <c r="R335" i="2" s="1"/>
  <c r="P336" i="2"/>
  <c r="R336" i="2" s="1"/>
  <c r="P337" i="2"/>
  <c r="R337" i="2" s="1"/>
  <c r="P113" i="2"/>
  <c r="R113" i="2" s="1"/>
  <c r="P114" i="2"/>
  <c r="R114" i="2" s="1"/>
  <c r="P115" i="2"/>
  <c r="R115" i="2" s="1"/>
  <c r="P382" i="2"/>
  <c r="R382" i="2" s="1"/>
  <c r="P383" i="2"/>
  <c r="R383" i="2" s="1"/>
  <c r="P1225" i="2"/>
  <c r="R1225" i="2" s="1"/>
  <c r="P1226" i="2"/>
  <c r="R1226" i="2" s="1"/>
  <c r="P1227" i="2"/>
  <c r="R1227" i="2" s="1"/>
  <c r="P1228" i="2"/>
  <c r="R1228" i="2" s="1"/>
  <c r="P1229" i="2"/>
  <c r="R1229" i="2" s="1"/>
  <c r="P1196" i="2"/>
  <c r="R1196" i="2" s="1"/>
  <c r="P1197" i="2"/>
  <c r="R1197" i="2" s="1"/>
  <c r="P1198" i="2"/>
  <c r="R1198" i="2" s="1"/>
  <c r="P1199" i="2"/>
  <c r="R1199" i="2" s="1"/>
  <c r="P129" i="2"/>
  <c r="R129" i="2" s="1"/>
  <c r="P130" i="2"/>
  <c r="R130" i="2" s="1"/>
  <c r="P131" i="2"/>
  <c r="R131" i="2" s="1"/>
  <c r="P132" i="2"/>
  <c r="R132" i="2" s="1"/>
  <c r="P133" i="2"/>
  <c r="R133" i="2" s="1"/>
  <c r="P1889" i="2"/>
  <c r="R1889" i="2" s="1"/>
  <c r="P1890" i="2"/>
  <c r="R1890" i="2" s="1"/>
  <c r="P1891" i="2"/>
  <c r="R1891" i="2" s="1"/>
  <c r="P1892" i="2"/>
  <c r="R1892" i="2" s="1"/>
  <c r="P1893" i="2"/>
  <c r="R1893" i="2" s="1"/>
  <c r="P172" i="2"/>
  <c r="R172" i="2" s="1"/>
  <c r="P839" i="2"/>
  <c r="R839" i="2" s="1"/>
  <c r="P840" i="2"/>
  <c r="R840" i="2" s="1"/>
  <c r="P346" i="2"/>
  <c r="R346" i="2" s="1"/>
  <c r="P827" i="2"/>
  <c r="R827" i="2" s="1"/>
  <c r="P92" i="2"/>
  <c r="R92" i="2" s="1"/>
  <c r="P93" i="2"/>
  <c r="R93" i="2" s="1"/>
  <c r="P94" i="2"/>
  <c r="R94" i="2" s="1"/>
  <c r="P95" i="2"/>
  <c r="R95" i="2" s="1"/>
  <c r="P96" i="2"/>
  <c r="R96" i="2" s="1"/>
  <c r="P1894" i="2"/>
  <c r="R1894" i="2" s="1"/>
  <c r="P73" i="2"/>
  <c r="R73" i="2" s="1"/>
  <c r="P74" i="2"/>
  <c r="R74" i="2" s="1"/>
  <c r="P75" i="2"/>
  <c r="R75" i="2" s="1"/>
  <c r="P76" i="2"/>
  <c r="R76" i="2" s="1"/>
  <c r="P77" i="2"/>
  <c r="R77" i="2" s="1"/>
  <c r="P1317" i="2"/>
  <c r="R1317" i="2" s="1"/>
  <c r="P1318" i="2"/>
  <c r="R1318" i="2" s="1"/>
  <c r="P1508" i="2"/>
  <c r="R1508" i="2" s="1"/>
  <c r="P1509" i="2"/>
  <c r="R1509" i="2" s="1"/>
  <c r="P1510" i="2"/>
  <c r="R1510" i="2" s="1"/>
  <c r="P1511" i="2"/>
  <c r="R1511" i="2" s="1"/>
  <c r="P1512" i="2"/>
  <c r="R1512" i="2" s="1"/>
  <c r="P1452" i="2"/>
  <c r="R1452" i="2" s="1"/>
  <c r="P640" i="2"/>
  <c r="R640" i="2" s="1"/>
  <c r="P641" i="2"/>
  <c r="R641" i="2" s="1"/>
  <c r="P642" i="2"/>
  <c r="R642" i="2" s="1"/>
  <c r="P1075" i="2"/>
  <c r="R1075" i="2" s="1"/>
  <c r="P1076" i="2"/>
  <c r="R1076" i="2" s="1"/>
  <c r="P1077" i="2"/>
  <c r="R1077" i="2" s="1"/>
  <c r="P911" i="2"/>
  <c r="R911" i="2" s="1"/>
  <c r="P555" i="2"/>
  <c r="R555" i="2" s="1"/>
  <c r="P556" i="2"/>
  <c r="R556" i="2" s="1"/>
  <c r="P557" i="2"/>
  <c r="R557" i="2" s="1"/>
  <c r="P558" i="2"/>
  <c r="R558" i="2" s="1"/>
  <c r="P1252" i="2"/>
  <c r="R1252" i="2" s="1"/>
  <c r="P1025" i="2"/>
  <c r="R1025" i="2" s="1"/>
  <c r="P1026" i="2"/>
  <c r="R1026" i="2" s="1"/>
  <c r="P1027" i="2"/>
  <c r="R1027" i="2" s="1"/>
  <c r="P338" i="2"/>
  <c r="R338" i="2" s="1"/>
  <c r="P339" i="2"/>
  <c r="R339" i="2" s="1"/>
  <c r="P340" i="2"/>
  <c r="R340" i="2" s="1"/>
  <c r="P1924" i="2"/>
  <c r="R1924" i="2" s="1"/>
  <c r="P1925" i="2"/>
  <c r="R1925" i="2" s="1"/>
  <c r="P149" i="2"/>
  <c r="R149" i="2" s="1"/>
  <c r="P150" i="2"/>
  <c r="R150" i="2" s="1"/>
  <c r="P151" i="2"/>
  <c r="R151" i="2" s="1"/>
  <c r="P152" i="2"/>
  <c r="R152" i="2" s="1"/>
  <c r="P933" i="2"/>
  <c r="R933" i="2" s="1"/>
  <c r="P1339" i="2"/>
  <c r="R1339" i="2" s="1"/>
  <c r="P1440" i="2"/>
  <c r="R1440" i="2" s="1"/>
  <c r="P1441" i="2"/>
  <c r="R1441" i="2" s="1"/>
  <c r="P1442" i="2"/>
  <c r="R1442" i="2" s="1"/>
  <c r="P1443" i="2"/>
  <c r="R1443" i="2" s="1"/>
  <c r="P1444" i="2"/>
  <c r="R1444" i="2" s="1"/>
  <c r="P984" i="2"/>
  <c r="R984" i="2" s="1"/>
  <c r="P1101" i="2"/>
  <c r="R1101" i="2" s="1"/>
  <c r="P1102" i="2"/>
  <c r="R1102" i="2" s="1"/>
  <c r="P1103" i="2"/>
  <c r="R1103" i="2" s="1"/>
  <c r="P447" i="2"/>
  <c r="R447" i="2" s="1"/>
  <c r="P448" i="2"/>
  <c r="R448" i="2" s="1"/>
  <c r="P449" i="2"/>
  <c r="R449" i="2" s="1"/>
  <c r="P1363" i="2"/>
  <c r="R1363" i="2" s="1"/>
  <c r="P1364" i="2"/>
  <c r="R1364" i="2" s="1"/>
  <c r="P1365" i="2"/>
  <c r="P720" i="2"/>
  <c r="R720" i="2" s="1"/>
  <c r="P721" i="2"/>
  <c r="R721" i="2" s="1"/>
  <c r="P722" i="2"/>
  <c r="R722" i="2" s="1"/>
  <c r="P723" i="2"/>
  <c r="R723" i="2" s="1"/>
  <c r="P724" i="2"/>
  <c r="R724" i="2" s="1"/>
  <c r="P742" i="2"/>
  <c r="R742" i="2" s="1"/>
  <c r="P743" i="2"/>
  <c r="R743" i="2" s="1"/>
  <c r="P744" i="2"/>
  <c r="R744" i="2" s="1"/>
  <c r="P437" i="2"/>
  <c r="R437" i="2" s="1"/>
  <c r="P438" i="2"/>
  <c r="R438" i="2" s="1"/>
  <c r="P439" i="2"/>
  <c r="R439" i="2" s="1"/>
  <c r="P440" i="2"/>
  <c r="R440" i="2" s="1"/>
  <c r="P56" i="2"/>
  <c r="R56" i="2" s="1"/>
  <c r="P57" i="2"/>
  <c r="R57" i="2" s="1"/>
  <c r="P58" i="2"/>
  <c r="R58" i="2" s="1"/>
  <c r="P59" i="2"/>
  <c r="R59" i="2" s="1"/>
  <c r="P60" i="2"/>
  <c r="R60" i="2" s="1"/>
  <c r="P1871" i="2"/>
  <c r="R1871" i="2" s="1"/>
  <c r="P1872" i="2"/>
  <c r="R1872" i="2" s="1"/>
  <c r="P1551" i="2"/>
  <c r="R1551" i="2" s="1"/>
  <c r="P1552" i="2"/>
  <c r="R1552" i="2" s="1"/>
  <c r="P1553" i="2"/>
  <c r="R1553" i="2" s="1"/>
  <c r="P1554" i="2"/>
  <c r="R1554" i="2" s="1"/>
  <c r="P1263" i="2"/>
  <c r="R1263" i="2" s="1"/>
  <c r="P1520" i="2"/>
  <c r="R1520" i="2" s="1"/>
  <c r="P1521" i="2"/>
  <c r="R1521" i="2" s="1"/>
  <c r="P1522" i="2"/>
  <c r="R1522" i="2" s="1"/>
  <c r="P1802" i="2"/>
  <c r="R1802" i="2" s="1"/>
  <c r="P912" i="2"/>
  <c r="R912" i="2" s="1"/>
  <c r="P913" i="2"/>
  <c r="R913" i="2" s="1"/>
  <c r="P914" i="2"/>
  <c r="R914" i="2" s="1"/>
  <c r="P915" i="2"/>
  <c r="R915" i="2" s="1"/>
  <c r="P916" i="2"/>
  <c r="R916" i="2" s="1"/>
  <c r="P934" i="2"/>
  <c r="R934" i="2" s="1"/>
  <c r="P935" i="2"/>
  <c r="R935" i="2" s="1"/>
  <c r="P936" i="2"/>
  <c r="R936" i="2" s="1"/>
  <c r="P937" i="2"/>
  <c r="R937" i="2" s="1"/>
  <c r="P1211" i="2"/>
  <c r="R1211" i="2" s="1"/>
  <c r="P516" i="2"/>
  <c r="R516" i="2" s="1"/>
  <c r="P517" i="2"/>
  <c r="R517" i="2" s="1"/>
  <c r="P518" i="2"/>
  <c r="R518" i="2" s="1"/>
  <c r="P519" i="2"/>
  <c r="R519" i="2" s="1"/>
  <c r="P520" i="2"/>
  <c r="R520" i="2" s="1"/>
  <c r="P1619" i="2"/>
  <c r="R1619" i="2" s="1"/>
  <c r="P703" i="2"/>
  <c r="R703" i="2" s="1"/>
  <c r="P704" i="2"/>
  <c r="R704" i="2" s="1"/>
  <c r="P705" i="2"/>
  <c r="R705" i="2" s="1"/>
  <c r="P1590" i="2"/>
  <c r="R1590" i="2" s="1"/>
  <c r="P1591" i="2"/>
  <c r="R1591" i="2" s="1"/>
  <c r="P1592" i="2"/>
  <c r="R1592" i="2" s="1"/>
  <c r="P1264" i="2"/>
  <c r="R1264" i="2" s="1"/>
  <c r="P1265" i="2"/>
  <c r="R1265" i="2" s="1"/>
  <c r="P1011" i="2"/>
  <c r="R1011" i="2" s="1"/>
  <c r="P1012" i="2"/>
  <c r="R1012" i="2" s="1"/>
  <c r="P1013" i="2"/>
  <c r="R1013" i="2" s="1"/>
  <c r="P1403" i="2"/>
  <c r="R1403" i="2" s="1"/>
  <c r="P1404" i="2"/>
  <c r="R1404" i="2" s="1"/>
  <c r="P1154" i="2"/>
  <c r="R1154" i="2" s="1"/>
  <c r="P1155" i="2"/>
  <c r="R1155" i="2" s="1"/>
  <c r="P1156" i="2"/>
  <c r="R1156" i="2" s="1"/>
  <c r="P1445" i="2"/>
  <c r="R1445" i="2" s="1"/>
  <c r="P1446" i="2"/>
  <c r="R1446" i="2" s="1"/>
  <c r="P1447" i="2"/>
  <c r="R1447" i="2" s="1"/>
  <c r="P1448" i="2"/>
  <c r="R1448" i="2" s="1"/>
  <c r="P1952" i="2"/>
  <c r="R1952" i="2" s="1"/>
  <c r="P1953" i="2"/>
  <c r="R1953" i="2" s="1"/>
  <c r="P1954" i="2"/>
  <c r="R1954" i="2" s="1"/>
  <c r="P1955" i="2"/>
  <c r="R1955" i="2" s="1"/>
  <c r="P301" i="2"/>
  <c r="R301" i="2" s="1"/>
  <c r="P252" i="2"/>
  <c r="R252" i="2" s="1"/>
  <c r="P253" i="2"/>
  <c r="R253" i="2" s="1"/>
  <c r="P1157" i="2"/>
  <c r="R1157" i="2" s="1"/>
  <c r="P1158" i="2"/>
  <c r="R1158" i="2" s="1"/>
  <c r="P1159" i="2"/>
  <c r="R1159" i="2" s="1"/>
  <c r="P1160" i="2"/>
  <c r="R1160" i="2" s="1"/>
  <c r="P1636" i="2"/>
  <c r="R1636" i="2" s="1"/>
  <c r="P1637" i="2"/>
  <c r="R1637" i="2" s="1"/>
  <c r="P1638" i="2"/>
  <c r="R1638" i="2" s="1"/>
  <c r="P1639" i="2"/>
  <c r="R1639" i="2" s="1"/>
  <c r="P1640" i="2"/>
  <c r="R1640" i="2" s="1"/>
  <c r="P1631" i="2"/>
  <c r="R1631" i="2" s="1"/>
  <c r="P1632" i="2"/>
  <c r="R1632" i="2" s="1"/>
  <c r="P1725" i="2"/>
  <c r="R1725" i="2" s="1"/>
  <c r="P1726" i="2"/>
  <c r="R1726" i="2" s="1"/>
  <c r="P1727" i="2"/>
  <c r="R1727" i="2" s="1"/>
  <c r="P1728" i="2"/>
  <c r="R1728" i="2" s="1"/>
  <c r="P1729" i="2"/>
  <c r="R1729" i="2" s="1"/>
  <c r="P1291" i="2"/>
  <c r="R1291" i="2" s="1"/>
  <c r="P1292" i="2"/>
  <c r="R1292" i="2" s="1"/>
  <c r="P1293" i="2"/>
  <c r="R1293" i="2" s="1"/>
  <c r="P1294" i="2"/>
  <c r="R1294" i="2" s="1"/>
  <c r="P1295" i="2"/>
  <c r="R1295" i="2" s="1"/>
  <c r="P368" i="2"/>
  <c r="R368" i="2" s="1"/>
  <c r="P369" i="2"/>
  <c r="R369" i="2" s="1"/>
  <c r="P1351" i="2"/>
  <c r="R1351" i="2" s="1"/>
  <c r="P1352" i="2"/>
  <c r="R1352" i="2" s="1"/>
  <c r="P1353" i="2"/>
  <c r="R1353" i="2" s="1"/>
  <c r="P1354" i="2"/>
  <c r="R1354" i="2" s="1"/>
  <c r="P1374" i="2"/>
  <c r="R1374" i="2" s="1"/>
  <c r="P294" i="2"/>
  <c r="R294" i="2" s="1"/>
  <c r="P295" i="2"/>
  <c r="R295" i="2" s="1"/>
  <c r="P296" i="2"/>
  <c r="R296" i="2" s="1"/>
  <c r="P297" i="2"/>
  <c r="R297" i="2" s="1"/>
  <c r="P12" i="2"/>
  <c r="R12" i="2" s="1"/>
  <c r="P13" i="2"/>
  <c r="R13" i="2" s="1"/>
  <c r="P14" i="2"/>
  <c r="R14" i="2" s="1"/>
  <c r="P15" i="2"/>
  <c r="R15" i="2" s="1"/>
  <c r="P441" i="2"/>
  <c r="R441" i="2" s="1"/>
  <c r="P442" i="2"/>
  <c r="R442" i="2" s="1"/>
  <c r="P443" i="2"/>
  <c r="R443" i="2" s="1"/>
  <c r="P444" i="2"/>
  <c r="R444" i="2" s="1"/>
  <c r="P445" i="2"/>
  <c r="R445" i="2" s="1"/>
  <c r="P985" i="2"/>
  <c r="R985" i="2" s="1"/>
  <c r="P986" i="2"/>
  <c r="R986" i="2" s="1"/>
  <c r="P987" i="2"/>
  <c r="R987" i="2" s="1"/>
  <c r="P977" i="2"/>
  <c r="R977" i="2" s="1"/>
  <c r="P978" i="2"/>
  <c r="R978" i="2" s="1"/>
  <c r="P979" i="2"/>
  <c r="R979" i="2" s="1"/>
  <c r="P980" i="2"/>
  <c r="R980" i="2" s="1"/>
  <c r="P1810" i="2"/>
  <c r="R1810" i="2" s="1"/>
  <c r="P1811" i="2"/>
  <c r="R1811" i="2" s="1"/>
  <c r="P1812" i="2"/>
  <c r="R1812" i="2" s="1"/>
  <c r="P1813" i="2"/>
  <c r="R1813" i="2" s="1"/>
  <c r="P1814" i="2"/>
  <c r="R1814" i="2" s="1"/>
  <c r="P1116" i="2"/>
  <c r="R1116" i="2" s="1"/>
  <c r="P1117" i="2"/>
  <c r="R1117" i="2" s="1"/>
  <c r="P1118" i="2"/>
  <c r="R1118" i="2" s="1"/>
  <c r="P762" i="2"/>
  <c r="R762" i="2" s="1"/>
  <c r="P763" i="2"/>
  <c r="R763" i="2" s="1"/>
  <c r="P764" i="2"/>
  <c r="R764" i="2" s="1"/>
  <c r="P765" i="2"/>
  <c r="R765" i="2" s="1"/>
  <c r="P107" i="2"/>
  <c r="R107" i="2" s="1"/>
  <c r="P108" i="2"/>
  <c r="R108" i="2" s="1"/>
  <c r="P109" i="2"/>
  <c r="R109" i="2" s="1"/>
  <c r="P6" i="2"/>
  <c r="R6" i="2" s="1"/>
  <c r="P1454" i="2"/>
  <c r="R1454" i="2" s="1"/>
  <c r="P1455" i="2"/>
  <c r="R1455" i="2" s="1"/>
  <c r="P1456" i="2"/>
  <c r="R1456" i="2" s="1"/>
  <c r="P1457" i="2"/>
  <c r="R1457" i="2" s="1"/>
  <c r="P1815" i="2"/>
  <c r="R1815" i="2" s="1"/>
  <c r="P1816" i="2"/>
  <c r="R1816" i="2" s="1"/>
  <c r="P1817" i="2"/>
  <c r="R1817" i="2" s="1"/>
  <c r="P1818" i="2"/>
  <c r="R1818" i="2" s="1"/>
  <c r="P1819" i="2"/>
  <c r="R1819" i="2" s="1"/>
  <c r="P1311" i="2"/>
  <c r="R1311" i="2" s="1"/>
  <c r="P399" i="2"/>
  <c r="R399" i="2" s="1"/>
  <c r="P1895" i="2"/>
  <c r="R1895" i="2" s="1"/>
  <c r="P1355" i="2"/>
  <c r="R1355" i="2" s="1"/>
  <c r="P1356" i="2"/>
  <c r="R1356" i="2" s="1"/>
  <c r="P1873" i="2"/>
  <c r="R1873" i="2" s="1"/>
  <c r="P1874" i="2"/>
  <c r="R1874" i="2" s="1"/>
  <c r="P1697" i="2"/>
  <c r="R1697" i="2" s="1"/>
  <c r="P1167" i="2"/>
  <c r="R1167" i="2" s="1"/>
  <c r="P1168" i="2"/>
  <c r="R1168" i="2" s="1"/>
  <c r="P1169" i="2"/>
  <c r="R1169" i="2" s="1"/>
  <c r="P1170" i="2"/>
  <c r="R1170" i="2" s="1"/>
  <c r="P1171" i="2"/>
  <c r="R1171" i="2" s="1"/>
  <c r="P1650" i="2"/>
  <c r="R1650" i="2" s="1"/>
  <c r="P1651" i="2"/>
  <c r="R1651" i="2" s="1"/>
  <c r="P1652" i="2"/>
  <c r="R1652" i="2" s="1"/>
  <c r="P1653" i="2"/>
  <c r="R1653" i="2" s="1"/>
  <c r="P1654" i="2"/>
  <c r="R1654" i="2" s="1"/>
  <c r="P1773" i="2"/>
  <c r="R1773" i="2" s="1"/>
  <c r="P273" i="2"/>
  <c r="R273" i="2" s="1"/>
  <c r="P274" i="2"/>
  <c r="R274" i="2" s="1"/>
  <c r="P275" i="2"/>
  <c r="R275" i="2" s="1"/>
  <c r="P276" i="2"/>
  <c r="R276" i="2" s="1"/>
  <c r="P384" i="2"/>
  <c r="R384" i="2" s="1"/>
  <c r="P385" i="2"/>
  <c r="R385" i="2" s="1"/>
  <c r="P386" i="2"/>
  <c r="R386" i="2" s="1"/>
  <c r="P387" i="2"/>
  <c r="R387" i="2" s="1"/>
  <c r="P388" i="2"/>
  <c r="R388" i="2" s="1"/>
  <c r="P1397" i="2"/>
  <c r="R1397" i="2" s="1"/>
  <c r="P573" i="2"/>
  <c r="R573" i="2" s="1"/>
  <c r="P574" i="2"/>
  <c r="R574" i="2" s="1"/>
  <c r="P173" i="2"/>
  <c r="R173" i="2" s="1"/>
  <c r="P174" i="2"/>
  <c r="R174" i="2" s="1"/>
  <c r="P175" i="2"/>
  <c r="R175" i="2" s="1"/>
  <c r="P176" i="2"/>
  <c r="R176" i="2" s="1"/>
  <c r="P177" i="2"/>
  <c r="R177" i="2" s="1"/>
  <c r="P370" i="2"/>
  <c r="R370" i="2" s="1"/>
  <c r="P418" i="2"/>
  <c r="R418" i="2" s="1"/>
  <c r="P419" i="2"/>
  <c r="R419" i="2" s="1"/>
  <c r="P420" i="2"/>
  <c r="R420" i="2" s="1"/>
  <c r="P316" i="2"/>
  <c r="R316" i="2" s="1"/>
  <c r="P317" i="2"/>
  <c r="R317" i="2" s="1"/>
  <c r="P1565" i="2"/>
  <c r="R1565" i="2" s="1"/>
  <c r="P1566" i="2"/>
  <c r="R1566" i="2" s="1"/>
  <c r="P1567" i="2"/>
  <c r="R1567" i="2" s="1"/>
  <c r="P1568" i="2"/>
  <c r="R1568" i="2" s="1"/>
  <c r="P1569" i="2"/>
  <c r="R1569" i="2" s="1"/>
  <c r="P1212" i="2"/>
  <c r="R1212" i="2" s="1"/>
  <c r="P1213" i="2"/>
  <c r="R1213" i="2" s="1"/>
  <c r="P1214" i="2"/>
  <c r="R1214" i="2" s="1"/>
  <c r="P1215" i="2"/>
  <c r="R1215" i="2" s="1"/>
  <c r="P1216" i="2"/>
  <c r="R1216" i="2" s="1"/>
  <c r="P938" i="2"/>
  <c r="R938" i="2" s="1"/>
  <c r="P696" i="2"/>
  <c r="R696" i="2" s="1"/>
  <c r="P1655" i="2"/>
  <c r="R1655" i="2" s="1"/>
  <c r="P1656" i="2"/>
  <c r="R1656" i="2" s="1"/>
  <c r="P1657" i="2"/>
  <c r="R1657" i="2" s="1"/>
  <c r="P1658" i="2"/>
  <c r="R1658" i="2" s="1"/>
  <c r="P1659" i="2"/>
  <c r="R1659" i="2" s="1"/>
  <c r="P1357" i="2"/>
  <c r="R1357" i="2" s="1"/>
  <c r="P1908" i="2"/>
  <c r="R1908" i="2" s="1"/>
  <c r="P1909" i="2"/>
  <c r="R1909" i="2" s="1"/>
  <c r="P1910" i="2"/>
  <c r="R1910" i="2" s="1"/>
  <c r="P1541" i="2"/>
  <c r="R1541" i="2" s="1"/>
  <c r="P1542" i="2"/>
  <c r="R1542" i="2" s="1"/>
  <c r="P1543" i="2"/>
  <c r="R1543" i="2" s="1"/>
  <c r="P1544" i="2"/>
  <c r="R1544" i="2" s="1"/>
  <c r="P1545" i="2"/>
  <c r="R1545" i="2" s="1"/>
  <c r="P1875" i="2"/>
  <c r="R1875" i="2" s="1"/>
  <c r="P1876" i="2"/>
  <c r="R1876" i="2" s="1"/>
  <c r="P1877" i="2"/>
  <c r="R1877" i="2" s="1"/>
  <c r="P1878" i="2"/>
  <c r="R1878" i="2" s="1"/>
  <c r="P1879" i="2"/>
  <c r="R1879" i="2" s="1"/>
  <c r="P1828" i="2"/>
  <c r="R1828" i="2" s="1"/>
  <c r="P153" i="2"/>
  <c r="R153" i="2" s="1"/>
  <c r="P154" i="2"/>
  <c r="R154" i="2" s="1"/>
  <c r="P155" i="2"/>
  <c r="R155" i="2" s="1"/>
  <c r="P156" i="2"/>
  <c r="R156" i="2" s="1"/>
  <c r="P157" i="2"/>
  <c r="R157" i="2" s="1"/>
  <c r="P1458" i="2"/>
  <c r="R1458" i="2" s="1"/>
  <c r="P1459" i="2"/>
  <c r="R1459" i="2" s="1"/>
  <c r="P1460" i="2"/>
  <c r="R1460" i="2" s="1"/>
  <c r="P1461" i="2"/>
  <c r="R1461" i="2" s="1"/>
  <c r="P1319" i="2"/>
  <c r="R1319" i="2" s="1"/>
  <c r="P1919" i="2"/>
  <c r="R1919" i="2" s="1"/>
  <c r="P1920" i="2"/>
  <c r="R1920" i="2" s="1"/>
  <c r="P1921" i="2"/>
  <c r="R1921" i="2" s="1"/>
  <c r="P971" i="2"/>
  <c r="R971" i="2" s="1"/>
  <c r="P972" i="2"/>
  <c r="R972" i="2" s="1"/>
  <c r="P973" i="2"/>
  <c r="R973" i="2" s="1"/>
  <c r="P974" i="2"/>
  <c r="R974" i="2" s="1"/>
  <c r="P1931" i="2"/>
  <c r="R1931" i="2" s="1"/>
  <c r="P1932" i="2"/>
  <c r="R1932" i="2" s="1"/>
  <c r="P876" i="2"/>
  <c r="R876" i="2" s="1"/>
  <c r="P1764" i="2"/>
  <c r="R1764" i="2" s="1"/>
  <c r="P1765" i="2"/>
  <c r="R1765" i="2" s="1"/>
  <c r="P1766" i="2"/>
  <c r="R1766" i="2" s="1"/>
  <c r="P1767" i="2"/>
  <c r="R1767" i="2" s="1"/>
  <c r="P1768" i="2"/>
  <c r="R1768" i="2" s="1"/>
  <c r="P800" i="2"/>
  <c r="R800" i="2" s="1"/>
  <c r="P801" i="2"/>
  <c r="R801" i="2" s="1"/>
  <c r="P802" i="2"/>
  <c r="R802" i="2" s="1"/>
  <c r="P803" i="2"/>
  <c r="R803" i="2" s="1"/>
  <c r="P804" i="2"/>
  <c r="R804" i="2" s="1"/>
  <c r="P158" i="2"/>
  <c r="R158" i="2" s="1"/>
  <c r="P931" i="2"/>
  <c r="R931" i="2" s="1"/>
  <c r="P932" i="2"/>
  <c r="R932" i="2" s="1"/>
  <c r="P1703" i="2"/>
  <c r="R1703" i="2" s="1"/>
  <c r="P1704" i="2"/>
  <c r="R1704" i="2" s="1"/>
  <c r="P1705" i="2"/>
  <c r="R1705" i="2" s="1"/>
  <c r="P850" i="2"/>
  <c r="R850" i="2" s="1"/>
  <c r="P851" i="2"/>
  <c r="R851" i="2" s="1"/>
  <c r="P852" i="2"/>
  <c r="R852" i="2" s="1"/>
  <c r="P853" i="2"/>
  <c r="R853" i="2" s="1"/>
  <c r="P854" i="2"/>
  <c r="R854" i="2" s="1"/>
  <c r="P833" i="2"/>
  <c r="R833" i="2" s="1"/>
  <c r="P834" i="2"/>
  <c r="R834" i="2" s="1"/>
  <c r="P614" i="2"/>
  <c r="R614" i="2" s="1"/>
  <c r="P615" i="2"/>
  <c r="R615" i="2" s="1"/>
  <c r="P616" i="2"/>
  <c r="R616" i="2" s="1"/>
  <c r="P617" i="2"/>
  <c r="R617" i="2" s="1"/>
  <c r="P134" i="2"/>
  <c r="R134" i="2" s="1"/>
  <c r="P135" i="2"/>
  <c r="R135" i="2" s="1"/>
  <c r="P136" i="2"/>
  <c r="R136" i="2" s="1"/>
  <c r="P137" i="2"/>
  <c r="R137" i="2" s="1"/>
  <c r="P1678" i="2"/>
  <c r="R1678" i="2" s="1"/>
  <c r="P1679" i="2"/>
  <c r="R1679" i="2" s="1"/>
  <c r="P1680" i="2"/>
  <c r="R1680" i="2" s="1"/>
  <c r="P1681" i="2"/>
  <c r="R1681" i="2" s="1"/>
  <c r="P1682" i="2"/>
  <c r="R1682" i="2" s="1"/>
  <c r="P917" i="2"/>
  <c r="R917" i="2" s="1"/>
  <c r="P918" i="2"/>
  <c r="R918" i="2" s="1"/>
  <c r="P919" i="2"/>
  <c r="R919" i="2" s="1"/>
  <c r="P1904" i="2"/>
  <c r="R1904" i="2" s="1"/>
  <c r="P1905" i="2"/>
  <c r="R1905" i="2" s="1"/>
  <c r="P1906" i="2"/>
  <c r="R1906" i="2" s="1"/>
  <c r="P1907" i="2"/>
  <c r="R1907" i="2" s="1"/>
  <c r="P1068" i="2"/>
  <c r="R1068" i="2" s="1"/>
  <c r="P1069" i="2"/>
  <c r="R1069" i="2" s="1"/>
  <c r="P1070" i="2"/>
  <c r="R1070" i="2" s="1"/>
  <c r="P1071" i="2"/>
  <c r="R1071" i="2" s="1"/>
  <c r="P1349" i="2"/>
  <c r="R1349" i="2" s="1"/>
  <c r="P1350" i="2"/>
  <c r="R1350" i="2" s="1"/>
  <c r="P232" i="2"/>
  <c r="R232" i="2" s="1"/>
  <c r="P233" i="2"/>
  <c r="R233" i="2" s="1"/>
  <c r="P234" i="2"/>
  <c r="R234" i="2" s="1"/>
  <c r="P421" i="2"/>
  <c r="R421" i="2" s="1"/>
  <c r="P422" i="2"/>
  <c r="R422" i="2" s="1"/>
  <c r="P1863" i="2"/>
  <c r="R1863" i="2" s="1"/>
  <c r="P427" i="2"/>
  <c r="R427" i="2" s="1"/>
  <c r="P428" i="2"/>
  <c r="R428" i="2" s="1"/>
  <c r="P788" i="2"/>
  <c r="R788" i="2" s="1"/>
  <c r="P789" i="2"/>
  <c r="R789" i="2" s="1"/>
  <c r="P1151" i="2"/>
  <c r="R1151" i="2" s="1"/>
  <c r="P1152" i="2"/>
  <c r="R1152" i="2" s="1"/>
  <c r="P1153" i="2"/>
  <c r="R1153" i="2" s="1"/>
  <c r="P1284" i="2"/>
  <c r="R1284" i="2" s="1"/>
  <c r="P1285" i="2"/>
  <c r="R1285" i="2" s="1"/>
  <c r="P939" i="2"/>
  <c r="R939" i="2" s="1"/>
  <c r="P1611" i="2"/>
  <c r="R1611" i="2" s="1"/>
  <c r="P1612" i="2"/>
  <c r="R1612" i="2" s="1"/>
  <c r="P1613" i="2"/>
  <c r="R1613" i="2" s="1"/>
  <c r="P1090" i="2"/>
  <c r="R1090" i="2" s="1"/>
  <c r="P1091" i="2"/>
  <c r="R1091" i="2" s="1"/>
  <c r="P1092" i="2"/>
  <c r="R1092" i="2" s="1"/>
  <c r="P1093" i="2"/>
  <c r="R1093" i="2" s="1"/>
  <c r="P1094" i="2"/>
  <c r="R1094" i="2" s="1"/>
  <c r="P25" i="2"/>
  <c r="R25" i="2" s="1"/>
  <c r="P26" i="2"/>
  <c r="R26" i="2" s="1"/>
  <c r="P1835" i="2"/>
  <c r="R1835" i="2" s="1"/>
  <c r="P1836" i="2"/>
  <c r="R1836" i="2" s="1"/>
  <c r="P1837" i="2"/>
  <c r="R1837" i="2" s="1"/>
  <c r="P1862" i="2"/>
  <c r="R1862" i="2" s="1"/>
  <c r="P920" i="2"/>
  <c r="R920" i="2" s="1"/>
  <c r="P697" i="2"/>
  <c r="R697" i="2" s="1"/>
  <c r="P698" i="2"/>
  <c r="R698" i="2" s="1"/>
  <c r="P699" i="2"/>
  <c r="R699" i="2" s="1"/>
  <c r="P700" i="2"/>
  <c r="R700" i="2" s="1"/>
  <c r="P701" i="2"/>
  <c r="R701" i="2" s="1"/>
  <c r="P1956" i="2"/>
  <c r="R1956" i="2" s="1"/>
  <c r="P1137" i="2"/>
  <c r="R1137" i="2" s="1"/>
  <c r="P1138" i="2"/>
  <c r="R1138" i="2" s="1"/>
  <c r="P1139" i="2"/>
  <c r="R1139" i="2" s="1"/>
  <c r="P494" i="2"/>
  <c r="R494" i="2" s="1"/>
  <c r="P191" i="2"/>
  <c r="R191" i="2" s="1"/>
  <c r="P192" i="2"/>
  <c r="R192" i="2" s="1"/>
  <c r="P193" i="2"/>
  <c r="R193" i="2" s="1"/>
  <c r="P526" i="2"/>
  <c r="R526" i="2" s="1"/>
  <c r="P527" i="2"/>
  <c r="R527" i="2" s="1"/>
  <c r="P528" i="2"/>
  <c r="R528" i="2" s="1"/>
  <c r="P539" i="2"/>
  <c r="R539" i="2" s="1"/>
  <c r="P540" i="2"/>
  <c r="R540" i="2" s="1"/>
  <c r="P541" i="2"/>
  <c r="R541" i="2" s="1"/>
  <c r="P1706" i="2"/>
  <c r="R1706" i="2" s="1"/>
  <c r="P1707" i="2"/>
  <c r="R1707" i="2" s="1"/>
  <c r="P1708" i="2"/>
  <c r="R1708" i="2" s="1"/>
  <c r="P1709" i="2"/>
  <c r="R1709" i="2" s="1"/>
  <c r="P1710" i="2"/>
  <c r="R1710" i="2" s="1"/>
  <c r="P521" i="2"/>
  <c r="R521" i="2" s="1"/>
  <c r="P522" i="2"/>
  <c r="R522" i="2" s="1"/>
  <c r="P523" i="2"/>
  <c r="R523" i="2" s="1"/>
  <c r="P524" i="2"/>
  <c r="R524" i="2" s="1"/>
  <c r="P525" i="2"/>
  <c r="R525" i="2" s="1"/>
  <c r="P691" i="2"/>
  <c r="R691" i="2" s="1"/>
  <c r="P692" i="2"/>
  <c r="R692" i="2" s="1"/>
  <c r="P693" i="2"/>
  <c r="R693" i="2" s="1"/>
  <c r="P694" i="2"/>
  <c r="R694" i="2" s="1"/>
  <c r="P695" i="2"/>
  <c r="R695" i="2" s="1"/>
  <c r="P1558" i="2"/>
  <c r="R1558" i="2" s="1"/>
  <c r="P138" i="2"/>
  <c r="R138" i="2" s="1"/>
  <c r="P139" i="2"/>
  <c r="R139" i="2" s="1"/>
  <c r="P140" i="2"/>
  <c r="R140" i="2" s="1"/>
  <c r="P189" i="2"/>
  <c r="R189" i="2" s="1"/>
  <c r="P190" i="2"/>
  <c r="R190" i="2" s="1"/>
  <c r="P894" i="2"/>
  <c r="R894" i="2" s="1"/>
  <c r="P895" i="2"/>
  <c r="R895" i="2" s="1"/>
  <c r="P896" i="2"/>
  <c r="R896" i="2" s="1"/>
  <c r="P897" i="2"/>
  <c r="R897" i="2" s="1"/>
  <c r="P898" i="2"/>
  <c r="R898" i="2" s="1"/>
  <c r="P1207" i="2"/>
  <c r="R1207" i="2" s="1"/>
  <c r="P1208" i="2"/>
  <c r="R1208" i="2" s="1"/>
  <c r="P1209" i="2"/>
  <c r="R1209" i="2" s="1"/>
  <c r="P1965" i="2"/>
  <c r="R1965" i="2" s="1"/>
  <c r="P1966" i="2"/>
  <c r="R1966" i="2" s="1"/>
  <c r="P1967" i="2"/>
  <c r="R1967" i="2" s="1"/>
  <c r="P855" i="2"/>
  <c r="R855" i="2" s="1"/>
  <c r="P856" i="2"/>
  <c r="R856" i="2" s="1"/>
  <c r="P857" i="2"/>
  <c r="R857" i="2" s="1"/>
  <c r="P858" i="2"/>
  <c r="R858" i="2" s="1"/>
  <c r="P41" i="2"/>
  <c r="R41" i="2" s="1"/>
  <c r="P42" i="2"/>
  <c r="R42" i="2" s="1"/>
  <c r="P43" i="2"/>
  <c r="R43" i="2" s="1"/>
  <c r="P44" i="2"/>
  <c r="R44" i="2" s="1"/>
  <c r="P45" i="2"/>
  <c r="R45" i="2" s="1"/>
  <c r="P1462" i="2"/>
  <c r="R1462" i="2" s="1"/>
  <c r="P1463" i="2"/>
  <c r="R1463" i="2" s="1"/>
  <c r="P1464" i="2"/>
  <c r="R1464" i="2" s="1"/>
  <c r="P1465" i="2"/>
  <c r="R1465" i="2" s="1"/>
  <c r="P1466" i="2"/>
  <c r="R1466" i="2" s="1"/>
  <c r="P1034" i="2"/>
  <c r="R1034" i="2" s="1"/>
  <c r="P1035" i="2"/>
  <c r="R1035" i="2" s="1"/>
  <c r="P1036" i="2"/>
  <c r="R1036" i="2" s="1"/>
  <c r="P1880" i="2"/>
  <c r="R1880" i="2" s="1"/>
  <c r="P1881" i="2"/>
  <c r="R1881" i="2" s="1"/>
  <c r="P1882" i="2"/>
  <c r="R1882" i="2" s="1"/>
  <c r="P1883" i="2"/>
  <c r="R1883" i="2" s="1"/>
  <c r="P1884" i="2"/>
  <c r="R1884" i="2" s="1"/>
  <c r="P501" i="2"/>
  <c r="R501" i="2" s="1"/>
  <c r="P529" i="2"/>
  <c r="R529" i="2" s="1"/>
  <c r="P530" i="2"/>
  <c r="R530" i="2" s="1"/>
  <c r="P531" i="2"/>
  <c r="R531" i="2" s="1"/>
  <c r="P532" i="2"/>
  <c r="R532" i="2" s="1"/>
  <c r="P533" i="2"/>
  <c r="R533" i="2" s="1"/>
  <c r="P1730" i="2"/>
  <c r="R1730" i="2" s="1"/>
  <c r="P1731" i="2"/>
  <c r="R1731" i="2" s="1"/>
  <c r="P947" i="2"/>
  <c r="R947" i="2" s="1"/>
  <c r="P948" i="2"/>
  <c r="R948" i="2" s="1"/>
  <c r="P949" i="2"/>
  <c r="R949" i="2" s="1"/>
  <c r="P950" i="2"/>
  <c r="R950" i="2" s="1"/>
  <c r="P951" i="2"/>
  <c r="R951" i="2" s="1"/>
  <c r="P455" i="2"/>
  <c r="R455" i="2" s="1"/>
  <c r="P456" i="2"/>
  <c r="R456" i="2" s="1"/>
  <c r="P457" i="2"/>
  <c r="R457" i="2" s="1"/>
  <c r="P458" i="2"/>
  <c r="R458" i="2" s="1"/>
  <c r="P459" i="2"/>
  <c r="R459" i="2" s="1"/>
  <c r="P952" i="2"/>
  <c r="R952" i="2" s="1"/>
  <c r="P953" i="2"/>
  <c r="R953" i="2" s="1"/>
  <c r="P954" i="2"/>
  <c r="R954" i="2" s="1"/>
  <c r="P955" i="2"/>
  <c r="R955" i="2" s="1"/>
  <c r="P201" i="2"/>
  <c r="R201" i="2" s="1"/>
  <c r="P202" i="2"/>
  <c r="R202" i="2" s="1"/>
  <c r="P203" i="2"/>
  <c r="R203" i="2" s="1"/>
  <c r="P204" i="2"/>
  <c r="R204" i="2" s="1"/>
  <c r="P1238" i="2"/>
  <c r="R1238" i="2" s="1"/>
  <c r="P1239" i="2"/>
  <c r="R1239" i="2" s="1"/>
  <c r="P545" i="2"/>
  <c r="R545" i="2" s="1"/>
  <c r="P546" i="2"/>
  <c r="R546" i="2" s="1"/>
  <c r="P547" i="2"/>
  <c r="R547" i="2" s="1"/>
  <c r="P548" i="2"/>
  <c r="R548" i="2" s="1"/>
  <c r="P549" i="2"/>
  <c r="R549" i="2" s="1"/>
  <c r="P1531" i="2"/>
  <c r="R1531" i="2" s="1"/>
  <c r="P1532" i="2"/>
  <c r="R1532" i="2" s="1"/>
  <c r="P1533" i="2"/>
  <c r="R1533" i="2" s="1"/>
  <c r="P1855" i="2"/>
  <c r="R1855" i="2" s="1"/>
  <c r="P1856" i="2"/>
  <c r="R1856" i="2" s="1"/>
  <c r="P1857" i="2"/>
  <c r="R1857" i="2" s="1"/>
  <c r="P1858" i="2"/>
  <c r="R1858" i="2" s="1"/>
  <c r="P940" i="2"/>
  <c r="R940" i="2" s="1"/>
  <c r="P941" i="2"/>
  <c r="R941" i="2" s="1"/>
  <c r="P942" i="2"/>
  <c r="R942" i="2" s="1"/>
  <c r="P650" i="2"/>
  <c r="R650" i="2" s="1"/>
  <c r="P1732" i="2"/>
  <c r="R1732" i="2" s="1"/>
  <c r="P1733" i="2"/>
  <c r="R1733" i="2" s="1"/>
  <c r="P1734" i="2"/>
  <c r="R1734" i="2" s="1"/>
  <c r="P1735" i="2"/>
  <c r="R1735" i="2" s="1"/>
  <c r="P581" i="2"/>
  <c r="R581" i="2" s="1"/>
  <c r="P1513" i="2"/>
  <c r="R1513" i="2" s="1"/>
  <c r="P1514" i="2"/>
  <c r="R1514" i="2" s="1"/>
  <c r="P1515" i="2"/>
  <c r="R1515" i="2" s="1"/>
  <c r="P1968" i="2"/>
  <c r="R1968" i="2" s="1"/>
  <c r="P1969" i="2"/>
  <c r="R1969" i="2" s="1"/>
  <c r="P1970" i="2"/>
  <c r="R1970" i="2" s="1"/>
  <c r="P1971" i="2"/>
  <c r="R1971" i="2" s="1"/>
  <c r="P1177" i="2"/>
  <c r="R1177" i="2" s="1"/>
  <c r="P1178" i="2"/>
  <c r="R1178" i="2" s="1"/>
  <c r="P1179" i="2"/>
  <c r="R1179" i="2" s="1"/>
  <c r="P1180" i="2"/>
  <c r="R1180" i="2" s="1"/>
  <c r="P1230" i="2"/>
  <c r="R1230" i="2" s="1"/>
  <c r="P1231" i="2"/>
  <c r="R1231" i="2" s="1"/>
  <c r="P1232" i="2"/>
  <c r="R1232" i="2" s="1"/>
  <c r="P1233" i="2"/>
  <c r="R1233" i="2" s="1"/>
  <c r="P1234" i="2"/>
  <c r="R1234" i="2" s="1"/>
  <c r="P808" i="2"/>
  <c r="R808" i="2" s="1"/>
  <c r="P809" i="2"/>
  <c r="R809" i="2" s="1"/>
  <c r="P810" i="2"/>
  <c r="R810" i="2" s="1"/>
  <c r="P495" i="2"/>
  <c r="R495" i="2" s="1"/>
  <c r="P1406" i="2"/>
  <c r="R1406" i="2" s="1"/>
  <c r="P1407" i="2"/>
  <c r="R1407" i="2" s="1"/>
  <c r="P1408" i="2"/>
  <c r="R1408" i="2" s="1"/>
  <c r="P347" i="2"/>
  <c r="R347" i="2" s="1"/>
  <c r="P348" i="2"/>
  <c r="R348" i="2" s="1"/>
  <c r="P349" i="2"/>
  <c r="R349" i="2" s="1"/>
  <c r="P350" i="2"/>
  <c r="R350" i="2" s="1"/>
  <c r="P634" i="2"/>
  <c r="R634" i="2" s="1"/>
  <c r="P635" i="2"/>
  <c r="R635" i="2" s="1"/>
  <c r="P302" i="2"/>
  <c r="R302" i="2" s="1"/>
  <c r="P303" i="2"/>
  <c r="R303" i="2" s="1"/>
  <c r="P304" i="2"/>
  <c r="R304" i="2" s="1"/>
  <c r="P305" i="2"/>
  <c r="R305" i="2" s="1"/>
  <c r="P306" i="2"/>
  <c r="R306" i="2" s="1"/>
  <c r="P1745" i="2"/>
  <c r="R1745" i="2" s="1"/>
  <c r="P1746" i="2"/>
  <c r="R1746" i="2" s="1"/>
  <c r="P1747" i="2"/>
  <c r="R1747" i="2" s="1"/>
  <c r="P1748" i="2"/>
  <c r="R1748" i="2" s="1"/>
  <c r="P311" i="2"/>
  <c r="R311" i="2" s="1"/>
  <c r="P312" i="2"/>
  <c r="R312" i="2" s="1"/>
  <c r="P313" i="2"/>
  <c r="R313" i="2" s="1"/>
  <c r="P314" i="2"/>
  <c r="R314" i="2" s="1"/>
  <c r="P1972" i="2"/>
  <c r="R1972" i="2" s="1"/>
  <c r="P1973" i="2"/>
  <c r="R1973" i="2" s="1"/>
  <c r="P1974" i="2"/>
  <c r="R1974" i="2" s="1"/>
  <c r="P1975" i="2"/>
  <c r="R1975" i="2" s="1"/>
  <c r="P1324" i="2"/>
  <c r="R1324" i="2" s="1"/>
  <c r="P1325" i="2"/>
  <c r="R1325" i="2" s="1"/>
  <c r="P1326" i="2"/>
  <c r="R1326" i="2" s="1"/>
  <c r="P1797" i="2"/>
  <c r="R1797" i="2" s="1"/>
  <c r="P1798" i="2"/>
  <c r="R1798" i="2" s="1"/>
  <c r="P1799" i="2"/>
  <c r="R1799" i="2" s="1"/>
  <c r="P1800" i="2"/>
  <c r="R1800" i="2" s="1"/>
  <c r="P1801" i="2"/>
  <c r="R1801" i="2" s="1"/>
  <c r="P446" i="2"/>
  <c r="R446" i="2" s="1"/>
  <c r="P1504" i="2"/>
  <c r="R1504" i="2" s="1"/>
  <c r="P1505" i="2"/>
  <c r="R1505" i="2" s="1"/>
  <c r="P1506" i="2"/>
  <c r="R1506" i="2" s="1"/>
  <c r="P1507" i="2"/>
  <c r="R1507" i="2" s="1"/>
  <c r="P1980" i="2"/>
  <c r="R1980" i="2" s="1"/>
  <c r="P1981" i="2"/>
  <c r="R1981" i="2" s="1"/>
  <c r="P1982" i="2"/>
  <c r="R1982" i="2" s="1"/>
  <c r="P318" i="2"/>
  <c r="R318" i="2" s="1"/>
  <c r="P319" i="2"/>
  <c r="R319" i="2" s="1"/>
  <c r="P320" i="2"/>
  <c r="R320" i="2" s="1"/>
  <c r="P321" i="2"/>
  <c r="R321" i="2" s="1"/>
  <c r="P86" i="2"/>
  <c r="R86" i="2" s="1"/>
  <c r="P87" i="2"/>
  <c r="R87" i="2" s="1"/>
  <c r="P560" i="2"/>
  <c r="R560" i="2" s="1"/>
  <c r="P561" i="2"/>
  <c r="R561" i="2" s="1"/>
  <c r="P562" i="2"/>
  <c r="R562" i="2" s="1"/>
  <c r="P563" i="2"/>
  <c r="R563" i="2" s="1"/>
  <c r="P731" i="2"/>
  <c r="R731" i="2" s="1"/>
  <c r="P732" i="2"/>
  <c r="R732" i="2" s="1"/>
  <c r="P733" i="2"/>
  <c r="R733" i="2" s="1"/>
  <c r="P734" i="2"/>
  <c r="R734" i="2" s="1"/>
  <c r="P1060" i="2"/>
  <c r="R1060" i="2" s="1"/>
  <c r="P1061" i="2"/>
  <c r="R1061" i="2" s="1"/>
  <c r="P1062" i="2"/>
  <c r="R1062" i="2" s="1"/>
  <c r="P1063" i="2"/>
  <c r="R1063" i="2" s="1"/>
  <c r="P1064" i="2"/>
  <c r="R1064" i="2" s="1"/>
  <c r="P389" i="2"/>
  <c r="R389" i="2" s="1"/>
  <c r="P390" i="2"/>
  <c r="R390" i="2" s="1"/>
  <c r="P391" i="2"/>
  <c r="R391" i="2" s="1"/>
  <c r="P392" i="2"/>
  <c r="R392" i="2" s="1"/>
  <c r="P393" i="2"/>
  <c r="R393" i="2" s="1"/>
  <c r="P582" i="2"/>
  <c r="R582" i="2" s="1"/>
  <c r="P663" i="2"/>
  <c r="R663" i="2" s="1"/>
  <c r="P664" i="2"/>
  <c r="R664" i="2" s="1"/>
  <c r="P665" i="2"/>
  <c r="R665" i="2" s="1"/>
  <c r="P666" i="2"/>
  <c r="R666" i="2" s="1"/>
  <c r="P371" i="2"/>
  <c r="R371" i="2" s="1"/>
  <c r="P372" i="2"/>
  <c r="R372" i="2" s="1"/>
  <c r="P373" i="2"/>
  <c r="R373" i="2" s="1"/>
  <c r="P374" i="2"/>
  <c r="R374" i="2" s="1"/>
  <c r="P298" i="2"/>
  <c r="R298" i="2" s="1"/>
  <c r="P299" i="2"/>
  <c r="R299" i="2" s="1"/>
  <c r="P300" i="2"/>
  <c r="R300" i="2" s="1"/>
  <c r="P1516" i="2"/>
  <c r="R1516" i="2" s="1"/>
  <c r="P1517" i="2"/>
  <c r="R1517" i="2" s="1"/>
  <c r="P1518" i="2"/>
  <c r="R1518" i="2" s="1"/>
  <c r="P1669" i="2"/>
  <c r="R1669" i="2" s="1"/>
  <c r="P1670" i="2"/>
  <c r="R1670" i="2" s="1"/>
  <c r="P1671" i="2"/>
  <c r="R1671" i="2" s="1"/>
  <c r="P1672" i="2"/>
  <c r="R1672" i="2" s="1"/>
  <c r="P496" i="2"/>
  <c r="R496" i="2" s="1"/>
  <c r="P497" i="2"/>
  <c r="R497" i="2" s="1"/>
  <c r="P498" i="2"/>
  <c r="R498" i="2" s="1"/>
  <c r="P499" i="2"/>
  <c r="R499" i="2" s="1"/>
  <c r="P500" i="2"/>
  <c r="R500" i="2" s="1"/>
  <c r="P1945" i="2"/>
  <c r="R1945" i="2" s="1"/>
  <c r="P1946" i="2"/>
  <c r="R1946" i="2" s="1"/>
  <c r="P460" i="2"/>
  <c r="R460" i="2" s="1"/>
  <c r="P461" i="2"/>
  <c r="R461" i="2" s="1"/>
  <c r="P462" i="2"/>
  <c r="R462" i="2" s="1"/>
  <c r="P463" i="2"/>
  <c r="R463" i="2" s="1"/>
  <c r="P464" i="2"/>
  <c r="R464" i="2" s="1"/>
  <c r="P1803" i="2"/>
  <c r="R1803" i="2" s="1"/>
  <c r="P1804" i="2"/>
  <c r="R1804" i="2" s="1"/>
  <c r="P1146" i="2"/>
  <c r="R1146" i="2" s="1"/>
  <c r="P1147" i="2"/>
  <c r="R1147" i="2" s="1"/>
  <c r="P1148" i="2"/>
  <c r="R1148" i="2" s="1"/>
  <c r="P1286" i="2"/>
  <c r="R1286" i="2" s="1"/>
  <c r="P1287" i="2"/>
  <c r="R1287" i="2" s="1"/>
  <c r="P1288" i="2"/>
  <c r="R1288" i="2" s="1"/>
  <c r="P686" i="2"/>
  <c r="R686" i="2" s="1"/>
  <c r="P687" i="2"/>
  <c r="R687" i="2" s="1"/>
  <c r="P688" i="2"/>
  <c r="R688" i="2" s="1"/>
  <c r="P689" i="2"/>
  <c r="R689" i="2" s="1"/>
  <c r="P618" i="2"/>
  <c r="R618" i="2" s="1"/>
  <c r="P619" i="2"/>
  <c r="R619" i="2" s="1"/>
  <c r="P620" i="2"/>
  <c r="R620" i="2" s="1"/>
  <c r="P621" i="2"/>
  <c r="R621" i="2" s="1"/>
  <c r="P1485" i="2"/>
  <c r="R1485" i="2" s="1"/>
  <c r="P1486" i="2"/>
  <c r="R1486" i="2" s="1"/>
  <c r="P1487" i="2"/>
  <c r="R1487" i="2" s="1"/>
  <c r="P988" i="2"/>
  <c r="R988" i="2" s="1"/>
  <c r="P989" i="2"/>
  <c r="R989" i="2" s="1"/>
  <c r="P990" i="2"/>
  <c r="R990" i="2" s="1"/>
  <c r="P667" i="2"/>
  <c r="R667" i="2" s="1"/>
  <c r="P668" i="2"/>
  <c r="R668" i="2" s="1"/>
  <c r="P669" i="2"/>
  <c r="R669" i="2" s="1"/>
  <c r="P1665" i="2"/>
  <c r="R1665" i="2" s="1"/>
  <c r="P1666" i="2"/>
  <c r="R1666" i="2" s="1"/>
  <c r="P981" i="2"/>
  <c r="R981" i="2" s="1"/>
  <c r="P982" i="2"/>
  <c r="R982" i="2" s="1"/>
  <c r="P16" i="2"/>
  <c r="R16" i="2" s="1"/>
  <c r="P17" i="2"/>
  <c r="R17" i="2" s="1"/>
  <c r="P18" i="2"/>
  <c r="R18" i="2" s="1"/>
  <c r="P19" i="2"/>
  <c r="R19" i="2" s="1"/>
  <c r="P183" i="2"/>
  <c r="R183" i="2" s="1"/>
  <c r="P1573" i="2"/>
  <c r="R1573" i="2" s="1"/>
  <c r="P1574" i="2"/>
  <c r="R1574" i="2" s="1"/>
  <c r="P1575" i="2"/>
  <c r="R1575" i="2" s="1"/>
  <c r="P423" i="2"/>
  <c r="R423" i="2" s="1"/>
  <c r="P424" i="2"/>
  <c r="R424" i="2" s="1"/>
  <c r="P425" i="2"/>
  <c r="R425" i="2" s="1"/>
  <c r="P426" i="2"/>
  <c r="R426" i="2" s="1"/>
  <c r="P975" i="2"/>
  <c r="R975" i="2" s="1"/>
  <c r="P976" i="2"/>
  <c r="R976" i="2" s="1"/>
  <c r="P1985" i="2"/>
  <c r="R1985" i="2" s="1"/>
  <c r="P1986" i="2"/>
  <c r="R1986" i="2" s="1"/>
  <c r="P1987" i="2"/>
  <c r="R1987" i="2" s="1"/>
  <c r="P1843" i="2"/>
  <c r="R1843" i="2" s="1"/>
  <c r="P1844" i="2"/>
  <c r="R1844" i="2" s="1"/>
  <c r="P1845" i="2"/>
  <c r="R1845" i="2" s="1"/>
  <c r="P712" i="2"/>
  <c r="R712" i="2" s="1"/>
  <c r="P1912" i="2"/>
  <c r="R1912" i="2" s="1"/>
  <c r="P1913" i="2"/>
  <c r="R1913" i="2" s="1"/>
  <c r="P2" i="2"/>
  <c r="R2" i="2" s="1"/>
  <c r="P3" i="2"/>
  <c r="R3" i="2" s="1"/>
  <c r="P4" i="2"/>
  <c r="R4" i="2" s="1"/>
  <c r="P5" i="2"/>
  <c r="R5" i="2" s="1"/>
  <c r="P1885" i="2"/>
  <c r="R1885" i="2" s="1"/>
  <c r="P1886" i="2"/>
  <c r="R1886" i="2" s="1"/>
  <c r="P1887" i="2"/>
  <c r="R1887" i="2" s="1"/>
  <c r="P1888" i="2"/>
  <c r="R1888" i="2" s="1"/>
  <c r="P119" i="2"/>
  <c r="R119" i="2" s="1"/>
  <c r="P120" i="2"/>
  <c r="R120" i="2" s="1"/>
  <c r="P121" i="2"/>
  <c r="R121" i="2" s="1"/>
  <c r="P122" i="2"/>
  <c r="R122" i="2" s="1"/>
  <c r="P123" i="2"/>
  <c r="R123" i="2" s="1"/>
  <c r="P683" i="2"/>
  <c r="R683" i="2" s="1"/>
  <c r="P684" i="2"/>
  <c r="R684" i="2" s="1"/>
  <c r="P685" i="2"/>
  <c r="R685" i="2" s="1"/>
  <c r="P400" i="2"/>
  <c r="R400" i="2" s="1"/>
  <c r="P401" i="2"/>
  <c r="R401" i="2" s="1"/>
  <c r="P402" i="2"/>
  <c r="R402" i="2" s="1"/>
  <c r="P403" i="2"/>
  <c r="R403" i="2" s="1"/>
  <c r="P725" i="2"/>
  <c r="R725" i="2" s="1"/>
  <c r="P726" i="2"/>
  <c r="R726" i="2" s="1"/>
  <c r="P727" i="2"/>
  <c r="R727" i="2" s="1"/>
  <c r="P728" i="2"/>
  <c r="R728" i="2" s="1"/>
  <c r="P729" i="2"/>
  <c r="R729" i="2" s="1"/>
  <c r="P1467" i="2"/>
  <c r="R1467" i="2" s="1"/>
  <c r="P1468" i="2"/>
  <c r="R1468" i="2" s="1"/>
  <c r="P1469" i="2"/>
  <c r="R1469" i="2" s="1"/>
  <c r="P324" i="2"/>
  <c r="R324" i="2" s="1"/>
  <c r="P325" i="2"/>
  <c r="R325" i="2" s="1"/>
  <c r="P326" i="2"/>
  <c r="R326" i="2" s="1"/>
  <c r="P327" i="2"/>
  <c r="R327" i="2" s="1"/>
  <c r="P194" i="2"/>
  <c r="R194" i="2" s="1"/>
  <c r="P195" i="2"/>
  <c r="R195" i="2" s="1"/>
  <c r="P583" i="2"/>
  <c r="R583" i="2" s="1"/>
  <c r="P584" i="2"/>
  <c r="R584" i="2" s="1"/>
  <c r="P585" i="2"/>
  <c r="R585" i="2" s="1"/>
  <c r="P1037" i="2"/>
  <c r="R1037" i="2" s="1"/>
  <c r="P1038" i="2"/>
  <c r="R1038" i="2" s="1"/>
  <c r="P1039" i="2"/>
  <c r="R1039" i="2" s="1"/>
  <c r="P322" i="2"/>
  <c r="R322" i="2" s="1"/>
  <c r="P323" i="2"/>
  <c r="R323" i="2" s="1"/>
  <c r="P1388" i="2"/>
  <c r="R1388" i="2" s="1"/>
  <c r="P1389" i="2"/>
  <c r="R1389" i="2" s="1"/>
  <c r="P507" i="2"/>
  <c r="R507" i="2" s="1"/>
  <c r="P508" i="2"/>
  <c r="R508" i="2" s="1"/>
  <c r="P882" i="2"/>
  <c r="R882" i="2" s="1"/>
  <c r="P1296" i="2"/>
  <c r="R1296" i="2" s="1"/>
  <c r="P1297" i="2"/>
  <c r="R1297" i="2" s="1"/>
  <c r="P859" i="2"/>
  <c r="R859" i="2" s="1"/>
  <c r="P860" i="2"/>
  <c r="R860" i="2" s="1"/>
  <c r="P861" i="2"/>
  <c r="R861" i="2" s="1"/>
  <c r="P1495" i="2"/>
  <c r="R1495" i="2" s="1"/>
  <c r="P1496" i="2"/>
  <c r="R1496" i="2" s="1"/>
  <c r="P1497" i="2"/>
  <c r="R1497" i="2" s="1"/>
  <c r="P1498" i="2"/>
  <c r="R1498" i="2" s="1"/>
  <c r="P1859" i="2"/>
  <c r="R1859" i="2" s="1"/>
  <c r="P1860" i="2"/>
  <c r="R1860" i="2" s="1"/>
  <c r="P328" i="2"/>
  <c r="R328" i="2" s="1"/>
  <c r="P329" i="2"/>
  <c r="R329" i="2" s="1"/>
  <c r="P330" i="2"/>
  <c r="R330" i="2" s="1"/>
  <c r="P331" i="2"/>
  <c r="R331" i="2" s="1"/>
  <c r="P332" i="2"/>
  <c r="R332" i="2" s="1"/>
  <c r="P1534" i="2"/>
  <c r="R1534" i="2" s="1"/>
  <c r="P1535" i="2"/>
  <c r="R1535" i="2" s="1"/>
  <c r="P862" i="2"/>
  <c r="R862" i="2" s="1"/>
  <c r="P863" i="2"/>
  <c r="R863" i="2" s="1"/>
  <c r="P864" i="2"/>
  <c r="R864" i="2" s="1"/>
  <c r="P865" i="2"/>
  <c r="R865" i="2" s="1"/>
  <c r="P904" i="2"/>
  <c r="R904" i="2" s="1"/>
  <c r="P905" i="2"/>
  <c r="R905" i="2" s="1"/>
  <c r="P906" i="2"/>
  <c r="R906" i="2" s="1"/>
  <c r="P907" i="2"/>
  <c r="R907" i="2" s="1"/>
  <c r="P1957" i="2"/>
  <c r="R1957" i="2" s="1"/>
  <c r="P1958" i="2"/>
  <c r="R1958" i="2" s="1"/>
  <c r="P1959" i="2"/>
  <c r="R1959" i="2" s="1"/>
  <c r="P812" i="2"/>
  <c r="R812" i="2" s="1"/>
  <c r="P813" i="2"/>
  <c r="R813" i="2" s="1"/>
  <c r="P814" i="2"/>
  <c r="R814" i="2" s="1"/>
  <c r="P815" i="2"/>
  <c r="R815" i="2" s="1"/>
  <c r="P816" i="2"/>
  <c r="R816" i="2" s="1"/>
  <c r="P601" i="2"/>
  <c r="R601" i="2" s="1"/>
  <c r="P602" i="2"/>
  <c r="R602" i="2" s="1"/>
  <c r="P603" i="2"/>
  <c r="R603" i="2" s="1"/>
  <c r="P604" i="2"/>
  <c r="R604" i="2" s="1"/>
  <c r="P605" i="2"/>
  <c r="R605" i="2" s="1"/>
  <c r="P1683" i="2"/>
  <c r="R1683" i="2" s="1"/>
  <c r="P1684" i="2"/>
  <c r="R1684" i="2" s="1"/>
  <c r="P1685" i="2"/>
  <c r="R1685" i="2" s="1"/>
  <c r="P1686" i="2"/>
  <c r="R1686" i="2" s="1"/>
  <c r="P564" i="2"/>
  <c r="R564" i="2" s="1"/>
  <c r="P565" i="2"/>
  <c r="R565" i="2" s="1"/>
  <c r="P566" i="2"/>
  <c r="R566" i="2" s="1"/>
  <c r="P567" i="2"/>
  <c r="R567" i="2" s="1"/>
  <c r="P568" i="2"/>
  <c r="R568" i="2" s="1"/>
  <c r="P1698" i="2"/>
  <c r="R1698" i="2" s="1"/>
  <c r="P1699" i="2"/>
  <c r="R1699" i="2" s="1"/>
  <c r="P1700" i="2"/>
  <c r="R1700" i="2" s="1"/>
  <c r="P1701" i="2"/>
  <c r="R1701" i="2" s="1"/>
  <c r="P1702" i="2"/>
  <c r="R1702" i="2" s="1"/>
  <c r="P465" i="2"/>
  <c r="R465" i="2" s="1"/>
  <c r="P466" i="2"/>
  <c r="R466" i="2" s="1"/>
  <c r="P467" i="2"/>
  <c r="R467" i="2" s="1"/>
  <c r="P468" i="2"/>
  <c r="R468" i="2" s="1"/>
  <c r="P375" i="2"/>
  <c r="R375" i="2" s="1"/>
  <c r="P376" i="2"/>
  <c r="R376" i="2" s="1"/>
  <c r="P690" i="2"/>
  <c r="R690" i="2" s="1"/>
  <c r="P1181" i="2"/>
  <c r="R1181" i="2" s="1"/>
  <c r="P1182" i="2"/>
  <c r="R1182" i="2" s="1"/>
  <c r="P1183" i="2"/>
  <c r="R1183" i="2" s="1"/>
  <c r="P1184" i="2"/>
  <c r="R1184" i="2" s="1"/>
  <c r="P1185" i="2"/>
  <c r="R1185" i="2" s="1"/>
  <c r="P469" i="2"/>
  <c r="R469" i="2" s="1"/>
  <c r="P470" i="2"/>
  <c r="R470" i="2" s="1"/>
  <c r="P471" i="2"/>
  <c r="R471" i="2" s="1"/>
  <c r="P472" i="2"/>
  <c r="R472" i="2" s="1"/>
  <c r="P473" i="2"/>
  <c r="R473" i="2" s="1"/>
  <c r="P593" i="2"/>
  <c r="R593" i="2" s="1"/>
  <c r="P594" i="2"/>
  <c r="R594" i="2" s="1"/>
  <c r="P595" i="2"/>
  <c r="R595" i="2" s="1"/>
  <c r="P1289" i="2"/>
  <c r="R1289" i="2" s="1"/>
  <c r="P1290" i="2"/>
  <c r="R1290" i="2" s="1"/>
  <c r="P805" i="2"/>
  <c r="R805" i="2" s="1"/>
  <c r="P806" i="2"/>
  <c r="R806" i="2" s="1"/>
  <c r="P1049" i="2"/>
  <c r="R1049" i="2" s="1"/>
  <c r="P1050" i="2"/>
  <c r="R1050" i="2" s="1"/>
  <c r="P1051" i="2"/>
  <c r="R1051" i="2" s="1"/>
  <c r="P1052" i="2"/>
  <c r="R1052" i="2" s="1"/>
  <c r="P1782" i="2"/>
  <c r="R1782" i="2" s="1"/>
  <c r="P1783" i="2"/>
  <c r="R1783" i="2" s="1"/>
  <c r="P1784" i="2"/>
  <c r="R1784" i="2" s="1"/>
  <c r="P1366" i="2"/>
  <c r="R1366" i="2" s="1"/>
  <c r="P702" i="2"/>
  <c r="R702" i="2" s="1"/>
  <c r="P1412" i="2"/>
  <c r="R1412" i="2" s="1"/>
  <c r="P1413" i="2"/>
  <c r="R1413" i="2" s="1"/>
  <c r="P1414" i="2"/>
  <c r="R1414" i="2" s="1"/>
  <c r="P1415" i="2"/>
  <c r="R1415" i="2" s="1"/>
  <c r="P899" i="2"/>
  <c r="R899" i="2" s="1"/>
  <c r="P900" i="2"/>
  <c r="R900" i="2" s="1"/>
  <c r="P901" i="2"/>
  <c r="R901" i="2" s="1"/>
  <c r="P902" i="2"/>
  <c r="R902" i="2" s="1"/>
  <c r="P1303" i="2"/>
  <c r="R1303" i="2" s="1"/>
  <c r="P1304" i="2"/>
  <c r="R1304" i="2" s="1"/>
  <c r="P1081" i="2"/>
  <c r="R1081" i="2" s="1"/>
  <c r="P1082" i="2"/>
  <c r="R1082" i="2" s="1"/>
  <c r="P1083" i="2"/>
  <c r="R1083" i="2" s="1"/>
  <c r="P1084" i="2"/>
  <c r="R1084" i="2" s="1"/>
  <c r="P1085" i="2"/>
  <c r="R1085" i="2" s="1"/>
  <c r="P1266" i="2"/>
  <c r="R1266" i="2" s="1"/>
  <c r="P205" i="2"/>
  <c r="R205" i="2" s="1"/>
  <c r="P206" i="2"/>
  <c r="R206" i="2" s="1"/>
  <c r="P207" i="2"/>
  <c r="R207" i="2" s="1"/>
  <c r="P636" i="2"/>
  <c r="R636" i="2" s="1"/>
  <c r="P637" i="2"/>
  <c r="R637" i="2" s="1"/>
  <c r="P672" i="2"/>
  <c r="R672" i="2" s="1"/>
  <c r="P673" i="2"/>
  <c r="R673" i="2" s="1"/>
  <c r="P674" i="2"/>
  <c r="R674" i="2" s="1"/>
  <c r="P675" i="2"/>
  <c r="R675" i="2" s="1"/>
  <c r="P1416" i="2"/>
  <c r="R1416" i="2" s="1"/>
  <c r="P1417" i="2"/>
  <c r="R1417" i="2" s="1"/>
  <c r="P1418" i="2"/>
  <c r="R1418" i="2" s="1"/>
  <c r="P1419" i="2"/>
  <c r="R1419" i="2" s="1"/>
  <c r="P1420" i="2"/>
  <c r="R1420" i="2" s="1"/>
  <c r="P1007" i="2"/>
  <c r="R1007" i="2" s="1"/>
  <c r="P1008" i="2"/>
  <c r="R1008" i="2" s="1"/>
  <c r="P1009" i="2"/>
  <c r="R1009" i="2" s="1"/>
  <c r="P1010" i="2"/>
  <c r="R1010" i="2" s="1"/>
  <c r="P404" i="2"/>
  <c r="R404" i="2" s="1"/>
  <c r="P405" i="2"/>
  <c r="R405" i="2" s="1"/>
  <c r="P406" i="2"/>
  <c r="R406" i="2" s="1"/>
  <c r="P407" i="2"/>
  <c r="R407" i="2" s="1"/>
  <c r="P883" i="2"/>
  <c r="R883" i="2" s="1"/>
  <c r="P884" i="2"/>
  <c r="R884" i="2" s="1"/>
  <c r="P885" i="2"/>
  <c r="R885" i="2" s="1"/>
  <c r="P886" i="2"/>
  <c r="R886" i="2" s="1"/>
  <c r="P887" i="2"/>
  <c r="R887" i="2" s="1"/>
  <c r="P397" i="2"/>
  <c r="R397" i="2" s="1"/>
  <c r="P943" i="2"/>
  <c r="R943" i="2" s="1"/>
  <c r="P944" i="2"/>
  <c r="R944" i="2" s="1"/>
  <c r="P945" i="2"/>
  <c r="R945" i="2" s="1"/>
  <c r="P946" i="2"/>
  <c r="R946" i="2" s="1"/>
  <c r="P287" i="2"/>
  <c r="R287" i="2" s="1"/>
  <c r="P288" i="2"/>
  <c r="R288" i="2" s="1"/>
  <c r="P289" i="2"/>
  <c r="R289" i="2" s="1"/>
  <c r="P290" i="2"/>
  <c r="R290" i="2" s="1"/>
  <c r="P1614" i="2"/>
  <c r="R1614" i="2" s="1"/>
  <c r="P1615" i="2"/>
  <c r="R1615" i="2" s="1"/>
  <c r="P1616" i="2"/>
  <c r="R1616" i="2" s="1"/>
  <c r="P745" i="2"/>
  <c r="R745" i="2" s="1"/>
  <c r="P807" i="2"/>
  <c r="R807" i="2" s="1"/>
  <c r="P1993" i="2"/>
  <c r="R1993" i="2" s="1"/>
  <c r="P1933" i="2"/>
  <c r="R1933" i="2" s="1"/>
  <c r="P1934" i="2"/>
  <c r="R1934" i="2" s="1"/>
  <c r="P1935" i="2"/>
  <c r="R1935" i="2" s="1"/>
  <c r="P61" i="2"/>
  <c r="R61" i="2" s="1"/>
  <c r="P62" i="2"/>
  <c r="R62" i="2" s="1"/>
  <c r="P63" i="2"/>
  <c r="R63" i="2" s="1"/>
  <c r="P377" i="2"/>
  <c r="R377" i="2" s="1"/>
  <c r="P378" i="2"/>
  <c r="R378" i="2" s="1"/>
  <c r="P730" i="2"/>
  <c r="R730" i="2" s="1"/>
  <c r="P46" i="2"/>
  <c r="R46" i="2" s="1"/>
  <c r="P47" i="2"/>
  <c r="R47" i="2" s="1"/>
  <c r="P48" i="2"/>
  <c r="R48" i="2" s="1"/>
  <c r="P49" i="2"/>
  <c r="R49" i="2" s="1"/>
  <c r="P50" i="2"/>
  <c r="R50" i="2" s="1"/>
  <c r="P1846" i="2"/>
  <c r="R1846" i="2" s="1"/>
  <c r="P269" i="2"/>
  <c r="R269" i="2" s="1"/>
  <c r="P270" i="2"/>
  <c r="R270" i="2" s="1"/>
  <c r="P1040" i="2"/>
  <c r="R1040" i="2" s="1"/>
  <c r="P1041" i="2"/>
  <c r="R1041" i="2" s="1"/>
  <c r="P1042" i="2"/>
  <c r="R1042" i="2" s="1"/>
  <c r="P1043" i="2"/>
  <c r="R1043" i="2" s="1"/>
  <c r="P218" i="2"/>
  <c r="R218" i="2" s="1"/>
  <c r="P219" i="2"/>
  <c r="R219" i="2" s="1"/>
  <c r="P220" i="2"/>
  <c r="R220" i="2" s="1"/>
  <c r="P221" i="2"/>
  <c r="R221" i="2" s="1"/>
  <c r="P670" i="2"/>
  <c r="R670" i="2" s="1"/>
  <c r="P671" i="2"/>
  <c r="R671" i="2" s="1"/>
  <c r="P610" i="2"/>
  <c r="R610" i="2" s="1"/>
  <c r="P611" i="2"/>
  <c r="R611" i="2" s="1"/>
  <c r="P612" i="2"/>
  <c r="R612" i="2" s="1"/>
  <c r="P613" i="2"/>
  <c r="R613" i="2" s="1"/>
  <c r="P1127" i="2"/>
  <c r="R1127" i="2" s="1"/>
  <c r="P1128" i="2"/>
  <c r="R1128" i="2" s="1"/>
  <c r="P1129" i="2"/>
  <c r="R1129" i="2" s="1"/>
  <c r="P1581" i="2"/>
  <c r="R1581" i="2" s="1"/>
  <c r="P1582" i="2"/>
  <c r="R1582" i="2" s="1"/>
  <c r="P1583" i="2"/>
  <c r="R1583" i="2" s="1"/>
  <c r="P1584" i="2"/>
  <c r="R1584" i="2" s="1"/>
  <c r="P1585" i="2"/>
  <c r="R1585" i="2" s="1"/>
  <c r="P1711" i="2"/>
  <c r="R1711" i="2" s="1"/>
  <c r="P1712" i="2"/>
  <c r="R1712" i="2" s="1"/>
  <c r="P1713" i="2"/>
  <c r="R1713" i="2" s="1"/>
  <c r="P1714" i="2"/>
  <c r="R1714" i="2" s="1"/>
  <c r="P1253" i="2"/>
  <c r="R1253" i="2" s="1"/>
  <c r="P1254" i="2"/>
  <c r="R1254" i="2" s="1"/>
  <c r="P1255" i="2"/>
  <c r="R1255" i="2" s="1"/>
  <c r="P1256" i="2"/>
  <c r="R1256" i="2" s="1"/>
  <c r="P277" i="2"/>
  <c r="R277" i="2" s="1"/>
  <c r="P278" i="2"/>
  <c r="R278" i="2" s="1"/>
  <c r="P279" i="2"/>
  <c r="R279" i="2" s="1"/>
  <c r="P280" i="2"/>
  <c r="R280" i="2" s="1"/>
  <c r="P281" i="2"/>
  <c r="R281" i="2" s="1"/>
  <c r="P1988" i="2"/>
  <c r="R1988" i="2" s="1"/>
  <c r="P1989" i="2"/>
  <c r="R1989" i="2" s="1"/>
  <c r="P1990" i="2"/>
  <c r="R1990" i="2" s="1"/>
  <c r="P1991" i="2"/>
  <c r="R1991" i="2" s="1"/>
  <c r="P1992" i="2"/>
  <c r="R1992" i="2" s="1"/>
  <c r="P1994" i="2"/>
  <c r="R1994" i="2" s="1"/>
  <c r="P1995" i="2"/>
  <c r="R1995" i="2" s="1"/>
  <c r="P1996" i="2"/>
  <c r="R1996" i="2" s="1"/>
  <c r="P78" i="2"/>
  <c r="R78" i="2" s="1"/>
  <c r="P79" i="2"/>
  <c r="R79" i="2" s="1"/>
  <c r="P80" i="2"/>
  <c r="R80" i="2" s="1"/>
  <c r="P81" i="2"/>
  <c r="R81" i="2" s="1"/>
  <c r="P82" i="2"/>
  <c r="R82" i="2" s="1"/>
  <c r="P509" i="2"/>
  <c r="R509" i="2" s="1"/>
  <c r="P1200" i="2"/>
  <c r="R1200" i="2" s="1"/>
  <c r="P1201" i="2"/>
  <c r="R1201" i="2" s="1"/>
  <c r="P110" i="2"/>
  <c r="R110" i="2" s="1"/>
  <c r="P111" i="2"/>
  <c r="R111" i="2" s="1"/>
  <c r="P112" i="2"/>
  <c r="R112" i="2" s="1"/>
  <c r="P1741" i="2"/>
  <c r="R1741" i="2" s="1"/>
  <c r="P1742" i="2"/>
  <c r="R1742" i="2" s="1"/>
  <c r="P1370" i="2"/>
  <c r="R1370" i="2" s="1"/>
  <c r="P1371" i="2"/>
  <c r="R1371" i="2" s="1"/>
  <c r="P1372" i="2"/>
  <c r="R1372" i="2" s="1"/>
  <c r="P1373" i="2"/>
  <c r="R1373" i="2" s="1"/>
  <c r="P1047" i="2"/>
  <c r="R1047" i="2" s="1"/>
  <c r="P1555" i="2"/>
  <c r="R1555" i="2" s="1"/>
  <c r="P1556" i="2"/>
  <c r="R1556" i="2" s="1"/>
  <c r="P780" i="2"/>
  <c r="R780" i="2" s="1"/>
  <c r="P888" i="2"/>
  <c r="R888" i="2" s="1"/>
  <c r="P1358" i="2"/>
  <c r="R1358" i="2" s="1"/>
  <c r="P1359" i="2"/>
  <c r="R1359" i="2" s="1"/>
  <c r="P1360" i="2"/>
  <c r="R1360" i="2" s="1"/>
  <c r="P1361" i="2"/>
  <c r="R1361" i="2" s="1"/>
  <c r="P1362" i="2"/>
  <c r="R1362" i="2" s="1"/>
  <c r="P534" i="2"/>
  <c r="R534" i="2" s="1"/>
  <c r="P535" i="2"/>
  <c r="R535" i="2" s="1"/>
  <c r="P536" i="2"/>
  <c r="R536" i="2" s="1"/>
  <c r="P811" i="2"/>
  <c r="R811" i="2" s="1"/>
  <c r="P1421" i="2"/>
  <c r="R1421" i="2" s="1"/>
  <c r="P1422" i="2"/>
  <c r="R1422" i="2" s="1"/>
  <c r="P1423" i="2"/>
  <c r="R1423" i="2" s="1"/>
  <c r="P1424" i="2"/>
  <c r="R1424" i="2" s="1"/>
  <c r="P1425" i="2"/>
  <c r="R1425" i="2" s="1"/>
  <c r="P1271" i="2"/>
  <c r="R1271" i="2" s="1"/>
  <c r="P1272" i="2"/>
  <c r="R1272" i="2" s="1"/>
  <c r="P1273" i="2"/>
  <c r="R1273" i="2" s="1"/>
  <c r="P1274" i="2"/>
  <c r="R1274" i="2" s="1"/>
  <c r="P429" i="2"/>
  <c r="R429" i="2" s="1"/>
  <c r="P430" i="2"/>
  <c r="R430" i="2" s="1"/>
  <c r="P431" i="2"/>
  <c r="R431" i="2" s="1"/>
  <c r="P432" i="2"/>
  <c r="R432" i="2" s="1"/>
  <c r="P433" i="2"/>
  <c r="R433" i="2" s="1"/>
  <c r="P1997" i="2"/>
  <c r="R1997" i="2" s="1"/>
  <c r="P1998" i="2"/>
  <c r="R1998" i="2" s="1"/>
  <c r="P1999" i="2"/>
  <c r="R1999" i="2" s="1"/>
  <c r="P2000" i="2"/>
  <c r="R2000" i="2" s="1"/>
  <c r="P2001" i="2"/>
  <c r="R2001" i="2" s="1"/>
  <c r="P1108" i="2"/>
  <c r="R1108" i="2" s="1"/>
  <c r="P1109" i="2"/>
  <c r="R1109" i="2" s="1"/>
  <c r="P1110" i="2"/>
  <c r="R1110" i="2" s="1"/>
  <c r="P1111" i="2"/>
  <c r="R1111" i="2" s="1"/>
  <c r="P1112" i="2"/>
  <c r="R1112" i="2" s="1"/>
  <c r="P1390" i="2"/>
  <c r="R1390" i="2" s="1"/>
  <c r="P1391" i="2"/>
  <c r="R1391" i="2" s="1"/>
  <c r="P706" i="2"/>
  <c r="R706" i="2" s="1"/>
  <c r="P707" i="2"/>
  <c r="R707" i="2" s="1"/>
  <c r="P1240" i="2"/>
  <c r="R1240" i="2" s="1"/>
  <c r="P1241" i="2"/>
  <c r="R1241" i="2" s="1"/>
  <c r="P1660" i="2"/>
  <c r="R1660" i="2" s="1"/>
  <c r="P1661" i="2"/>
  <c r="R1661" i="2" s="1"/>
  <c r="P1662" i="2"/>
  <c r="R1662" i="2" s="1"/>
  <c r="P1663" i="2"/>
  <c r="R1663" i="2" s="1"/>
  <c r="P1664" i="2"/>
  <c r="R1664" i="2" s="1"/>
  <c r="P877" i="2"/>
  <c r="R877" i="2" s="1"/>
  <c r="P1936" i="2"/>
  <c r="R1936" i="2" s="1"/>
  <c r="P1937" i="2"/>
  <c r="R1937" i="2" s="1"/>
  <c r="P1938" i="2"/>
  <c r="R1938" i="2" s="1"/>
  <c r="P1044" i="2"/>
  <c r="R1044" i="2" s="1"/>
  <c r="P1045" i="2"/>
  <c r="R1045" i="2" s="1"/>
  <c r="P1046" i="2"/>
  <c r="R1046" i="2" s="1"/>
  <c r="P1246" i="2"/>
  <c r="R1246" i="2" s="1"/>
  <c r="P1247" i="2"/>
  <c r="R1247" i="2" s="1"/>
  <c r="P1248" i="2"/>
  <c r="R1248" i="2" s="1"/>
  <c r="P1249" i="2"/>
  <c r="R1249" i="2" s="1"/>
  <c r="P1250" i="2"/>
  <c r="R1250" i="2" s="1"/>
  <c r="P254" i="2"/>
  <c r="R254" i="2" s="1"/>
  <c r="P255" i="2"/>
  <c r="R255" i="2" s="1"/>
  <c r="P256" i="2"/>
  <c r="R256" i="2" s="1"/>
  <c r="P257" i="2"/>
  <c r="R257" i="2" s="1"/>
  <c r="P99" i="2"/>
  <c r="R99" i="2" s="1"/>
  <c r="P100" i="2"/>
  <c r="R100" i="2" s="1"/>
  <c r="P101" i="2"/>
  <c r="R101" i="2" s="1"/>
  <c r="P102" i="2"/>
  <c r="R102" i="2" s="1"/>
  <c r="P835" i="2"/>
  <c r="R835" i="2" s="1"/>
  <c r="P836" i="2"/>
  <c r="R836" i="2" s="1"/>
  <c r="P837" i="2"/>
  <c r="R837" i="2" s="1"/>
  <c r="P838" i="2"/>
  <c r="R838" i="2" s="1"/>
  <c r="P51" i="2"/>
  <c r="R51" i="2" s="1"/>
  <c r="P52" i="2"/>
  <c r="R52" i="2" s="1"/>
  <c r="P53" i="2"/>
  <c r="R53" i="2" s="1"/>
  <c r="P54" i="2"/>
  <c r="R54" i="2" s="1"/>
  <c r="P55" i="2"/>
  <c r="R55" i="2" s="1"/>
  <c r="P921" i="2"/>
  <c r="R921" i="2" s="1"/>
  <c r="P922" i="2"/>
  <c r="R922" i="2" s="1"/>
  <c r="P923" i="2"/>
  <c r="R923" i="2" s="1"/>
  <c r="P924" i="2"/>
  <c r="R924" i="2" s="1"/>
  <c r="P925" i="2"/>
  <c r="R925" i="2" s="1"/>
  <c r="P956" i="2"/>
  <c r="R956" i="2" s="1"/>
  <c r="P957" i="2"/>
  <c r="R957" i="2" s="1"/>
  <c r="P958" i="2"/>
  <c r="R958" i="2" s="1"/>
  <c r="P959" i="2"/>
  <c r="R959" i="2" s="1"/>
  <c r="P1186" i="2"/>
  <c r="R1186" i="2" s="1"/>
  <c r="P1187" i="2"/>
  <c r="R1187" i="2" s="1"/>
  <c r="P1188" i="2"/>
  <c r="R1188" i="2" s="1"/>
  <c r="P1189" i="2"/>
  <c r="R1189" i="2" s="1"/>
  <c r="P1190" i="2"/>
  <c r="R1190" i="2" s="1"/>
  <c r="P68" i="2"/>
  <c r="R68" i="2" s="1"/>
  <c r="P1838" i="2"/>
  <c r="R1838" i="2" s="1"/>
  <c r="P1839" i="2"/>
  <c r="R1839" i="2" s="1"/>
  <c r="P178" i="2"/>
  <c r="R178" i="2" s="1"/>
  <c r="P179" i="2"/>
  <c r="R179" i="2" s="1"/>
  <c r="P180" i="2"/>
  <c r="R180" i="2" s="1"/>
  <c r="P181" i="2"/>
  <c r="R181" i="2" s="1"/>
  <c r="P182" i="2"/>
  <c r="R182" i="2" s="1"/>
  <c r="P735" i="2"/>
  <c r="R735" i="2" s="1"/>
  <c r="P736" i="2"/>
  <c r="R736" i="2" s="1"/>
  <c r="P737" i="2"/>
  <c r="R737" i="2" s="1"/>
  <c r="P738" i="2"/>
  <c r="R738" i="2" s="1"/>
  <c r="P1327" i="2"/>
  <c r="R1327" i="2" s="1"/>
  <c r="P1328" i="2"/>
  <c r="R1328" i="2" s="1"/>
  <c r="P781" i="2"/>
  <c r="R781" i="2" s="1"/>
  <c r="P782" i="2"/>
  <c r="R782" i="2" s="1"/>
  <c r="P783" i="2"/>
  <c r="R783" i="2" s="1"/>
  <c r="P784" i="2"/>
  <c r="R784" i="2" s="1"/>
  <c r="P258" i="2"/>
  <c r="R258" i="2" s="1"/>
  <c r="P259" i="2"/>
  <c r="R259" i="2" s="1"/>
  <c r="P828" i="2"/>
  <c r="R828" i="2" s="1"/>
  <c r="P829" i="2"/>
  <c r="R829" i="2" s="1"/>
  <c r="P830" i="2"/>
  <c r="R830" i="2" s="1"/>
  <c r="P831" i="2"/>
  <c r="R831" i="2" s="1"/>
  <c r="P832" i="2"/>
  <c r="R832" i="2" s="1"/>
  <c r="P1086" i="2"/>
  <c r="R1086" i="2" s="1"/>
  <c r="P676" i="2"/>
  <c r="R676" i="2" s="1"/>
  <c r="P677" i="2"/>
  <c r="R677" i="2" s="1"/>
  <c r="P1470" i="2"/>
  <c r="R1470" i="2" s="1"/>
  <c r="P1471" i="2"/>
  <c r="R1471" i="2" s="1"/>
  <c r="P1472" i="2"/>
  <c r="R1472" i="2" s="1"/>
  <c r="P1473" i="2"/>
  <c r="R1473" i="2" s="1"/>
  <c r="P627" i="2"/>
  <c r="R627" i="2" s="1"/>
  <c r="P628" i="2"/>
  <c r="R628" i="2" s="1"/>
  <c r="P629" i="2"/>
  <c r="R629" i="2" s="1"/>
  <c r="P630" i="2"/>
  <c r="R630" i="2" s="1"/>
  <c r="P542" i="2"/>
  <c r="R542" i="2" s="1"/>
  <c r="P361" i="2"/>
  <c r="R361" i="2" s="1"/>
  <c r="P362" i="2"/>
  <c r="R362" i="2" s="1"/>
  <c r="P1161" i="2"/>
  <c r="R1161" i="2" s="1"/>
  <c r="P638" i="2"/>
  <c r="R638" i="2" s="1"/>
  <c r="P639" i="2"/>
  <c r="R639" i="2" s="1"/>
  <c r="P606" i="2"/>
  <c r="R606" i="2" s="1"/>
  <c r="P607" i="2"/>
  <c r="R607" i="2" s="1"/>
  <c r="P608" i="2"/>
  <c r="R608" i="2" s="1"/>
  <c r="P260" i="2"/>
  <c r="R260" i="2" s="1"/>
  <c r="P261" i="2"/>
  <c r="R261" i="2" s="1"/>
  <c r="P262" i="2"/>
  <c r="R262" i="2" s="1"/>
  <c r="P263" i="2"/>
  <c r="R263" i="2" s="1"/>
  <c r="P235" i="2"/>
  <c r="R235" i="2" s="1"/>
  <c r="P236" i="2"/>
  <c r="R236" i="2" s="1"/>
  <c r="P1772" i="2"/>
  <c r="R1772" i="2" s="1"/>
  <c r="P1976" i="2"/>
  <c r="R1976" i="2" s="1"/>
  <c r="P1977" i="2"/>
  <c r="R1977" i="2" s="1"/>
  <c r="P1978" i="2"/>
  <c r="R1978" i="2" s="1"/>
  <c r="P1643" i="2"/>
  <c r="R1643" i="2" s="1"/>
  <c r="P1644" i="2"/>
  <c r="R1644" i="2" s="1"/>
  <c r="P1645" i="2"/>
  <c r="R1645" i="2" s="1"/>
  <c r="P1646" i="2"/>
  <c r="R1646" i="2" s="1"/>
  <c r="P1647" i="2"/>
  <c r="R1647" i="2" s="1"/>
  <c r="P1570" i="2"/>
  <c r="R1570" i="2" s="1"/>
  <c r="P1571" i="2"/>
  <c r="R1571" i="2" s="1"/>
  <c r="P1572" i="2"/>
  <c r="R1572" i="2" s="1"/>
  <c r="P307" i="2"/>
  <c r="R307" i="2" s="1"/>
  <c r="P308" i="2"/>
  <c r="R308" i="2" s="1"/>
  <c r="P309" i="2"/>
  <c r="R309" i="2" s="1"/>
  <c r="P310" i="2"/>
  <c r="R310" i="2" s="1"/>
  <c r="P1960" i="2"/>
  <c r="R1960" i="2" s="1"/>
  <c r="P1961" i="2"/>
  <c r="R1961" i="2" s="1"/>
  <c r="P1962" i="2"/>
  <c r="R1962" i="2" s="1"/>
  <c r="P1963" i="2"/>
  <c r="R1963" i="2" s="1"/>
  <c r="P1964" i="2"/>
  <c r="R1964" i="2" s="1"/>
  <c r="P1426" i="2"/>
  <c r="R1426" i="2" s="1"/>
  <c r="P1861" i="2"/>
  <c r="R1861" i="2" s="1"/>
  <c r="P1641" i="2"/>
  <c r="R1641" i="2" s="1"/>
  <c r="P1642" i="2"/>
  <c r="R1642" i="2" s="1"/>
  <c r="P1028" i="2"/>
  <c r="R1028" i="2" s="1"/>
  <c r="P1029" i="2"/>
  <c r="R1029" i="2" s="1"/>
  <c r="P1030" i="2"/>
  <c r="R1030" i="2" s="1"/>
  <c r="P291" i="2"/>
  <c r="R291" i="2" s="1"/>
  <c r="P1848" i="2"/>
  <c r="R1848" i="2" s="1"/>
  <c r="P1849" i="2"/>
  <c r="R1849" i="2" s="1"/>
  <c r="P1850" i="2"/>
  <c r="R1850" i="2" s="1"/>
  <c r="P1847" i="2"/>
  <c r="R1847" i="2" s="1"/>
  <c r="P434" i="2"/>
  <c r="R434" i="2" s="1"/>
  <c r="P1559" i="2"/>
  <c r="R1559" i="2" s="1"/>
  <c r="P1560" i="2"/>
  <c r="R1560" i="2" s="1"/>
  <c r="P575" i="2"/>
  <c r="R575" i="2" s="1"/>
  <c r="P576" i="2"/>
  <c r="R576" i="2" s="1"/>
  <c r="P577" i="2"/>
  <c r="R577" i="2" s="1"/>
  <c r="P578" i="2"/>
  <c r="R578" i="2" s="1"/>
  <c r="P579" i="2"/>
  <c r="R579" i="2" s="1"/>
  <c r="P991" i="2"/>
  <c r="R991" i="2" s="1"/>
  <c r="P992" i="2"/>
  <c r="R992" i="2" s="1"/>
  <c r="P993" i="2"/>
  <c r="R993" i="2" s="1"/>
  <c r="P994" i="2"/>
  <c r="R994" i="2" s="1"/>
  <c r="P995" i="2"/>
  <c r="R995" i="2" s="1"/>
  <c r="P866" i="2"/>
  <c r="R866" i="2" s="1"/>
  <c r="P159" i="2"/>
  <c r="R159" i="2" s="1"/>
  <c r="P160" i="2"/>
  <c r="R160" i="2" s="1"/>
  <c r="P161" i="2"/>
  <c r="R161" i="2" s="1"/>
  <c r="P162" i="2"/>
  <c r="R162" i="2" s="1"/>
  <c r="P163" i="2"/>
  <c r="R163" i="2" s="1"/>
  <c r="P1633" i="2"/>
  <c r="R1633" i="2" s="1"/>
  <c r="P1634" i="2"/>
  <c r="R1634" i="2" s="1"/>
  <c r="P1635" i="2"/>
  <c r="R1635" i="2" s="1"/>
  <c r="P746" i="2"/>
  <c r="R746" i="2" s="1"/>
  <c r="P747" i="2"/>
  <c r="R747" i="2" s="1"/>
  <c r="P748" i="2"/>
  <c r="R748" i="2" s="1"/>
  <c r="P749" i="2"/>
  <c r="R749" i="2" s="1"/>
  <c r="P750" i="2"/>
  <c r="R750" i="2" s="1"/>
  <c r="P651" i="2"/>
  <c r="R651" i="2" s="1"/>
  <c r="P652" i="2"/>
  <c r="R652" i="2" s="1"/>
  <c r="P653" i="2"/>
  <c r="R653" i="2" s="1"/>
  <c r="P654" i="2"/>
  <c r="R654" i="2" s="1"/>
  <c r="P655" i="2"/>
  <c r="R655" i="2" s="1"/>
  <c r="P474" i="2"/>
  <c r="R474" i="2" s="1"/>
  <c r="P475" i="2"/>
  <c r="R475" i="2" s="1"/>
  <c r="P476" i="2"/>
  <c r="R476" i="2" s="1"/>
  <c r="P477" i="2"/>
  <c r="R477" i="2" s="1"/>
  <c r="P1275" i="2"/>
  <c r="R1275" i="2" s="1"/>
  <c r="P1276" i="2"/>
  <c r="R1276" i="2" s="1"/>
  <c r="P1277" i="2"/>
  <c r="R1277" i="2" s="1"/>
  <c r="P1278" i="2"/>
  <c r="R1278" i="2" s="1"/>
  <c r="P1329" i="2"/>
  <c r="R1329" i="2" s="1"/>
  <c r="P983" i="2"/>
  <c r="R983" i="2" s="1"/>
  <c r="P1398" i="2"/>
  <c r="R1398" i="2" s="1"/>
  <c r="P1399" i="2"/>
  <c r="R1399" i="2" s="1"/>
  <c r="P1400" i="2"/>
  <c r="R1400" i="2" s="1"/>
  <c r="P1401" i="2"/>
  <c r="R1401" i="2" s="1"/>
  <c r="P1402" i="2"/>
  <c r="R1402" i="2" s="1"/>
  <c r="P483" i="2"/>
  <c r="R483" i="2" s="1"/>
  <c r="P484" i="2"/>
  <c r="R484" i="2" s="1"/>
  <c r="P485" i="2"/>
  <c r="R485" i="2" s="1"/>
  <c r="P1593" i="2"/>
  <c r="R1593" i="2" s="1"/>
  <c r="P1594" i="2"/>
  <c r="R1594" i="2" s="1"/>
  <c r="P1053" i="2"/>
  <c r="R1053" i="2" s="1"/>
  <c r="P596" i="2"/>
  <c r="R596" i="2" s="1"/>
  <c r="P597" i="2"/>
  <c r="R597" i="2" s="1"/>
  <c r="P598" i="2"/>
  <c r="R598" i="2" s="1"/>
  <c r="P599" i="2"/>
  <c r="R599" i="2" s="1"/>
  <c r="P600" i="2"/>
  <c r="R600" i="2" s="1"/>
  <c r="P1820" i="2"/>
  <c r="R1820" i="2" s="1"/>
  <c r="P1821" i="2"/>
  <c r="R1821" i="2" s="1"/>
  <c r="P1822" i="2"/>
  <c r="R1822" i="2" s="1"/>
  <c r="P1557" i="2"/>
  <c r="R1557" i="2" s="1"/>
  <c r="P1916" i="2"/>
  <c r="R1916" i="2" s="1"/>
  <c r="P1917" i="2"/>
  <c r="R1917" i="2" s="1"/>
  <c r="P1918" i="2"/>
  <c r="R1918" i="2" s="1"/>
  <c r="P265" i="2"/>
  <c r="R265" i="2" s="1"/>
  <c r="P266" i="2"/>
  <c r="R266" i="2" s="1"/>
  <c r="P267" i="2"/>
  <c r="R267" i="2" s="1"/>
  <c r="P268" i="2"/>
  <c r="R268" i="2" s="1"/>
  <c r="P554" i="2"/>
  <c r="R554" i="2" s="1"/>
  <c r="P27" i="2"/>
  <c r="R27" i="2" s="1"/>
  <c r="P1251" i="2"/>
  <c r="R1251" i="2" s="1"/>
  <c r="P271" i="2"/>
  <c r="R271" i="2" s="1"/>
  <c r="P272" i="2"/>
  <c r="R272" i="2" s="1"/>
  <c r="P658" i="2"/>
  <c r="R658" i="2" s="1"/>
  <c r="P659" i="2"/>
  <c r="R659" i="2" s="1"/>
  <c r="P660" i="2"/>
  <c r="R660" i="2" s="1"/>
  <c r="P661" i="2"/>
  <c r="R661" i="2" s="1"/>
  <c r="P662" i="2"/>
  <c r="R662" i="2" s="1"/>
  <c r="P1503" i="2"/>
  <c r="R1503" i="2" s="1"/>
  <c r="P1528" i="2"/>
  <c r="R1528" i="2" s="1"/>
  <c r="P1529" i="2"/>
  <c r="R1529" i="2" s="1"/>
  <c r="P1530" i="2"/>
  <c r="R1530" i="2" s="1"/>
  <c r="P1779" i="2"/>
  <c r="R1779" i="2" s="1"/>
  <c r="P1780" i="2"/>
  <c r="R1780" i="2" s="1"/>
  <c r="P1781" i="2"/>
  <c r="R1781" i="2" s="1"/>
  <c r="P1000" i="2"/>
  <c r="R1000" i="2" s="1"/>
  <c r="P1001" i="2"/>
  <c r="R1001" i="2" s="1"/>
  <c r="P1002" i="2"/>
  <c r="R1002" i="2" s="1"/>
  <c r="P1003" i="2"/>
  <c r="R1003" i="2" s="1"/>
  <c r="P1004" i="2"/>
  <c r="R1004" i="2" s="1"/>
  <c r="P1983" i="2"/>
  <c r="R1983" i="2" s="1"/>
  <c r="P97" i="2"/>
  <c r="R97" i="2" s="1"/>
  <c r="P822" i="2"/>
  <c r="R822" i="2" s="1"/>
  <c r="P823" i="2"/>
  <c r="R823" i="2" s="1"/>
  <c r="P1897" i="2"/>
  <c r="R1897" i="2" s="1"/>
  <c r="P1898" i="2"/>
  <c r="R1898" i="2" s="1"/>
  <c r="P1899" i="2"/>
  <c r="R1899" i="2" s="1"/>
  <c r="P878" i="2"/>
  <c r="R878" i="2" s="1"/>
  <c r="P879" i="2"/>
  <c r="R879" i="2" s="1"/>
  <c r="P880" i="2"/>
  <c r="R880" i="2" s="1"/>
  <c r="P881" i="2"/>
  <c r="R881" i="2" s="1"/>
  <c r="P678" i="2"/>
  <c r="R678" i="2" s="1"/>
  <c r="P796" i="2"/>
  <c r="R796" i="2" s="1"/>
  <c r="P797" i="2"/>
  <c r="R797" i="2" s="1"/>
  <c r="P798" i="2"/>
  <c r="R798" i="2" s="1"/>
  <c r="P799" i="2"/>
  <c r="R799" i="2" s="1"/>
  <c r="P1523" i="2"/>
  <c r="R1523" i="2" s="1"/>
  <c r="P1524" i="2"/>
  <c r="R1524" i="2" s="1"/>
  <c r="P1525" i="2"/>
  <c r="R1525" i="2" s="1"/>
  <c r="P1526" i="2"/>
  <c r="R1526" i="2" s="1"/>
  <c r="P413" i="2"/>
  <c r="R413" i="2" s="1"/>
  <c r="P414" i="2"/>
  <c r="R414" i="2" s="1"/>
  <c r="P415" i="2"/>
  <c r="R415" i="2" s="1"/>
  <c r="P416" i="2"/>
  <c r="R416" i="2" s="1"/>
  <c r="P417" i="2"/>
  <c r="R417" i="2" s="1"/>
  <c r="P1078" i="2"/>
  <c r="R1078" i="2" s="1"/>
  <c r="P1079" i="2"/>
  <c r="R1079" i="2" s="1"/>
  <c r="P1586" i="2"/>
  <c r="R1586" i="2" s="1"/>
  <c r="P1587" i="2"/>
  <c r="R1587" i="2" s="1"/>
  <c r="P1588" i="2"/>
  <c r="R1588" i="2" s="1"/>
  <c r="P1589" i="2"/>
  <c r="R1589" i="2" s="1"/>
  <c r="P739" i="2"/>
  <c r="R739" i="2" s="1"/>
  <c r="P740" i="2"/>
  <c r="R740" i="2" s="1"/>
  <c r="P741" i="2"/>
  <c r="R741" i="2" s="1"/>
  <c r="P1439" i="2"/>
  <c r="R1439" i="2" s="1"/>
  <c r="P237" i="2"/>
  <c r="R237" i="2" s="1"/>
  <c r="P238" i="2"/>
  <c r="R238" i="2" s="1"/>
  <c r="P239" i="2"/>
  <c r="R239" i="2" s="1"/>
  <c r="P656" i="2"/>
  <c r="R656" i="2" s="1"/>
  <c r="P1210" i="2"/>
  <c r="R1210" i="2" s="1"/>
  <c r="P351" i="2"/>
  <c r="R351" i="2" s="1"/>
  <c r="P352" i="2"/>
  <c r="R352" i="2" s="1"/>
  <c r="P353" i="2"/>
  <c r="R353" i="2" s="1"/>
  <c r="P354" i="2"/>
  <c r="R354" i="2" s="1"/>
  <c r="P355" i="2"/>
  <c r="R355" i="2" s="1"/>
  <c r="P1951" i="2"/>
  <c r="R1951" i="2" s="1"/>
  <c r="P1320" i="2"/>
  <c r="R1320" i="2" s="1"/>
  <c r="P1321" i="2"/>
  <c r="R1321" i="2" s="1"/>
  <c r="P1322" i="2"/>
  <c r="R1322" i="2" s="1"/>
  <c r="P1323" i="2"/>
  <c r="R1323" i="2" s="1"/>
  <c r="P569" i="2"/>
  <c r="R569" i="2" s="1"/>
  <c r="P208" i="2"/>
  <c r="R208" i="2" s="1"/>
  <c r="P209" i="2"/>
  <c r="R209" i="2" s="1"/>
  <c r="P210" i="2"/>
  <c r="R210" i="2" s="1"/>
  <c r="P211" i="2"/>
  <c r="R211" i="2" s="1"/>
  <c r="P212" i="2"/>
  <c r="R212" i="2" s="1"/>
  <c r="P1789" i="2"/>
  <c r="R1789" i="2" s="1"/>
  <c r="P1790" i="2"/>
  <c r="R1790" i="2" s="1"/>
  <c r="P1791" i="2"/>
  <c r="R1791" i="2" s="1"/>
  <c r="P903" i="2"/>
  <c r="R903" i="2" s="1"/>
  <c r="P1344" i="2"/>
  <c r="R1344" i="2" s="1"/>
  <c r="P1345" i="2"/>
  <c r="R1345" i="2" s="1"/>
  <c r="P1346" i="2"/>
  <c r="R1346" i="2" s="1"/>
  <c r="P1896" i="2"/>
  <c r="R1896" i="2" s="1"/>
  <c r="P713" i="2"/>
  <c r="R713" i="2" s="1"/>
  <c r="P714" i="2"/>
  <c r="R714" i="2" s="1"/>
  <c r="P715" i="2"/>
  <c r="R715" i="2" s="1"/>
  <c r="P716" i="2"/>
  <c r="R716" i="2" s="1"/>
  <c r="P790" i="2"/>
  <c r="R790" i="2" s="1"/>
  <c r="P791" i="2"/>
  <c r="R791" i="2" s="1"/>
  <c r="P1065" i="2"/>
  <c r="R1065" i="2" s="1"/>
  <c r="P1066" i="2"/>
  <c r="R1066" i="2" s="1"/>
  <c r="P1067" i="2"/>
  <c r="R1067" i="2" s="1"/>
  <c r="P143" i="2"/>
  <c r="R143" i="2" s="1"/>
  <c r="P144" i="2"/>
  <c r="R144" i="2" s="1"/>
  <c r="P145" i="2"/>
  <c r="R145" i="2" s="1"/>
  <c r="P146" i="2"/>
  <c r="R146" i="2" s="1"/>
  <c r="P147" i="2"/>
  <c r="R147" i="2" s="1"/>
  <c r="P1191" i="2"/>
  <c r="R1191" i="2" s="1"/>
  <c r="P1192" i="2"/>
  <c r="R1192" i="2" s="1"/>
  <c r="P1193" i="2"/>
  <c r="R1193" i="2" s="1"/>
  <c r="P1194" i="2"/>
  <c r="R1194" i="2" s="1"/>
  <c r="P1195" i="2"/>
  <c r="R1195" i="2" s="1"/>
  <c r="P240" i="2"/>
  <c r="R240" i="2" s="1"/>
  <c r="P241" i="2"/>
  <c r="R241" i="2" s="1"/>
  <c r="P242" i="2"/>
  <c r="R242" i="2" s="1"/>
  <c r="P1123" i="2"/>
  <c r="R1123" i="2" s="1"/>
  <c r="P1124" i="2"/>
  <c r="R1124" i="2" s="1"/>
  <c r="P1125" i="2"/>
  <c r="R1125" i="2" s="1"/>
  <c r="P1126" i="2"/>
  <c r="R1126" i="2" s="1"/>
  <c r="P1743" i="2"/>
  <c r="R1743" i="2" s="1"/>
  <c r="P1744" i="2"/>
  <c r="R1744" i="2" s="1"/>
  <c r="P960" i="2"/>
  <c r="R960" i="2" s="1"/>
  <c r="P32" i="2"/>
  <c r="R32" i="2" s="1"/>
  <c r="P33" i="2"/>
  <c r="R33" i="2" s="1"/>
  <c r="P34" i="2"/>
  <c r="R34" i="2" s="1"/>
  <c r="P35" i="2"/>
  <c r="R35" i="2" s="1"/>
  <c r="P36" i="2"/>
  <c r="R36" i="2" s="1"/>
  <c r="P1378" i="2"/>
  <c r="R1378" i="2" s="1"/>
  <c r="P1379" i="2"/>
  <c r="R1379" i="2" s="1"/>
  <c r="P1380" i="2"/>
  <c r="R1380" i="2" s="1"/>
  <c r="P1381" i="2"/>
  <c r="R1381" i="2" s="1"/>
  <c r="P1382" i="2"/>
  <c r="R1382" i="2" s="1"/>
  <c r="P1749" i="2"/>
  <c r="R1749" i="2" s="1"/>
  <c r="P1750" i="2"/>
  <c r="R1750" i="2" s="1"/>
  <c r="P1751" i="2"/>
  <c r="R1751" i="2" s="1"/>
  <c r="P1829" i="2"/>
  <c r="R1829" i="2" s="1"/>
  <c r="P1830" i="2"/>
  <c r="R1830" i="2" s="1"/>
  <c r="P1330" i="2"/>
  <c r="R1330" i="2" s="1"/>
  <c r="P1331" i="2"/>
  <c r="R1331" i="2" s="1"/>
  <c r="P1332" i="2"/>
  <c r="R1332" i="2" s="1"/>
  <c r="P1333" i="2"/>
  <c r="R1333" i="2" s="1"/>
  <c r="P7" i="2"/>
  <c r="R7" i="2" s="1"/>
  <c r="P8" i="2"/>
  <c r="R8" i="2" s="1"/>
  <c r="P9" i="2"/>
  <c r="R9" i="2" s="1"/>
  <c r="P502" i="2"/>
  <c r="R502" i="2" s="1"/>
  <c r="P503" i="2"/>
  <c r="R503" i="2" s="1"/>
  <c r="P889" i="2"/>
  <c r="R889" i="2" s="1"/>
  <c r="P890" i="2"/>
  <c r="R890" i="2" s="1"/>
  <c r="P891" i="2"/>
  <c r="R891" i="2" s="1"/>
  <c r="P892" i="2"/>
  <c r="R892" i="2" s="1"/>
  <c r="P893" i="2"/>
  <c r="R893" i="2" s="1"/>
  <c r="P1347" i="2"/>
  <c r="R1347" i="2" s="1"/>
  <c r="P1348" i="2"/>
  <c r="R1348" i="2" s="1"/>
  <c r="P356" i="2"/>
  <c r="R356" i="2" s="1"/>
  <c r="P357" i="2"/>
  <c r="R357" i="2" s="1"/>
  <c r="P358" i="2"/>
  <c r="R358" i="2" s="1"/>
  <c r="P359" i="2"/>
  <c r="R359" i="2" s="1"/>
  <c r="P360" i="2"/>
  <c r="R360" i="2" s="1"/>
  <c r="P1617" i="2"/>
  <c r="R1617" i="2" s="1"/>
  <c r="P1618" i="2"/>
  <c r="R1618" i="2" s="1"/>
  <c r="P643" i="2"/>
  <c r="R643" i="2" s="1"/>
  <c r="P644" i="2"/>
  <c r="R644" i="2" s="1"/>
  <c r="P645" i="2"/>
  <c r="R645" i="2" s="1"/>
  <c r="P785" i="2"/>
  <c r="R785" i="2" s="1"/>
  <c r="P786" i="2"/>
  <c r="R786" i="2" s="1"/>
  <c r="P1405" i="2"/>
  <c r="R1405" i="2" s="1"/>
  <c r="P222" i="2"/>
  <c r="R222" i="2" s="1"/>
  <c r="P223" i="2"/>
  <c r="R223" i="2" s="1"/>
  <c r="P224" i="2"/>
  <c r="R224" i="2" s="1"/>
  <c r="P225" i="2"/>
  <c r="R225" i="2" s="1"/>
  <c r="P226" i="2"/>
  <c r="R226" i="2" s="1"/>
  <c r="P779" i="2"/>
  <c r="R779" i="2" s="1"/>
  <c r="P996" i="2"/>
  <c r="R996" i="2" s="1"/>
  <c r="P997" i="2"/>
  <c r="R997" i="2" s="1"/>
  <c r="P103" i="2"/>
  <c r="R103" i="2" s="1"/>
  <c r="P104" i="2"/>
  <c r="R104" i="2" s="1"/>
  <c r="P105" i="2"/>
  <c r="R105" i="2" s="1"/>
  <c r="P106" i="2"/>
  <c r="R106" i="2" s="1"/>
  <c r="P570" i="2"/>
  <c r="R570" i="2" s="1"/>
  <c r="P571" i="2"/>
  <c r="R571" i="2" s="1"/>
  <c r="P572" i="2"/>
  <c r="R572" i="2" s="1"/>
  <c r="P708" i="2"/>
  <c r="R708" i="2" s="1"/>
  <c r="P709" i="2"/>
  <c r="R709" i="2" s="1"/>
  <c r="P710" i="2"/>
  <c r="R710" i="2" s="1"/>
  <c r="P711" i="2"/>
  <c r="R711" i="2" s="1"/>
  <c r="P543" i="2"/>
  <c r="R543" i="2" s="1"/>
  <c r="P544" i="2"/>
  <c r="R544" i="2" s="1"/>
  <c r="P1488" i="2"/>
  <c r="R1488" i="2" s="1"/>
  <c r="P1489" i="2"/>
  <c r="R1489" i="2" s="1"/>
  <c r="P1490" i="2"/>
  <c r="R1490" i="2" s="1"/>
  <c r="P164" i="2"/>
  <c r="R164" i="2" s="1"/>
  <c r="P165" i="2"/>
  <c r="R165" i="2" s="1"/>
  <c r="P166" i="2"/>
  <c r="R166" i="2" s="1"/>
  <c r="P167" i="2"/>
  <c r="R167" i="2" s="1"/>
  <c r="P168" i="2"/>
  <c r="R168" i="2" s="1"/>
  <c r="P792" i="2"/>
  <c r="R792" i="2" s="1"/>
  <c r="P793" i="2"/>
  <c r="R793" i="2" s="1"/>
  <c r="P794" i="2"/>
  <c r="R794" i="2" s="1"/>
  <c r="P795" i="2"/>
  <c r="R795" i="2" s="1"/>
  <c r="P124" i="2"/>
  <c r="R124" i="2" s="1"/>
  <c r="P125" i="2"/>
  <c r="R125" i="2" s="1"/>
  <c r="P126" i="2"/>
  <c r="R126" i="2" s="1"/>
  <c r="P127" i="2"/>
  <c r="R127" i="2" s="1"/>
  <c r="P128" i="2"/>
  <c r="R128" i="2" s="1"/>
  <c r="P1620" i="2"/>
  <c r="R1620" i="2" s="1"/>
  <c r="P1621" i="2"/>
  <c r="R1621" i="2" s="1"/>
  <c r="P1622" i="2"/>
  <c r="R1622" i="2" s="1"/>
  <c r="P1623" i="2"/>
  <c r="R1623" i="2" s="1"/>
  <c r="P1718" i="2"/>
  <c r="R1718" i="2" s="1"/>
  <c r="P1719" i="2"/>
  <c r="R1719" i="2" s="1"/>
  <c r="P1720" i="2"/>
  <c r="R1720" i="2" s="1"/>
  <c r="P1721" i="2"/>
  <c r="R1721" i="2" s="1"/>
  <c r="P1722" i="2"/>
  <c r="R1722" i="2" s="1"/>
  <c r="P1984" i="2"/>
  <c r="R1984" i="2" s="1"/>
  <c r="P1944" i="2"/>
  <c r="R1944" i="2" s="1"/>
  <c r="P1911" i="2"/>
  <c r="R1911" i="2" s="1"/>
  <c r="P486" i="2"/>
  <c r="R486" i="2" s="1"/>
  <c r="P487" i="2"/>
  <c r="R487" i="2" s="1"/>
  <c r="P488" i="2"/>
  <c r="R488" i="2" s="1"/>
  <c r="P489" i="2"/>
  <c r="R489" i="2" s="1"/>
  <c r="P490" i="2"/>
  <c r="R490" i="2" s="1"/>
  <c r="P1491" i="2"/>
  <c r="R1491" i="2" s="1"/>
  <c r="P1492" i="2"/>
  <c r="R1492" i="2" s="1"/>
  <c r="P1493" i="2"/>
  <c r="R1493" i="2" s="1"/>
  <c r="P1494" i="2"/>
  <c r="R1494" i="2" s="1"/>
  <c r="P1054" i="2"/>
  <c r="R1054" i="2" s="1"/>
  <c r="P1055" i="2"/>
  <c r="R1055" i="2" s="1"/>
  <c r="P1056" i="2"/>
  <c r="R1056" i="2" s="1"/>
  <c r="P1130" i="2"/>
  <c r="R1130" i="2" s="1"/>
  <c r="P1131" i="2"/>
  <c r="R1131" i="2" s="1"/>
  <c r="P1132" i="2"/>
  <c r="R1132" i="2" s="1"/>
  <c r="P1133" i="2"/>
  <c r="R1133" i="2" s="1"/>
  <c r="P1736" i="2"/>
  <c r="R1736" i="2" s="1"/>
  <c r="P1737" i="2"/>
  <c r="R1737" i="2" s="1"/>
  <c r="P1738" i="2"/>
  <c r="R1738" i="2" s="1"/>
  <c r="P1739" i="2"/>
  <c r="R1739" i="2" s="1"/>
  <c r="P1740" i="2"/>
  <c r="R1740" i="2" s="1"/>
  <c r="P450" i="2"/>
  <c r="R450" i="2" s="1"/>
  <c r="P451" i="2"/>
  <c r="R451" i="2" s="1"/>
  <c r="P452" i="2"/>
  <c r="R452" i="2" s="1"/>
  <c r="P453" i="2"/>
  <c r="R453" i="2" s="1"/>
  <c r="P454" i="2"/>
  <c r="R454" i="2" s="1"/>
  <c r="P1673" i="2"/>
  <c r="R1673" i="2" s="1"/>
  <c r="P1674" i="2"/>
  <c r="R1674" i="2" s="1"/>
  <c r="P1675" i="2"/>
  <c r="R1675" i="2" s="1"/>
  <c r="P1676" i="2"/>
  <c r="R1676" i="2" s="1"/>
  <c r="P1677" i="2"/>
  <c r="R1677" i="2" s="1"/>
  <c r="P1005" i="2"/>
  <c r="R1005" i="2" s="1"/>
  <c r="P1006" i="2"/>
  <c r="R1006" i="2" s="1"/>
  <c r="P283" i="2"/>
  <c r="R283" i="2" s="1"/>
  <c r="P284" i="2"/>
  <c r="R284" i="2" s="1"/>
  <c r="P285" i="2"/>
  <c r="R285" i="2" s="1"/>
  <c r="P286" i="2"/>
  <c r="R286" i="2" s="1"/>
  <c r="P1867" i="2"/>
  <c r="R1867" i="2" s="1"/>
  <c r="P1868" i="2"/>
  <c r="R1868" i="2" s="1"/>
  <c r="P1869" i="2"/>
  <c r="R1869" i="2" s="1"/>
  <c r="P1870" i="2"/>
  <c r="R1870" i="2" s="1"/>
  <c r="P766" i="2"/>
  <c r="R766" i="2" s="1"/>
  <c r="P767" i="2"/>
  <c r="R767" i="2" s="1"/>
  <c r="P768" i="2"/>
  <c r="R768" i="2" s="1"/>
  <c r="P769" i="2"/>
  <c r="R769" i="2" s="1"/>
  <c r="P770" i="2"/>
  <c r="R770" i="2" s="1"/>
  <c r="P184" i="2"/>
  <c r="R184" i="2" s="1"/>
  <c r="P185" i="2"/>
  <c r="R185" i="2" s="1"/>
  <c r="P186" i="2"/>
  <c r="R186" i="2" s="1"/>
  <c r="P187" i="2"/>
  <c r="R187" i="2" s="1"/>
  <c r="P188" i="2"/>
  <c r="R188" i="2" s="1"/>
  <c r="P249" i="2"/>
  <c r="R249" i="2" s="1"/>
  <c r="P250" i="2"/>
  <c r="R250" i="2" s="1"/>
  <c r="P251" i="2"/>
  <c r="R251" i="2" s="1"/>
  <c r="P580" i="2"/>
  <c r="R580" i="2" s="1"/>
  <c r="P787" i="2"/>
  <c r="R787" i="2" s="1"/>
  <c r="P341" i="2"/>
  <c r="R341" i="2" s="1"/>
  <c r="P342" i="2"/>
  <c r="R342" i="2" s="1"/>
  <c r="P343" i="2"/>
  <c r="R343" i="2" s="1"/>
  <c r="P344" i="2"/>
  <c r="R344" i="2" s="1"/>
  <c r="P345" i="2"/>
  <c r="R345" i="2" s="1"/>
  <c r="P1409" i="2"/>
  <c r="R1409" i="2" s="1"/>
  <c r="P1018" i="2"/>
  <c r="R1018" i="2" s="1"/>
  <c r="P1019" i="2"/>
  <c r="R1019" i="2" s="1"/>
  <c r="P1020" i="2"/>
  <c r="R1020" i="2" s="1"/>
  <c r="P1687" i="2"/>
  <c r="R1687" i="2" s="1"/>
  <c r="P1688" i="2"/>
  <c r="R1688" i="2" s="1"/>
  <c r="P1689" i="2"/>
  <c r="R1689" i="2" s="1"/>
  <c r="P1690" i="2"/>
  <c r="R1690" i="2" s="1"/>
  <c r="P1691" i="2"/>
  <c r="R1691" i="2" s="1"/>
  <c r="P504" i="2"/>
  <c r="R504" i="2" s="1"/>
  <c r="P505" i="2"/>
  <c r="R505" i="2" s="1"/>
  <c r="P506" i="2"/>
  <c r="R506" i="2" s="1"/>
  <c r="P926" i="2"/>
  <c r="R926" i="2" s="1"/>
  <c r="P927" i="2"/>
  <c r="R927" i="2" s="1"/>
  <c r="P928" i="2"/>
  <c r="R928" i="2" s="1"/>
  <c r="P929" i="2"/>
  <c r="R929" i="2" s="1"/>
  <c r="P930" i="2"/>
  <c r="R930" i="2" s="1"/>
  <c r="P1150" i="2"/>
  <c r="R1150" i="2" s="1"/>
  <c r="P1119" i="2"/>
  <c r="R1119" i="2" s="1"/>
  <c r="P1120" i="2"/>
  <c r="R1120" i="2" s="1"/>
  <c r="P1121" i="2"/>
  <c r="R1121" i="2" s="1"/>
  <c r="P1122" i="2"/>
  <c r="R1122" i="2" s="1"/>
  <c r="P1474" i="2"/>
  <c r="R1474" i="2" s="1"/>
  <c r="P1475" i="2"/>
  <c r="R1475" i="2" s="1"/>
  <c r="P1476" i="2"/>
  <c r="R1476" i="2" s="1"/>
  <c r="P1477" i="2"/>
  <c r="R1477" i="2" s="1"/>
  <c r="P1478" i="2"/>
  <c r="R1478" i="2" s="1"/>
  <c r="P1823" i="2"/>
  <c r="R1823" i="2" s="1"/>
  <c r="P1824" i="2"/>
  <c r="R1824" i="2" s="1"/>
  <c r="P1825" i="2"/>
  <c r="R1825" i="2" s="1"/>
  <c r="P1826" i="2"/>
  <c r="R1826" i="2" s="1"/>
  <c r="P1827" i="2"/>
  <c r="R1827" i="2" s="1"/>
  <c r="P398" i="2"/>
  <c r="R398" i="2" s="1"/>
  <c r="P1217" i="2"/>
  <c r="R1217" i="2" s="1"/>
  <c r="P1218" i="2"/>
  <c r="R1218" i="2" s="1"/>
  <c r="P1141" i="2"/>
  <c r="R1141" i="2" s="1"/>
  <c r="P1142" i="2"/>
  <c r="R1142" i="2" s="1"/>
  <c r="P1143" i="2"/>
  <c r="R1143" i="2" s="1"/>
  <c r="P1144" i="2"/>
  <c r="R1144" i="2" s="1"/>
  <c r="P1145" i="2"/>
  <c r="R1145" i="2" s="1"/>
  <c r="P1723" i="2"/>
  <c r="R1723" i="2" s="1"/>
  <c r="P1724" i="2"/>
  <c r="R1724" i="2" s="1"/>
  <c r="P841" i="2"/>
  <c r="R841" i="2" s="1"/>
  <c r="P842" i="2"/>
  <c r="R842" i="2" s="1"/>
  <c r="P843" i="2"/>
  <c r="R843" i="2" s="1"/>
  <c r="P844" i="2"/>
  <c r="R844" i="2" s="1"/>
  <c r="P845" i="2"/>
  <c r="R845" i="2" s="1"/>
  <c r="P771" i="2"/>
  <c r="R771" i="2" s="1"/>
  <c r="P772" i="2"/>
  <c r="R772" i="2" s="1"/>
  <c r="P773" i="2"/>
  <c r="R773" i="2" s="1"/>
  <c r="P774" i="2"/>
  <c r="R774" i="2" s="1"/>
  <c r="P1606" i="2"/>
  <c r="R1606" i="2" s="1"/>
  <c r="P1607" i="2"/>
  <c r="R1607" i="2" s="1"/>
  <c r="P1608" i="2"/>
  <c r="R1608" i="2" s="1"/>
  <c r="P1609" i="2"/>
  <c r="R1609" i="2" s="1"/>
  <c r="P1610" i="2"/>
  <c r="R1610" i="2" s="1"/>
  <c r="P1624" i="2"/>
  <c r="R1624" i="2" s="1"/>
  <c r="P1625" i="2"/>
  <c r="R1625" i="2" s="1"/>
  <c r="P1626" i="2"/>
  <c r="R1626" i="2" s="1"/>
  <c r="P1627" i="2"/>
  <c r="R1627" i="2" s="1"/>
  <c r="P1536" i="2"/>
  <c r="R1536" i="2" s="1"/>
  <c r="P1537" i="2"/>
  <c r="R1537" i="2" s="1"/>
  <c r="P1538" i="2"/>
  <c r="R1538" i="2" s="1"/>
  <c r="P1539" i="2"/>
  <c r="R1539" i="2" s="1"/>
  <c r="P1540" i="2"/>
  <c r="R1540" i="2" s="1"/>
  <c r="P1134" i="2"/>
  <c r="R1134" i="2" s="1"/>
  <c r="P1135" i="2"/>
  <c r="R1135" i="2" s="1"/>
  <c r="P1136" i="2"/>
  <c r="R1136" i="2" s="1"/>
  <c r="P394" i="2"/>
  <c r="R394" i="2" s="1"/>
  <c r="P395" i="2"/>
  <c r="R395" i="2" s="1"/>
  <c r="P20" i="2"/>
  <c r="R20" i="2" s="1"/>
  <c r="P21" i="2"/>
  <c r="R21" i="2" s="1"/>
  <c r="P22" i="2"/>
  <c r="R22" i="2" s="1"/>
  <c r="P23" i="2"/>
  <c r="R23" i="2" s="1"/>
  <c r="P24" i="2"/>
  <c r="R24" i="2" s="1"/>
  <c r="P1805" i="2"/>
  <c r="R1805" i="2" s="1"/>
  <c r="P1806" i="2"/>
  <c r="R1806" i="2" s="1"/>
  <c r="P1807" i="2"/>
  <c r="R1807" i="2" s="1"/>
  <c r="P1808" i="2"/>
  <c r="R1808" i="2" s="1"/>
  <c r="P1809" i="2"/>
  <c r="R1809" i="2" s="1"/>
  <c r="P775" i="2"/>
  <c r="R775" i="2" s="1"/>
  <c r="P776" i="2"/>
  <c r="R776" i="2" s="1"/>
  <c r="P777" i="2"/>
  <c r="R777" i="2" s="1"/>
  <c r="P778" i="2"/>
  <c r="R778" i="2" s="1"/>
  <c r="P1479" i="2"/>
  <c r="R1479" i="2" s="1"/>
  <c r="P1480" i="2"/>
  <c r="R1480" i="2" s="1"/>
  <c r="P1667" i="2"/>
  <c r="R1667" i="2" s="1"/>
  <c r="P1668" i="2"/>
  <c r="R1668" i="2" s="1"/>
  <c r="P1279" i="2"/>
  <c r="R1279" i="2" s="1"/>
  <c r="P1280" i="2"/>
  <c r="R1280" i="2" s="1"/>
  <c r="P1281" i="2"/>
  <c r="R1281" i="2" s="1"/>
  <c r="P1282" i="2"/>
  <c r="R1282" i="2" s="1"/>
  <c r="P213" i="2"/>
  <c r="R213" i="2" s="1"/>
  <c r="P1283" i="2"/>
  <c r="R1283" i="2" s="1"/>
  <c r="P1922" i="2"/>
  <c r="R1922" i="2" s="1"/>
  <c r="P1923" i="2"/>
  <c r="R1923" i="2" s="1"/>
  <c r="P908" i="2"/>
  <c r="R908" i="2" s="1"/>
  <c r="P909" i="2"/>
  <c r="R909" i="2" s="1"/>
  <c r="P910" i="2"/>
  <c r="R910" i="2" s="1"/>
  <c r="P10" i="2"/>
  <c r="R10" i="2" s="1"/>
  <c r="P11" i="2"/>
  <c r="R11" i="2" s="1"/>
  <c r="P872" i="2"/>
  <c r="R872" i="2" s="1"/>
  <c r="P873" i="2"/>
  <c r="R873" i="2" s="1"/>
  <c r="P874" i="2"/>
  <c r="R874" i="2" s="1"/>
  <c r="P1914" i="2"/>
  <c r="R1914" i="2" s="1"/>
  <c r="P1915" i="2"/>
  <c r="R1915" i="2" s="1"/>
  <c r="P196" i="2"/>
  <c r="R196" i="2" s="1"/>
  <c r="P197" i="2"/>
  <c r="R197" i="2" s="1"/>
  <c r="P198" i="2"/>
  <c r="R198" i="2" s="1"/>
  <c r="P199" i="2"/>
  <c r="R199" i="2" s="1"/>
  <c r="P200" i="2"/>
  <c r="R200" i="2" s="1"/>
  <c r="P717" i="2"/>
  <c r="R717" i="2" s="1"/>
  <c r="P718" i="2"/>
  <c r="R718" i="2" s="1"/>
  <c r="P719" i="2"/>
  <c r="R719" i="2" s="1"/>
  <c r="P1014" i="2"/>
  <c r="R1014" i="2" s="1"/>
  <c r="P1015" i="2"/>
  <c r="R1015" i="2" s="1"/>
  <c r="P1016" i="2"/>
  <c r="R1016" i="2" s="1"/>
  <c r="P88" i="2"/>
  <c r="R88" i="2" s="1"/>
  <c r="P89" i="2"/>
  <c r="R89" i="2" s="1"/>
  <c r="P90" i="2"/>
  <c r="R90" i="2" s="1"/>
  <c r="P91" i="2"/>
  <c r="R91" i="2" s="1"/>
  <c r="P64" i="2"/>
  <c r="R64" i="2" s="1"/>
  <c r="P65" i="2"/>
  <c r="R65" i="2" s="1"/>
  <c r="P66" i="2"/>
  <c r="R66" i="2" s="1"/>
  <c r="P67" i="2"/>
  <c r="R67" i="2" s="1"/>
  <c r="P1235" i="2"/>
  <c r="R1235" i="2" s="1"/>
  <c r="P1236" i="2"/>
  <c r="R1236" i="2" s="1"/>
  <c r="P1237" i="2"/>
  <c r="R1237" i="2" s="1"/>
  <c r="P1410" i="2"/>
  <c r="R1410" i="2" s="1"/>
  <c r="P1411" i="2"/>
  <c r="R1411" i="2" s="1"/>
  <c r="P1149" i="2"/>
  <c r="R1149" i="2" s="1"/>
  <c r="P1561" i="2"/>
  <c r="R1561" i="2" s="1"/>
  <c r="P1562" i="2"/>
  <c r="R1562" i="2" s="1"/>
  <c r="P1563" i="2"/>
  <c r="R1563" i="2" s="1"/>
  <c r="P1792" i="2"/>
  <c r="R1792" i="2" s="1"/>
  <c r="P1793" i="2"/>
  <c r="R1793" i="2" s="1"/>
  <c r="P1794" i="2"/>
  <c r="R1794" i="2" s="1"/>
  <c r="P1795" i="2"/>
  <c r="R1795" i="2" s="1"/>
  <c r="P1796" i="2"/>
  <c r="R1796" i="2" s="1"/>
  <c r="P28" i="2"/>
  <c r="R28" i="2" s="1"/>
  <c r="P1312" i="2"/>
  <c r="R1312" i="2" s="1"/>
  <c r="P1313" i="2"/>
  <c r="R1313" i="2" s="1"/>
  <c r="P1314" i="2"/>
  <c r="R1314" i="2" s="1"/>
  <c r="P1315" i="2"/>
  <c r="R1315" i="2" s="1"/>
  <c r="P1316" i="2"/>
  <c r="R1316" i="2" s="1"/>
  <c r="P1219" i="2"/>
  <c r="R1219" i="2" s="1"/>
  <c r="P1774" i="2"/>
  <c r="R1774" i="2" s="1"/>
  <c r="P1162" i="2"/>
  <c r="R1162" i="2" s="1"/>
  <c r="P1163" i="2"/>
  <c r="R1163" i="2" s="1"/>
  <c r="P1164" i="2"/>
  <c r="R1164" i="2" s="1"/>
  <c r="P1165" i="2"/>
  <c r="R1165" i="2" s="1"/>
  <c r="P1166" i="2"/>
  <c r="R1166" i="2" s="1"/>
  <c r="P1502" i="2"/>
  <c r="R1502" i="2" s="1"/>
  <c r="P1427" i="2"/>
  <c r="R1427" i="2" s="1"/>
  <c r="P1428" i="2"/>
  <c r="R1428" i="2" s="1"/>
  <c r="P1429" i="2"/>
  <c r="R1429" i="2" s="1"/>
  <c r="P1430" i="2"/>
  <c r="R1430" i="2" s="1"/>
  <c r="P243" i="2"/>
  <c r="R243" i="2" s="1"/>
  <c r="P244" i="2"/>
  <c r="R244" i="2" s="1"/>
  <c r="P245" i="2"/>
  <c r="R245" i="2" s="1"/>
  <c r="P246" i="2"/>
  <c r="R246" i="2" s="1"/>
  <c r="P1392" i="2"/>
  <c r="R1392" i="2" s="1"/>
  <c r="P1393" i="2"/>
  <c r="R1393" i="2" s="1"/>
  <c r="P1394" i="2"/>
  <c r="R1394" i="2" s="1"/>
  <c r="P1395" i="2"/>
  <c r="R1395" i="2" s="1"/>
  <c r="P1396" i="2"/>
  <c r="R1396" i="2" s="1"/>
  <c r="P1752" i="2"/>
  <c r="R1752" i="2" s="1"/>
  <c r="P1753" i="2"/>
  <c r="R1753" i="2" s="1"/>
  <c r="P1754" i="2"/>
  <c r="R1754" i="2" s="1"/>
  <c r="P1755" i="2"/>
  <c r="R1755" i="2" s="1"/>
  <c r="P227" i="2"/>
  <c r="R227" i="2" s="1"/>
  <c r="P228" i="2"/>
  <c r="R228" i="2" s="1"/>
  <c r="P229" i="2"/>
  <c r="R229" i="2" s="1"/>
  <c r="P230" i="2"/>
  <c r="R230" i="2" s="1"/>
  <c r="P231" i="2"/>
  <c r="R231" i="2" s="1"/>
  <c r="P1202" i="2"/>
  <c r="R1202" i="2" s="1"/>
  <c r="P1203" i="2"/>
  <c r="R1203" i="2" s="1"/>
  <c r="P1204" i="2"/>
  <c r="R1204" i="2" s="1"/>
  <c r="P1205" i="2"/>
  <c r="R1205" i="2" s="1"/>
  <c r="P1206" i="2"/>
  <c r="R1206" i="2" s="1"/>
  <c r="P1383" i="2"/>
  <c r="R1383" i="2" s="1"/>
  <c r="P1384" i="2"/>
  <c r="R1384" i="2" s="1"/>
  <c r="P1385" i="2"/>
  <c r="R1385" i="2" s="1"/>
  <c r="P1386" i="2"/>
  <c r="R1386" i="2" s="1"/>
  <c r="P622" i="2"/>
  <c r="R622" i="2" s="1"/>
  <c r="P1431" i="2"/>
  <c r="R1431" i="2" s="1"/>
  <c r="P1432" i="2"/>
  <c r="R1432" i="2" s="1"/>
  <c r="P1433" i="2"/>
  <c r="R1433" i="2" s="1"/>
  <c r="P1434" i="2"/>
  <c r="R1434" i="2" s="1"/>
  <c r="P1576" i="2"/>
  <c r="R1576" i="2" s="1"/>
  <c r="P1692" i="2"/>
  <c r="R1692" i="2" s="1"/>
  <c r="P1693" i="2"/>
  <c r="R1693" i="2" s="1"/>
  <c r="P1694" i="2"/>
  <c r="R1694" i="2" s="1"/>
  <c r="P83" i="2"/>
  <c r="R83" i="2" s="1"/>
  <c r="P84" i="2"/>
  <c r="R84" i="2" s="1"/>
  <c r="P85" i="2"/>
  <c r="R85" i="2" s="1"/>
  <c r="P1260" i="2"/>
  <c r="R1260" i="2" s="1"/>
  <c r="P1261" i="2"/>
  <c r="R1261" i="2" s="1"/>
  <c r="P1262" i="2"/>
  <c r="R1262" i="2" s="1"/>
  <c r="P491" i="2"/>
  <c r="R491" i="2" s="1"/>
  <c r="P492" i="2"/>
  <c r="R492" i="2" s="1"/>
  <c r="P493" i="2"/>
  <c r="R493" i="2" s="1"/>
  <c r="P510" i="2"/>
  <c r="R510" i="2" s="1"/>
  <c r="P511" i="2"/>
  <c r="R511" i="2" s="1"/>
  <c r="P512" i="2"/>
  <c r="R512" i="2" s="1"/>
  <c r="P513" i="2"/>
  <c r="R513" i="2" s="1"/>
  <c r="P514" i="2"/>
  <c r="R514" i="2" s="1"/>
  <c r="P1851" i="2"/>
  <c r="R1851" i="2" s="1"/>
  <c r="P1852" i="2"/>
  <c r="R1852" i="2" s="1"/>
  <c r="P379" i="2"/>
  <c r="R379" i="2" s="1"/>
  <c r="P380" i="2"/>
  <c r="R380" i="2" s="1"/>
  <c r="P1648" i="2"/>
  <c r="R1648" i="2" s="1"/>
  <c r="P1649" i="2"/>
  <c r="R1649" i="2" s="1"/>
  <c r="P1546" i="2"/>
  <c r="R1546" i="2" s="1"/>
  <c r="P1547" i="2"/>
  <c r="R1547" i="2" s="1"/>
  <c r="P1548" i="2"/>
  <c r="R1548" i="2" s="1"/>
  <c r="P1549" i="2"/>
  <c r="R1549" i="2" s="1"/>
  <c r="P1550" i="2"/>
  <c r="R1550" i="2" s="1"/>
  <c r="P98" i="2"/>
  <c r="R98" i="2" s="1"/>
  <c r="P1939" i="2"/>
  <c r="R1939" i="2" s="1"/>
  <c r="P1940" i="2"/>
  <c r="R1940" i="2" s="1"/>
  <c r="P1941" i="2"/>
  <c r="R1941" i="2" s="1"/>
  <c r="P1942" i="2"/>
  <c r="R1942" i="2" s="1"/>
  <c r="P1943" i="2"/>
  <c r="R1943" i="2" s="1"/>
  <c r="P1031" i="2"/>
  <c r="R1031" i="2" s="1"/>
  <c r="P1032" i="2"/>
  <c r="R1032" i="2" s="1"/>
  <c r="P1033" i="2"/>
  <c r="R1033" i="2" s="1"/>
  <c r="P759" i="2"/>
  <c r="R759" i="2" s="1"/>
  <c r="P760" i="2"/>
  <c r="R760" i="2" s="1"/>
  <c r="P761" i="2"/>
  <c r="R761" i="2" s="1"/>
  <c r="P1715" i="2"/>
  <c r="R1715" i="2" s="1"/>
  <c r="P1716" i="2"/>
  <c r="R1716" i="2" s="1"/>
  <c r="P1717" i="2"/>
  <c r="R1717" i="2" s="1"/>
  <c r="P1499" i="2"/>
  <c r="R1499" i="2" s="1"/>
  <c r="P1500" i="2"/>
  <c r="R1500" i="2" s="1"/>
  <c r="P1501" i="2"/>
  <c r="R1501" i="2" s="1"/>
  <c r="P1140" i="2"/>
  <c r="R1140" i="2" s="1"/>
  <c r="P29" i="2"/>
  <c r="R29" i="2" s="1"/>
  <c r="P30" i="2"/>
  <c r="R30" i="2" s="1"/>
  <c r="P31" i="2"/>
  <c r="R31" i="2" s="1"/>
  <c r="P69" i="2"/>
  <c r="R69" i="2" s="1"/>
  <c r="P70" i="2"/>
  <c r="R70" i="2" s="1"/>
  <c r="P71" i="2"/>
  <c r="R71" i="2" s="1"/>
  <c r="P72" i="2"/>
  <c r="R72" i="2" s="1"/>
  <c r="P1947" i="2"/>
  <c r="R1947" i="2" s="1"/>
  <c r="P1948" i="2"/>
  <c r="R1948" i="2" s="1"/>
  <c r="P1949" i="2"/>
  <c r="R1949" i="2" s="1"/>
  <c r="P1950" i="2"/>
  <c r="R1950" i="2" s="1"/>
  <c r="P1087" i="2"/>
  <c r="R1087" i="2" s="1"/>
  <c r="P1088" i="2"/>
  <c r="R1088" i="2" s="1"/>
  <c r="P1089" i="2"/>
  <c r="R1089" i="2" s="1"/>
  <c r="P1376" i="2"/>
  <c r="R1376" i="2" s="1"/>
  <c r="P1377" i="2"/>
  <c r="R1377" i="2" s="1"/>
  <c r="P875" i="2"/>
  <c r="R875" i="2" s="1"/>
  <c r="P1387" i="2"/>
  <c r="R1387" i="2" s="1"/>
  <c r="P363" i="2"/>
  <c r="R363" i="2" s="1"/>
  <c r="P364" i="2"/>
  <c r="R364" i="2" s="1"/>
  <c r="P365" i="2"/>
  <c r="R365" i="2" s="1"/>
  <c r="P366" i="2"/>
  <c r="R366" i="2" s="1"/>
  <c r="P367" i="2"/>
  <c r="R367" i="2" s="1"/>
  <c r="P1104" i="2"/>
  <c r="R1104" i="2" s="1"/>
  <c r="P1105" i="2"/>
  <c r="R1105" i="2" s="1"/>
  <c r="P1106" i="2"/>
  <c r="R1106" i="2" s="1"/>
  <c r="P1107" i="2"/>
  <c r="R1107" i="2" s="1"/>
  <c r="P408" i="2"/>
  <c r="R408" i="2" s="1"/>
  <c r="P409" i="2"/>
  <c r="R409" i="2" s="1"/>
  <c r="P410" i="2"/>
  <c r="R410" i="2" s="1"/>
  <c r="P1057" i="2"/>
  <c r="R1057" i="2" s="1"/>
  <c r="P1058" i="2"/>
  <c r="R1058" i="2" s="1"/>
  <c r="P1059" i="2"/>
  <c r="R1059" i="2" s="1"/>
  <c r="P37" i="2"/>
  <c r="R37" i="2" s="1"/>
  <c r="P38" i="2"/>
  <c r="R38" i="2" s="1"/>
  <c r="P39" i="2"/>
  <c r="R39" i="2" s="1"/>
  <c r="P40" i="2"/>
  <c r="R40" i="2" s="1"/>
  <c r="P282" i="2"/>
  <c r="R282" i="2" s="1"/>
  <c r="P1340" i="2"/>
  <c r="R1340" i="2" s="1"/>
  <c r="P1341" i="2"/>
  <c r="R1341" i="2" s="1"/>
  <c r="P1342" i="2"/>
  <c r="R1342" i="2" s="1"/>
  <c r="P1343" i="2"/>
  <c r="R1343" i="2" s="1"/>
  <c r="P1305" i="2"/>
  <c r="R1305" i="2" s="1"/>
  <c r="P264" i="2"/>
  <c r="R264" i="2" s="1"/>
  <c r="P1080" i="2"/>
  <c r="R1080" i="2" s="1"/>
  <c r="P116" i="2"/>
  <c r="R116" i="2" s="1"/>
  <c r="P515" i="2"/>
  <c r="R515" i="2" s="1"/>
  <c r="P1242" i="2"/>
  <c r="R1242" i="2" s="1"/>
  <c r="P1243" i="2"/>
  <c r="R1243" i="2" s="1"/>
  <c r="P1244" i="2"/>
  <c r="R1244" i="2" s="1"/>
  <c r="P1245" i="2"/>
  <c r="R1245" i="2" s="1"/>
  <c r="P411" i="2"/>
  <c r="R411" i="2" s="1"/>
  <c r="P412" i="2"/>
  <c r="R412" i="2" s="1"/>
  <c r="P867" i="2"/>
  <c r="R867" i="2" s="1"/>
</calcChain>
</file>

<file path=xl/sharedStrings.xml><?xml version="1.0" encoding="utf-8"?>
<sst xmlns="http://schemas.openxmlformats.org/spreadsheetml/2006/main" count="32056" uniqueCount="5429">
  <si>
    <t>Parameter ID</t>
  </si>
  <si>
    <t>Parameter Name</t>
  </si>
  <si>
    <t>Cost per Parameter</t>
  </si>
  <si>
    <t>C001</t>
  </si>
  <si>
    <t>Sodium Hydroxide</t>
  </si>
  <si>
    <t>C002</t>
  </si>
  <si>
    <t>Hydrochloric Acid</t>
  </si>
  <si>
    <t>C003</t>
  </si>
  <si>
    <t>Sulfuric Acid</t>
  </si>
  <si>
    <t>C004</t>
  </si>
  <si>
    <t>Ammonia</t>
  </si>
  <si>
    <t>C005</t>
  </si>
  <si>
    <t>Nitrate</t>
  </si>
  <si>
    <t>C006</t>
  </si>
  <si>
    <t>Nitrite</t>
  </si>
  <si>
    <t>C007</t>
  </si>
  <si>
    <t>Phosphate</t>
  </si>
  <si>
    <t>C008</t>
  </si>
  <si>
    <t>Chloride</t>
  </si>
  <si>
    <t>C009</t>
  </si>
  <si>
    <t>Sulfate</t>
  </si>
  <si>
    <t>C010</t>
  </si>
  <si>
    <t>Calcium</t>
  </si>
  <si>
    <t>C011</t>
  </si>
  <si>
    <t>Magnesium</t>
  </si>
  <si>
    <t>C012</t>
  </si>
  <si>
    <t>Potassium</t>
  </si>
  <si>
    <t>C013</t>
  </si>
  <si>
    <t>Sodium</t>
  </si>
  <si>
    <t>C014</t>
  </si>
  <si>
    <t>Iron</t>
  </si>
  <si>
    <t>C015</t>
  </si>
  <si>
    <t>Lead</t>
  </si>
  <si>
    <t>No.</t>
  </si>
  <si>
    <t>Entry No.</t>
  </si>
  <si>
    <t>Sample ID</t>
  </si>
  <si>
    <t>Service Date</t>
  </si>
  <si>
    <t>Invoice No.</t>
  </si>
  <si>
    <t>Organization</t>
  </si>
  <si>
    <t>Customer Type</t>
  </si>
  <si>
    <t>Contact Info</t>
  </si>
  <si>
    <t>Province</t>
  </si>
  <si>
    <t>Laboratory</t>
  </si>
  <si>
    <t>Parameters Tested</t>
  </si>
  <si>
    <t>Parameter Count</t>
  </si>
  <si>
    <t>Sample Received Date</t>
  </si>
  <si>
    <t>Payment Date</t>
  </si>
  <si>
    <t>Testing Start Date</t>
  </si>
  <si>
    <t>Testing Completion Date</t>
  </si>
  <si>
    <t>Certificate Date</t>
  </si>
  <si>
    <t>Revenue</t>
  </si>
  <si>
    <t>Certificate Error</t>
  </si>
  <si>
    <t>Complaint</t>
  </si>
  <si>
    <t>REG00001</t>
  </si>
  <si>
    <t>REG00001-S1</t>
  </si>
  <si>
    <t>2025-05-31</t>
  </si>
  <si>
    <t>INV00001</t>
  </si>
  <si>
    <t>ហួត លូន — ទឹកស្អាត</t>
  </si>
  <si>
    <t>012-XXX-471</t>
  </si>
  <si>
    <t>Phnom Penh</t>
  </si>
  <si>
    <t>FCL</t>
  </si>
  <si>
    <t>Potassium, Chloride, Phosphate</t>
  </si>
  <si>
    <t>2025-06-02</t>
  </si>
  <si>
    <t>2025-06-11</t>
  </si>
  <si>
    <t>2025-06-13</t>
  </si>
  <si>
    <t>Yes</t>
  </si>
  <si>
    <t>Data correction</t>
  </si>
  <si>
    <t>REG00001-S2</t>
  </si>
  <si>
    <t>NFCL</t>
  </si>
  <si>
    <t>Calcium, Iron</t>
  </si>
  <si>
    <t>2025-06-04</t>
  </si>
  <si>
    <t>2025-06-10</t>
  </si>
  <si>
    <t>None</t>
  </si>
  <si>
    <t>REG00001-S3</t>
  </si>
  <si>
    <t>WCL</t>
  </si>
  <si>
    <t>Phosphate, Nitrite, Sulfuric Acid</t>
  </si>
  <si>
    <t>2025-06-03</t>
  </si>
  <si>
    <t>2025-06-17</t>
  </si>
  <si>
    <t>2025-06-19</t>
  </si>
  <si>
    <t>No</t>
  </si>
  <si>
    <t>Minor delay</t>
  </si>
  <si>
    <t>REG00001-S4</t>
  </si>
  <si>
    <t>Sodium, Sulfate</t>
  </si>
  <si>
    <t>REG00001-S5</t>
  </si>
  <si>
    <t>Magnesium, Sulfuric Acid</t>
  </si>
  <si>
    <t>2025-06-01</t>
  </si>
  <si>
    <t>2025-06-12</t>
  </si>
  <si>
    <t>REG00002</t>
  </si>
  <si>
    <t>REG00002-S1</t>
  </si>
  <si>
    <t>2025-05-24</t>
  </si>
  <si>
    <t>INV00002</t>
  </si>
  <si>
    <t>ខូ សុខ នីម — ទឹកពិសាដប</t>
  </si>
  <si>
    <t>012-XXX-840</t>
  </si>
  <si>
    <t>Siem Reap</t>
  </si>
  <si>
    <t>Iron, Sodium Hydroxide</t>
  </si>
  <si>
    <t>2025-05-26</t>
  </si>
  <si>
    <t>2025-05-27</t>
  </si>
  <si>
    <t>2025-06-05</t>
  </si>
  <si>
    <t>2025-06-07</t>
  </si>
  <si>
    <t>REG00002-S2</t>
  </si>
  <si>
    <t>2025-05-28</t>
  </si>
  <si>
    <t>2025-06-06</t>
  </si>
  <si>
    <t>2025-06-08</t>
  </si>
  <si>
    <t>REG00002-S3</t>
  </si>
  <si>
    <t>Nitrate, Sulfuric Acid, Sodium Hydroxide</t>
  </si>
  <si>
    <t>2025-05-25</t>
  </si>
  <si>
    <t>REG00003</t>
  </si>
  <si>
    <t>REG00003-S1</t>
  </si>
  <si>
    <t>2025-06-26</t>
  </si>
  <si>
    <t>INV00003</t>
  </si>
  <si>
    <t>ពិន សុធារ៉ាត់ — ទឹកពិសាដប</t>
  </si>
  <si>
    <t>012-XXX-365</t>
  </si>
  <si>
    <t>Kandal</t>
  </si>
  <si>
    <t>2025-06-28</t>
  </si>
  <si>
    <t>2025-06-29</t>
  </si>
  <si>
    <t>2025-06-30</t>
  </si>
  <si>
    <t>2025-07-12</t>
  </si>
  <si>
    <t>REG00004</t>
  </si>
  <si>
    <t>REG00004-S1</t>
  </si>
  <si>
    <t>2025-02-04</t>
  </si>
  <si>
    <t>INV00004</t>
  </si>
  <si>
    <t>លី ហេង — ទឹកស្អាត</t>
  </si>
  <si>
    <t>012-XXX-330</t>
  </si>
  <si>
    <t>Magnesium, Chloride, Sodium</t>
  </si>
  <si>
    <t>2025-02-06</t>
  </si>
  <si>
    <t>2025-02-14</t>
  </si>
  <si>
    <t>REG00004-S2</t>
  </si>
  <si>
    <t>Phosphate, Hydrochloric Acid, Sulfate</t>
  </si>
  <si>
    <t>2025-02-07</t>
  </si>
  <si>
    <t>2025-02-19</t>
  </si>
  <si>
    <t>REG00005</t>
  </si>
  <si>
    <t>REG00005-S1</t>
  </si>
  <si>
    <t>2025-04-10</t>
  </si>
  <si>
    <t>INV00005</t>
  </si>
  <si>
    <t>អ៊ន់ វ៉ា — សាប៊ូដុះខ្លួន</t>
  </si>
  <si>
    <t>012-XXX-806</t>
  </si>
  <si>
    <t>Battambang</t>
  </si>
  <si>
    <t>Ammonia, Sodium, Phosphate</t>
  </si>
  <si>
    <t>2025-04-11</t>
  </si>
  <si>
    <t>2025-04-12</t>
  </si>
  <si>
    <t>2025-04-13</t>
  </si>
  <si>
    <t>2025-04-26</t>
  </si>
  <si>
    <t>2025-04-28</t>
  </si>
  <si>
    <t>REG00005-S2</t>
  </si>
  <si>
    <t>2025-04-23</t>
  </si>
  <si>
    <t>2025-04-24</t>
  </si>
  <si>
    <t>REG00005-S3</t>
  </si>
  <si>
    <t>Sodium, Magnesium, Calcium, Potassium</t>
  </si>
  <si>
    <t>2025-04-20</t>
  </si>
  <si>
    <t>2025-04-22</t>
  </si>
  <si>
    <t>REG00005-S4</t>
  </si>
  <si>
    <t>REG00005-S5</t>
  </si>
  <si>
    <t>Magnesium, Nitrate, Sulfate, Hydrochloric Acid</t>
  </si>
  <si>
    <t>2025-04-14</t>
  </si>
  <si>
    <t>2025-04-21</t>
  </si>
  <si>
    <t>REG00006</t>
  </si>
  <si>
    <t>REG00006-S1</t>
  </si>
  <si>
    <t>2025-05-09</t>
  </si>
  <si>
    <t>INV00006</t>
  </si>
  <si>
    <t>សាម សុភក្រ័ — ទឹកពិសាដប</t>
  </si>
  <si>
    <t>012-XXX-228</t>
  </si>
  <si>
    <t>Iron, Magnesium, Sulfate</t>
  </si>
  <si>
    <t>2025-05-11</t>
  </si>
  <si>
    <t>2025-05-13</t>
  </si>
  <si>
    <t>2025-05-23</t>
  </si>
  <si>
    <t>REG00006-S2</t>
  </si>
  <si>
    <t>Sulfate, Nitrite, Nitrate</t>
  </si>
  <si>
    <t>2025-05-21</t>
  </si>
  <si>
    <t>REG00006-S3</t>
  </si>
  <si>
    <t>Sulfate, Nitrate, Ammonia</t>
  </si>
  <si>
    <t>2025-05-12</t>
  </si>
  <si>
    <t>REG00006-S4</t>
  </si>
  <si>
    <t>Nitrate, Nitrite, Chloride, Calcium</t>
  </si>
  <si>
    <t>REG00006-S5</t>
  </si>
  <si>
    <t>2025-05-10</t>
  </si>
  <si>
    <t>REG00007</t>
  </si>
  <si>
    <t>REG00007-S1</t>
  </si>
  <si>
    <t>2025-12-13</t>
  </si>
  <si>
    <t>INV00007</t>
  </si>
  <si>
    <t>Khom Seiha — Pond Water</t>
  </si>
  <si>
    <t>012-XXX-144</t>
  </si>
  <si>
    <t>2025-12-14</t>
  </si>
  <si>
    <t>2025-12-15</t>
  </si>
  <si>
    <t>2025-12-27</t>
  </si>
  <si>
    <t>2025-12-29</t>
  </si>
  <si>
    <t>REG00007-S2</t>
  </si>
  <si>
    <t>Sulfate, Chloride</t>
  </si>
  <si>
    <t>2025-12-24</t>
  </si>
  <si>
    <t>REG00007-S3</t>
  </si>
  <si>
    <t>Chloride, Nitrite, Sodium Hydroxide, Iron</t>
  </si>
  <si>
    <t>2025-12-16</t>
  </si>
  <si>
    <t>2025-12-17</t>
  </si>
  <si>
    <t>2025-12-25</t>
  </si>
  <si>
    <t>REG00007-S4</t>
  </si>
  <si>
    <t>Ammonia, Sulfate</t>
  </si>
  <si>
    <t>2025-12-26</t>
  </si>
  <si>
    <t>REG00008</t>
  </si>
  <si>
    <t>REG00008-S1</t>
  </si>
  <si>
    <t>INV00008</t>
  </si>
  <si>
    <t>លាង ជារត្ន័ — ទឹកស្អាតចែកចាយ</t>
  </si>
  <si>
    <t>012-XXX-983</t>
  </si>
  <si>
    <t>Takeo</t>
  </si>
  <si>
    <t>Nitrate, Potassium</t>
  </si>
  <si>
    <t>REG00008-S2</t>
  </si>
  <si>
    <t>Iron, Magnesium</t>
  </si>
  <si>
    <t>REG00009</t>
  </si>
  <si>
    <t>REG00009-S1</t>
  </si>
  <si>
    <t>2025-11-10</t>
  </si>
  <si>
    <t>INV00009</t>
  </si>
  <si>
    <t>តាំង ប៊ុនឡេង — ទឹកកកដើម</t>
  </si>
  <si>
    <t>012-XXX-698</t>
  </si>
  <si>
    <t>Sodium Hydroxide, Potassium</t>
  </si>
  <si>
    <t>2025-11-12</t>
  </si>
  <si>
    <t>2025-11-20</t>
  </si>
  <si>
    <t>2025-11-21</t>
  </si>
  <si>
    <t>REG00009-S2</t>
  </si>
  <si>
    <t>Magnesium, Phosphate</t>
  </si>
  <si>
    <t>2025-11-23</t>
  </si>
  <si>
    <t>REG00010</t>
  </si>
  <si>
    <t>REG00010-S1</t>
  </si>
  <si>
    <t>2025-11-13</t>
  </si>
  <si>
    <t>INV00010</t>
  </si>
  <si>
    <t>012-XXX-973</t>
  </si>
  <si>
    <t>Sulfate, Nitrite</t>
  </si>
  <si>
    <t>2025-11-25</t>
  </si>
  <si>
    <t>REG00011</t>
  </si>
  <si>
    <t>REG00011-S1</t>
  </si>
  <si>
    <t>2025-03-08</t>
  </si>
  <si>
    <t>INV00011</t>
  </si>
  <si>
    <t>ចាន់ មករា — ទឹកពិសាដប</t>
  </si>
  <si>
    <t>012-XXX-693</t>
  </si>
  <si>
    <t>2025-03-09</t>
  </si>
  <si>
    <t>2025-03-10</t>
  </si>
  <si>
    <t>2025-03-11</t>
  </si>
  <si>
    <t>2025-03-20</t>
  </si>
  <si>
    <t>2025-03-21</t>
  </si>
  <si>
    <t>REG00011-S2</t>
  </si>
  <si>
    <t>Phosphate, Nitrite, Sodium, Iron</t>
  </si>
  <si>
    <t>REG00012</t>
  </si>
  <si>
    <t>REG00012-S1</t>
  </si>
  <si>
    <t>2025-08-10</t>
  </si>
  <si>
    <t>INV00012</t>
  </si>
  <si>
    <t>012-XXX-136</t>
  </si>
  <si>
    <t>Calcium, Phosphate</t>
  </si>
  <si>
    <t>2025-08-12</t>
  </si>
  <si>
    <t>2025-08-14</t>
  </si>
  <si>
    <t>2025-08-24</t>
  </si>
  <si>
    <t>2025-08-26</t>
  </si>
  <si>
    <t>REG00012-S2</t>
  </si>
  <si>
    <t>Sodium Hydroxide, Sulfuric Acid, Magnesium, Ammonia</t>
  </si>
  <si>
    <t>2025-08-11</t>
  </si>
  <si>
    <t>2025-08-21</t>
  </si>
  <si>
    <t>2025-08-23</t>
  </si>
  <si>
    <t>REG00012-S3</t>
  </si>
  <si>
    <t>Sodium Hydroxide, Ammonia, Calcium</t>
  </si>
  <si>
    <t>2025-08-13</t>
  </si>
  <si>
    <t>2025-08-25</t>
  </si>
  <si>
    <t>REG00012-S4</t>
  </si>
  <si>
    <t>Phosphate, Iron</t>
  </si>
  <si>
    <t>2025-08-22</t>
  </si>
  <si>
    <t>REG00012-S5</t>
  </si>
  <si>
    <t>Phosphate, Sulfuric Acid, Magnesium, Nitrate</t>
  </si>
  <si>
    <t>REG00013</t>
  </si>
  <si>
    <t>REG00013-S1</t>
  </si>
  <si>
    <t>2025-08-16</t>
  </si>
  <si>
    <t>INV00013</t>
  </si>
  <si>
    <t>ស៊ុន ចាន់រក្សា — ទឹកពិសាដប</t>
  </si>
  <si>
    <t>012-XXX-897</t>
  </si>
  <si>
    <t>Sodium Hydroxide, Iron, Hydrochloric Acid</t>
  </si>
  <si>
    <t>2025-08-18</t>
  </si>
  <si>
    <t>2025-08-19</t>
  </si>
  <si>
    <t>2025-08-20</t>
  </si>
  <si>
    <t>2025-08-28</t>
  </si>
  <si>
    <t>2025-08-30</t>
  </si>
  <si>
    <t>REG00013-S2</t>
  </si>
  <si>
    <t>2025-08-27</t>
  </si>
  <si>
    <t>REG00013-S3</t>
  </si>
  <si>
    <t>2025-09-01</t>
  </si>
  <si>
    <t>REG00013-S4</t>
  </si>
  <si>
    <t>Hydrochloric Acid, Ammonia, Nitrate, Sodium</t>
  </si>
  <si>
    <t>2025-08-29</t>
  </si>
  <si>
    <t>REG00013-S5</t>
  </si>
  <si>
    <t>Phosphate, Ammonia</t>
  </si>
  <si>
    <t>REG00014</t>
  </si>
  <si>
    <t>REG00014-S1</t>
  </si>
  <si>
    <t>INV00014</t>
  </si>
  <si>
    <t>ចន ប៉ៃលិន — ទឹកកកដើម</t>
  </si>
  <si>
    <t>012-XXX-251</t>
  </si>
  <si>
    <t>Sodium Hydroxide, Ammonia, Nitrate</t>
  </si>
  <si>
    <t>2025-04-25</t>
  </si>
  <si>
    <t>2025-05-06</t>
  </si>
  <si>
    <t>REG00014-S2</t>
  </si>
  <si>
    <t>Nitrite, Sodium</t>
  </si>
  <si>
    <t>2025-05-04</t>
  </si>
  <si>
    <t>REG00014-S3</t>
  </si>
  <si>
    <t>Sulfate, Lead</t>
  </si>
  <si>
    <t>2025-05-05</t>
  </si>
  <si>
    <t>REG00014-S4</t>
  </si>
  <si>
    <t>Phosphate, Sodium</t>
  </si>
  <si>
    <t>REG00015</t>
  </si>
  <si>
    <t>REG00015-S1</t>
  </si>
  <si>
    <t>2025-12-20</t>
  </si>
  <si>
    <t>INV00015</t>
  </si>
  <si>
    <t>ឆែម សំអឿន — ទឹករោងចក្រ</t>
  </si>
  <si>
    <t>Sulfuric Acid, Iron</t>
  </si>
  <si>
    <t>2025-12-21</t>
  </si>
  <si>
    <t>2026-01-02</t>
  </si>
  <si>
    <t>REG00015-S2</t>
  </si>
  <si>
    <t>Potassium, Nitrate</t>
  </si>
  <si>
    <t>2025-12-31</t>
  </si>
  <si>
    <t>REG00015-S3</t>
  </si>
  <si>
    <t>Calcium, Sodium, Iron, Potassium</t>
  </si>
  <si>
    <t>2025-12-30</t>
  </si>
  <si>
    <t>REG00015-S4</t>
  </si>
  <si>
    <t>REG00015-S5</t>
  </si>
  <si>
    <t>Nitrate, Sodium Hydroxide, Calcium</t>
  </si>
  <si>
    <t>2025-12-23</t>
  </si>
  <si>
    <t>2026-01-04</t>
  </si>
  <si>
    <t>REG00016</t>
  </si>
  <si>
    <t>REG00016-S1</t>
  </si>
  <si>
    <t>2025-04-02</t>
  </si>
  <si>
    <t>INV00016</t>
  </si>
  <si>
    <t>012-XXX-261</t>
  </si>
  <si>
    <t>Sulfuric Acid, Sodium</t>
  </si>
  <si>
    <t>2025-04-03</t>
  </si>
  <si>
    <t>2025-04-04</t>
  </si>
  <si>
    <t>2025-04-15</t>
  </si>
  <si>
    <t>REG00016-S2</t>
  </si>
  <si>
    <t>Potassium, Calcium</t>
  </si>
  <si>
    <t>2025-04-05</t>
  </si>
  <si>
    <t>2025-04-16</t>
  </si>
  <si>
    <t>2025-04-17</t>
  </si>
  <si>
    <t>REG00017</t>
  </si>
  <si>
    <t>REG00017-S1</t>
  </si>
  <si>
    <t>INV00017</t>
  </si>
  <si>
    <t>សេង រតនៈ — ទឹកពិសារោងចក្រ</t>
  </si>
  <si>
    <t>012-XXX-463</t>
  </si>
  <si>
    <t>Chloride, Sodium Hydroxide, Ammonia, Sulfate</t>
  </si>
  <si>
    <t>REG00017-S2</t>
  </si>
  <si>
    <t>Sulfate, Phosphate, Potassium</t>
  </si>
  <si>
    <t>REG00017-S3</t>
  </si>
  <si>
    <t>Nitrate, Phosphate, Nitrite, Sulfuric Acid</t>
  </si>
  <si>
    <t>REG00018</t>
  </si>
  <si>
    <t>REG00018-S1</t>
  </si>
  <si>
    <t>2025-06-21</t>
  </si>
  <si>
    <t>INV00018</t>
  </si>
  <si>
    <t>012-XXX-609</t>
  </si>
  <si>
    <t>Nitrite, Chloride, Ammonia</t>
  </si>
  <si>
    <t>2025-06-23</t>
  </si>
  <si>
    <t>2025-06-25</t>
  </si>
  <si>
    <t>2025-06-24</t>
  </si>
  <si>
    <t>2025-07-07</t>
  </si>
  <si>
    <t>2025-07-09</t>
  </si>
  <si>
    <t>REG00019</t>
  </si>
  <si>
    <t>REG00019-S1</t>
  </si>
  <si>
    <t>INV00019</t>
  </si>
  <si>
    <t>ប៉ិន សារ៉ាន់ — ទឹកពិសាដប</t>
  </si>
  <si>
    <t>012-XXX-988</t>
  </si>
  <si>
    <t>2025-07-01</t>
  </si>
  <si>
    <t>2025-07-02</t>
  </si>
  <si>
    <t>2025-07-11</t>
  </si>
  <si>
    <t>REG00019-S2</t>
  </si>
  <si>
    <t>2025-07-13</t>
  </si>
  <si>
    <t>2025-07-15</t>
  </si>
  <si>
    <t>REG00019-S3</t>
  </si>
  <si>
    <t>2025-07-14</t>
  </si>
  <si>
    <t>2025-07-16</t>
  </si>
  <si>
    <t>REG00020</t>
  </si>
  <si>
    <t>REG00020-S1</t>
  </si>
  <si>
    <t>2025-11-06</t>
  </si>
  <si>
    <t>INV00020</t>
  </si>
  <si>
    <t>ឡេង ម៉ាឡៃ — ទឹកពិសារោងចក្រ</t>
  </si>
  <si>
    <t>012-XXX-372</t>
  </si>
  <si>
    <t>Nitrate, Ammonia</t>
  </si>
  <si>
    <t>2025-11-07</t>
  </si>
  <si>
    <t>2025-11-08</t>
  </si>
  <si>
    <t>2025-11-16</t>
  </si>
  <si>
    <t>2025-11-17</t>
  </si>
  <si>
    <t>REG00020-S2</t>
  </si>
  <si>
    <t>Chloride, Sodium</t>
  </si>
  <si>
    <t>2025-11-09</t>
  </si>
  <si>
    <t>REG00020-S3</t>
  </si>
  <si>
    <t>Ammonia, Sodium</t>
  </si>
  <si>
    <t>2025-11-19</t>
  </si>
  <si>
    <t>REG00020-S4</t>
  </si>
  <si>
    <t>Sulfate, Hydrochloric Acid</t>
  </si>
  <si>
    <t>2025-11-18</t>
  </si>
  <si>
    <t>REG00020-S5</t>
  </si>
  <si>
    <t>Iron, Hydrochloric Acid, Nitrate</t>
  </si>
  <si>
    <t>REG00021</t>
  </si>
  <si>
    <t>REG00021-S1</t>
  </si>
  <si>
    <t>2025-10-30</t>
  </si>
  <si>
    <t>INV00021</t>
  </si>
  <si>
    <t>012-XXX-850</t>
  </si>
  <si>
    <t>Sodium, Sulfuric Acid</t>
  </si>
  <si>
    <t>2025-11-01</t>
  </si>
  <si>
    <t>2025-11-02</t>
  </si>
  <si>
    <t>2025-11-03</t>
  </si>
  <si>
    <t>2025-11-15</t>
  </si>
  <si>
    <t>REG00021-S2</t>
  </si>
  <si>
    <t>2025-10-31</t>
  </si>
  <si>
    <t>2025-11-14</t>
  </si>
  <si>
    <t>REG00022</t>
  </si>
  <si>
    <t>REG00022-S1</t>
  </si>
  <si>
    <t>2025-07-05</t>
  </si>
  <si>
    <t>INV00022</t>
  </si>
  <si>
    <t>អ៊ួន ប៊ុនណាត — ទឹកស្អាត</t>
  </si>
  <si>
    <t>012-XXX-326</t>
  </si>
  <si>
    <t>2025-07-21</t>
  </si>
  <si>
    <t>2025-07-23</t>
  </si>
  <si>
    <t>REG00022-S2</t>
  </si>
  <si>
    <t>2025-07-06</t>
  </si>
  <si>
    <t>2025-07-19</t>
  </si>
  <si>
    <t>REG00022-S3</t>
  </si>
  <si>
    <t>Sulfuric Acid, Magnesium, Nitrite</t>
  </si>
  <si>
    <t>2025-07-08</t>
  </si>
  <si>
    <t>2025-07-20</t>
  </si>
  <si>
    <t>REG00022-S4</t>
  </si>
  <si>
    <t>Ammonia, Chloride, Sulfuric Acid, Magnesium</t>
  </si>
  <si>
    <t>REG00022-S5</t>
  </si>
  <si>
    <t>Sodium, Ammonia</t>
  </si>
  <si>
    <t>REG00023</t>
  </si>
  <si>
    <t>REG00023-S1</t>
  </si>
  <si>
    <t>INV00023</t>
  </si>
  <si>
    <t>ផេង ដានី — ទឹកពិសាដប</t>
  </si>
  <si>
    <t>012-XXX-607</t>
  </si>
  <si>
    <t>Nitrite, Sodium, Ammonia, Sulfate</t>
  </si>
  <si>
    <t>REG00023-S2</t>
  </si>
  <si>
    <t>Phosphate, Nitrate</t>
  </si>
  <si>
    <t>REG00023-S3</t>
  </si>
  <si>
    <t>Chloride, Sulfuric Acid, Hydrochloric Acid</t>
  </si>
  <si>
    <t>2025-04-06</t>
  </si>
  <si>
    <t>REG00023-S4</t>
  </si>
  <si>
    <t>Sulfate, Calcium</t>
  </si>
  <si>
    <t>REG00024</t>
  </si>
  <si>
    <t>REG00024-S1</t>
  </si>
  <si>
    <t>INV00024</t>
  </si>
  <si>
    <t>012-XXX-329</t>
  </si>
  <si>
    <t>Potassium, Iron</t>
  </si>
  <si>
    <t>2025-04-08</t>
  </si>
  <si>
    <t>2025-04-09</t>
  </si>
  <si>
    <t>REG00025</t>
  </si>
  <si>
    <t>REG00025-S1</t>
  </si>
  <si>
    <t>INV00025</t>
  </si>
  <si>
    <t>012-XXX-712</t>
  </si>
  <si>
    <t>Iron, Hydrochloric Acid, Lead</t>
  </si>
  <si>
    <t>2025-04-29</t>
  </si>
  <si>
    <t>2025-04-30</t>
  </si>
  <si>
    <t>REG00025-S2</t>
  </si>
  <si>
    <t>REG00025-S3</t>
  </si>
  <si>
    <t>Ammonia, Magnesium, Iron</t>
  </si>
  <si>
    <t>2025-05-07</t>
  </si>
  <si>
    <t>2025-05-08</t>
  </si>
  <si>
    <t>REG00025-S4</t>
  </si>
  <si>
    <t>Sodium Hydroxide, Lead</t>
  </si>
  <si>
    <t>2025-05-01</t>
  </si>
  <si>
    <t>2025-05-14</t>
  </si>
  <si>
    <t>REG00026</t>
  </si>
  <si>
    <t>REG00026-S1</t>
  </si>
  <si>
    <t>2025-01-31</t>
  </si>
  <si>
    <t>INV00026</t>
  </si>
  <si>
    <t>012-XXX-744</t>
  </si>
  <si>
    <t>2025-02-01</t>
  </si>
  <si>
    <t>2025-02-02</t>
  </si>
  <si>
    <t>2025-02-15</t>
  </si>
  <si>
    <t>REG00027</t>
  </si>
  <si>
    <t>REG00027-S1</t>
  </si>
  <si>
    <t>2025-10-11</t>
  </si>
  <si>
    <t>INV00027</t>
  </si>
  <si>
    <t>012-XXX-901</t>
  </si>
  <si>
    <t>Sulfuric Acid, Nitrite, Ammonia, Iron</t>
  </si>
  <si>
    <t>2025-10-13</t>
  </si>
  <si>
    <t>2025-10-15</t>
  </si>
  <si>
    <t>2025-10-23</t>
  </si>
  <si>
    <t>2025-10-25</t>
  </si>
  <si>
    <t>REG00027-S2</t>
  </si>
  <si>
    <t>Sodium Hydroxide, Ammonia, Chloride, Iron</t>
  </si>
  <si>
    <t>2025-10-12</t>
  </si>
  <si>
    <t>2025-10-24</t>
  </si>
  <si>
    <t>REG00027-S3</t>
  </si>
  <si>
    <t>Iron, Sulfuric Acid</t>
  </si>
  <si>
    <t>2025-10-26</t>
  </si>
  <si>
    <t>REG00027-S4</t>
  </si>
  <si>
    <t>Ammonia, Nitrate</t>
  </si>
  <si>
    <t>2025-10-14</t>
  </si>
  <si>
    <t>2025-10-22</t>
  </si>
  <si>
    <t>REG00028</t>
  </si>
  <si>
    <t>REG00028-S1</t>
  </si>
  <si>
    <t>2025-07-29</t>
  </si>
  <si>
    <t>INV00028</t>
  </si>
  <si>
    <t>ម៉យ ប៊ុនហេង — ទឹកស្អាត</t>
  </si>
  <si>
    <t>012-XXX-515</t>
  </si>
  <si>
    <t>Calcium, Sulfuric Acid, Sulfate, Iron</t>
  </si>
  <si>
    <t>2025-07-30</t>
  </si>
  <si>
    <t>2025-07-31</t>
  </si>
  <si>
    <t>2025-08-01</t>
  </si>
  <si>
    <t>REG00028-S2</t>
  </si>
  <si>
    <t>Iron, Ammonia, Calcium</t>
  </si>
  <si>
    <t>2025-08-08</t>
  </si>
  <si>
    <t>2025-08-09</t>
  </si>
  <si>
    <t>REG00028-S3</t>
  </si>
  <si>
    <t>Sulfuric Acid, Lead, Chloride</t>
  </si>
  <si>
    <t>REG00028-S4</t>
  </si>
  <si>
    <t>Calcium, Chloride, Ammonia, Sulfuric Acid</t>
  </si>
  <si>
    <t>REG00028-S5</t>
  </si>
  <si>
    <t>Calcium, Iron, Nitrate, Phosphate</t>
  </si>
  <si>
    <t>2025-08-02</t>
  </si>
  <si>
    <t>REG00029</t>
  </si>
  <si>
    <t>REG00029-S1</t>
  </si>
  <si>
    <t>2025-06-14</t>
  </si>
  <si>
    <t>INV00029</t>
  </si>
  <si>
    <t>លើក សោរៀម — ទឹកពិសាដប</t>
  </si>
  <si>
    <t>012-XXX-451</t>
  </si>
  <si>
    <t>Chloride, Sulfuric Acid</t>
  </si>
  <si>
    <t>2025-06-15</t>
  </si>
  <si>
    <t>2025-06-16</t>
  </si>
  <si>
    <t>REG00029-S2</t>
  </si>
  <si>
    <t>2025-06-27</t>
  </si>
  <si>
    <t>REG00029-S3</t>
  </si>
  <si>
    <t>REG00029-S4</t>
  </si>
  <si>
    <t>Sodium, Magnesium</t>
  </si>
  <si>
    <t>REG00029-S5</t>
  </si>
  <si>
    <t>Sulfuric Acid, Phosphate, Calcium, Magnesium</t>
  </si>
  <si>
    <t>2025-06-22</t>
  </si>
  <si>
    <t>REG00030</t>
  </si>
  <si>
    <t>REG00030-S1</t>
  </si>
  <si>
    <t>INV00030</t>
  </si>
  <si>
    <t>012-XXX-997</t>
  </si>
  <si>
    <t>Magnesium, Ammonia, Sulfuric Acid, Calcium</t>
  </si>
  <si>
    <t>2025-02-08</t>
  </si>
  <si>
    <t>2025-02-16</t>
  </si>
  <si>
    <t>2025-02-17</t>
  </si>
  <si>
    <t>REG00031</t>
  </si>
  <si>
    <t>REG00031-S1</t>
  </si>
  <si>
    <t>2025-09-26</t>
  </si>
  <si>
    <t>INV00031</t>
  </si>
  <si>
    <t>ម៉ែន ផេង — ទឹកពិសាដប</t>
  </si>
  <si>
    <t>012-XXX-976</t>
  </si>
  <si>
    <t>Sulfate, Magnesium, Nitrite, Lead</t>
  </si>
  <si>
    <t>2025-09-27</t>
  </si>
  <si>
    <t>2025-09-29</t>
  </si>
  <si>
    <t>2025-09-28</t>
  </si>
  <si>
    <t>2025-10-10</t>
  </si>
  <si>
    <t>REG00032</t>
  </si>
  <si>
    <t>REG00032-S1</t>
  </si>
  <si>
    <t>INV00032</t>
  </si>
  <si>
    <t>ឯក រដ្ឋា — ទឹកពិសាដប</t>
  </si>
  <si>
    <t>012-XXX-791</t>
  </si>
  <si>
    <t>Chloride, Magnesium</t>
  </si>
  <si>
    <t>2025-05-22</t>
  </si>
  <si>
    <t>REG00033</t>
  </si>
  <si>
    <t>REG00033-S1</t>
  </si>
  <si>
    <t>INV00033</t>
  </si>
  <si>
    <t>ខុំ សំភាស់ — ទឹកពិសាដប</t>
  </si>
  <si>
    <t>012-XXX-726</t>
  </si>
  <si>
    <t>2025-04-27</t>
  </si>
  <si>
    <t>REG00034</t>
  </si>
  <si>
    <t>REG00034-S1</t>
  </si>
  <si>
    <t>INV00034</t>
  </si>
  <si>
    <t>012-XXX-336</t>
  </si>
  <si>
    <t>2025-11-22</t>
  </si>
  <si>
    <t>REG00034-S2</t>
  </si>
  <si>
    <t>Nitrate, Calcium, Chloride, Potassium</t>
  </si>
  <si>
    <t>2025-11-26</t>
  </si>
  <si>
    <t>2025-11-27</t>
  </si>
  <si>
    <t>REG00034-S3</t>
  </si>
  <si>
    <t>Nitrate, Phosphate</t>
  </si>
  <si>
    <t>2025-11-28</t>
  </si>
  <si>
    <t>REG00035</t>
  </si>
  <si>
    <t>REG00035-S1</t>
  </si>
  <si>
    <t>INV00035</t>
  </si>
  <si>
    <t>012-XXX-852</t>
  </si>
  <si>
    <t>Magnesium, Chloride, Sulfate</t>
  </si>
  <si>
    <t>2025-09-08</t>
  </si>
  <si>
    <t>2025-09-09</t>
  </si>
  <si>
    <t>REG00036</t>
  </si>
  <si>
    <t>REG00036-S1</t>
  </si>
  <si>
    <t>2025-01-26</t>
  </si>
  <si>
    <t>INV00036</t>
  </si>
  <si>
    <t>ជាង ស៊ាង ហៃ — ផលិតផលភេសជ្ជៈ</t>
  </si>
  <si>
    <t>012-XXX-692</t>
  </si>
  <si>
    <t>2025-01-27</t>
  </si>
  <si>
    <t>2025-01-28</t>
  </si>
  <si>
    <t>2025-01-29</t>
  </si>
  <si>
    <t>2025-02-05</t>
  </si>
  <si>
    <t>REG00036-S2</t>
  </si>
  <si>
    <t>Nitrate, Sodium, Phosphate</t>
  </si>
  <si>
    <t>REG00037</t>
  </si>
  <si>
    <t>REG00037-S1</t>
  </si>
  <si>
    <t>2025-12-02</t>
  </si>
  <si>
    <t>INV00037</t>
  </si>
  <si>
    <t>012-XXX-836</t>
  </si>
  <si>
    <t>2025-12-03</t>
  </si>
  <si>
    <t>2025-12-04</t>
  </si>
  <si>
    <t>REG00037-S2</t>
  </si>
  <si>
    <t>2025-12-06</t>
  </si>
  <si>
    <t>2025-12-18</t>
  </si>
  <si>
    <t>REG00038</t>
  </si>
  <si>
    <t>REG00038-S1</t>
  </si>
  <si>
    <t>INV00038</t>
  </si>
  <si>
    <t>សៀវ ស្រីមាន — ទឹកស្អាត</t>
  </si>
  <si>
    <t>Nitrite, Sodium Hydroxide, Iron, Potassium</t>
  </si>
  <si>
    <t>2025-11-11</t>
  </si>
  <si>
    <t>REG00039</t>
  </si>
  <si>
    <t>REG00039-S1</t>
  </si>
  <si>
    <t>2025-02-12</t>
  </si>
  <si>
    <t>INV00039</t>
  </si>
  <si>
    <t>លឿត តឹកលី — ទឹកពិសាដប</t>
  </si>
  <si>
    <t>012-XXX-946</t>
  </si>
  <si>
    <t>Phosphate, Potassium, Nitrate, Calcium</t>
  </si>
  <si>
    <t>2025-02-28</t>
  </si>
  <si>
    <t>2025-03-01</t>
  </si>
  <si>
    <t>REG00039-S2</t>
  </si>
  <si>
    <t>Phosphate, Iron, Nitrate, Magnesium</t>
  </si>
  <si>
    <t>2025-02-13</t>
  </si>
  <si>
    <t>2025-02-22</t>
  </si>
  <si>
    <t>REG00039-S3</t>
  </si>
  <si>
    <t>Sulfuric Acid, Magnesium, Hydrochloric Acid</t>
  </si>
  <si>
    <t>2025-02-21</t>
  </si>
  <si>
    <t>REG00039-S4</t>
  </si>
  <si>
    <t>Ammonia, Nitrite, Magnesium</t>
  </si>
  <si>
    <t>2025-02-23</t>
  </si>
  <si>
    <t>2025-02-25</t>
  </si>
  <si>
    <t>REG00040</t>
  </si>
  <si>
    <t>REG00040-S1</t>
  </si>
  <si>
    <t>INV00040</t>
  </si>
  <si>
    <t>ខន ម៉េងហុង</t>
  </si>
  <si>
    <t>012-XXX-804</t>
  </si>
  <si>
    <t>Hydrochloric Acid, Potassium</t>
  </si>
  <si>
    <t>REG00041</t>
  </si>
  <si>
    <t>REG00041-S1</t>
  </si>
  <si>
    <t>INV00041</t>
  </si>
  <si>
    <t>012-XXX-673</t>
  </si>
  <si>
    <t>2025-08-15</t>
  </si>
  <si>
    <t>REG00041-S2</t>
  </si>
  <si>
    <t>Potassium, Hydrochloric Acid, Nitrate</t>
  </si>
  <si>
    <t>REG00041-S3</t>
  </si>
  <si>
    <t>REG00041-S4</t>
  </si>
  <si>
    <t>REG00041-S5</t>
  </si>
  <si>
    <t>Magnesium, Nitrite, Ammonia</t>
  </si>
  <si>
    <t>REG00042</t>
  </si>
  <si>
    <t>REG00042-S1</t>
  </si>
  <si>
    <t>2025-09-07</t>
  </si>
  <si>
    <t>INV00042</t>
  </si>
  <si>
    <t>012-XXX-968</t>
  </si>
  <si>
    <t>Calcium, Nitrite, Ammonia, Iron</t>
  </si>
  <si>
    <t>2025-09-16</t>
  </si>
  <si>
    <t>2025-09-18</t>
  </si>
  <si>
    <t>REG00042-S2</t>
  </si>
  <si>
    <t>2025-09-10</t>
  </si>
  <si>
    <t>2025-09-20</t>
  </si>
  <si>
    <t>2025-09-21</t>
  </si>
  <si>
    <t>REG00042-S3</t>
  </si>
  <si>
    <t>2025-09-22</t>
  </si>
  <si>
    <t>REG00042-S4</t>
  </si>
  <si>
    <t>Calcium, Potassium, Sulfate, Sodium Hydroxide</t>
  </si>
  <si>
    <t>REG00043</t>
  </si>
  <si>
    <t>REG00043-S1</t>
  </si>
  <si>
    <t>INV00043</t>
  </si>
  <si>
    <t>012-XXX-276</t>
  </si>
  <si>
    <t>Lead, Calcium, Magnesium</t>
  </si>
  <si>
    <t>2025-06-18</t>
  </si>
  <si>
    <t>REG00043-S2</t>
  </si>
  <si>
    <t>Nitrate, Sodium</t>
  </si>
  <si>
    <t>2025-06-20</t>
  </si>
  <si>
    <t>REG00044</t>
  </si>
  <si>
    <t>REG00044-S1</t>
  </si>
  <si>
    <t>INV00044</t>
  </si>
  <si>
    <t>ស៊ិន ហ្វានីតា — ទឹកស្អាត</t>
  </si>
  <si>
    <t>Calcium, Potassium, Sulfate</t>
  </si>
  <si>
    <t>2025-03-02</t>
  </si>
  <si>
    <t>2025-03-12</t>
  </si>
  <si>
    <t>REG00044-S2</t>
  </si>
  <si>
    <t>Chloride, Lead, Hydrochloric Acid, Nitrate</t>
  </si>
  <si>
    <t>REG00045</t>
  </si>
  <si>
    <t>REG00045-S1</t>
  </si>
  <si>
    <t>INV00045</t>
  </si>
  <si>
    <t>012-XXX-874</t>
  </si>
  <si>
    <t>Sulfuric Acid, Potassium, Sodium Hydroxide</t>
  </si>
  <si>
    <t>2025-10-16</t>
  </si>
  <si>
    <t>2025-10-17</t>
  </si>
  <si>
    <t>2025-10-27</t>
  </si>
  <si>
    <t>REG00045-S2</t>
  </si>
  <si>
    <t>REG00045-S3</t>
  </si>
  <si>
    <t>Lead, Phosphate, Sulfuric Acid, Sulfate</t>
  </si>
  <si>
    <t>REG00045-S4</t>
  </si>
  <si>
    <t>Sodium, Magnesium, Potassium</t>
  </si>
  <si>
    <t>REG00046</t>
  </si>
  <si>
    <t>REG00046-S1</t>
  </si>
  <si>
    <t>INV00046</t>
  </si>
  <si>
    <t>012-XXX-635</t>
  </si>
  <si>
    <t>Sulfate, Ammonia, Potassium</t>
  </si>
  <si>
    <t>2025-11-24</t>
  </si>
  <si>
    <t>REG00046-S2</t>
  </si>
  <si>
    <t>Nitrate, Sulfate</t>
  </si>
  <si>
    <t>2025-12-01</t>
  </si>
  <si>
    <t>REG00046-S3</t>
  </si>
  <si>
    <t>Sulfate, Calcium, Nitrite, Nitrate</t>
  </si>
  <si>
    <t>REG00046-S4</t>
  </si>
  <si>
    <t>Chloride, Calcium, Sodium, Nitrate</t>
  </si>
  <si>
    <t>REG00047</t>
  </si>
  <si>
    <t>REG00047-S1</t>
  </si>
  <si>
    <t>INV00047</t>
  </si>
  <si>
    <t>012-XXX-581</t>
  </si>
  <si>
    <t>2025-09-12</t>
  </si>
  <si>
    <t>2025-09-13</t>
  </si>
  <si>
    <t>REG00048</t>
  </si>
  <si>
    <t>REG00048-S1</t>
  </si>
  <si>
    <t>2025-04-19</t>
  </si>
  <si>
    <t>INV00048</t>
  </si>
  <si>
    <t>012-XXX-229</t>
  </si>
  <si>
    <t>Potassium, Sodium Hydroxide</t>
  </si>
  <si>
    <t>2025-05-02</t>
  </si>
  <si>
    <t>2025-05-03</t>
  </si>
  <si>
    <t>REG00048-S2</t>
  </si>
  <si>
    <t>Sulfate, Phosphate</t>
  </si>
  <si>
    <t>REG00048-S3</t>
  </si>
  <si>
    <t>Potassium, Sodium</t>
  </si>
  <si>
    <t>REG00049</t>
  </si>
  <si>
    <t>REG00049-S1</t>
  </si>
  <si>
    <t>INV00049</t>
  </si>
  <si>
    <t>012-XXX-242</t>
  </si>
  <si>
    <t>Nitrite, Hydrochloric Acid</t>
  </si>
  <si>
    <t>2025-12-07</t>
  </si>
  <si>
    <t>2025-12-09</t>
  </si>
  <si>
    <t>REG00049-S2</t>
  </si>
  <si>
    <t>Nitrate, Hydrochloric Acid, Calcium</t>
  </si>
  <si>
    <t>2025-11-29</t>
  </si>
  <si>
    <t>2025-12-08</t>
  </si>
  <si>
    <t>REG00049-S3</t>
  </si>
  <si>
    <t>Hydrochloric Acid, Ammonia</t>
  </si>
  <si>
    <t>2025-12-10</t>
  </si>
  <si>
    <t>REG00050</t>
  </si>
  <si>
    <t>REG00050-S1</t>
  </si>
  <si>
    <t>INV00050</t>
  </si>
  <si>
    <t>012-XXX-295</t>
  </si>
  <si>
    <t>Calcium, Nitrate, Sulfuric Acid</t>
  </si>
  <si>
    <t>REG00051</t>
  </si>
  <si>
    <t>REG00051-S1</t>
  </si>
  <si>
    <t>2025-09-25</t>
  </si>
  <si>
    <t>INV00051</t>
  </si>
  <si>
    <t>គួន ថាំង — ទឹកពិសាដប</t>
  </si>
  <si>
    <t>012-XXX-439</t>
  </si>
  <si>
    <t>Lead, Hydrochloric Acid, Potassium, Sulfate</t>
  </si>
  <si>
    <t>2025-10-08</t>
  </si>
  <si>
    <t>REG00052</t>
  </si>
  <si>
    <t>REG00052-S1</t>
  </si>
  <si>
    <t>INV00052</t>
  </si>
  <si>
    <t>012-XXX-222</t>
  </si>
  <si>
    <t>Nitrate, Magnesium</t>
  </si>
  <si>
    <t>2025-07-18</t>
  </si>
  <si>
    <t>REG00053</t>
  </si>
  <si>
    <t>REG00053-S1</t>
  </si>
  <si>
    <t>INV00053</t>
  </si>
  <si>
    <t>012-XXX-909</t>
  </si>
  <si>
    <t>Lead, Nitrite</t>
  </si>
  <si>
    <t>2025-07-28</t>
  </si>
  <si>
    <t>REG00053-S2</t>
  </si>
  <si>
    <t>Iron, Nitrite, Potassium</t>
  </si>
  <si>
    <t>REG00053-S3</t>
  </si>
  <si>
    <t>Potassium, Iron, Nitrate, Nitrite</t>
  </si>
  <si>
    <t>2025-07-22</t>
  </si>
  <si>
    <t>2025-08-04</t>
  </si>
  <si>
    <t>2025-08-05</t>
  </si>
  <si>
    <t>REG00053-S4</t>
  </si>
  <si>
    <t>REG00054</t>
  </si>
  <si>
    <t>REG00054-S1</t>
  </si>
  <si>
    <t>2025-08-03</t>
  </si>
  <si>
    <t>INV00054</t>
  </si>
  <si>
    <t>012-XXX-178</t>
  </si>
  <si>
    <t>2025-08-06</t>
  </si>
  <si>
    <t>REG00054-S2</t>
  </si>
  <si>
    <t>Sulfate, Calcium, Nitrate</t>
  </si>
  <si>
    <t>REG00054-S3</t>
  </si>
  <si>
    <t>Sodium, Potassium, Sulfuric Acid</t>
  </si>
  <si>
    <t>REG00055</t>
  </si>
  <si>
    <t>REG00055-S1</t>
  </si>
  <si>
    <t>INV00055</t>
  </si>
  <si>
    <t>012-XXX-482</t>
  </si>
  <si>
    <t>2025-01-30</t>
  </si>
  <si>
    <t>2025-02-09</t>
  </si>
  <si>
    <t>REG00055-S2</t>
  </si>
  <si>
    <t>2025-02-10</t>
  </si>
  <si>
    <t>2025-02-11</t>
  </si>
  <si>
    <t>REG00056</t>
  </si>
  <si>
    <t>REG00056-S1</t>
  </si>
  <si>
    <t>INV00056</t>
  </si>
  <si>
    <t>012-XXX-565</t>
  </si>
  <si>
    <t>Calcium, Sulfate</t>
  </si>
  <si>
    <t>REG00056-S2</t>
  </si>
  <si>
    <t>Calcium, Lead, Sodium Hydroxide, Magnesium</t>
  </si>
  <si>
    <t>2025-05-18</t>
  </si>
  <si>
    <t>REG00057</t>
  </si>
  <si>
    <t>REG00057-S1</t>
  </si>
  <si>
    <t>2025-03-05</t>
  </si>
  <si>
    <t>INV00057</t>
  </si>
  <si>
    <t>012-XXX-118</t>
  </si>
  <si>
    <t>Lead, Sulfate</t>
  </si>
  <si>
    <t>2025-03-07</t>
  </si>
  <si>
    <t>2025-03-17</t>
  </si>
  <si>
    <t>REG00058</t>
  </si>
  <si>
    <t>REG00058-S1</t>
  </si>
  <si>
    <t>INV00058</t>
  </si>
  <si>
    <t>ហួយ សុគន្ធារី — ទឹកកកអនាម័យ</t>
  </si>
  <si>
    <t>012-XXX-509</t>
  </si>
  <si>
    <t>REG00058-S2</t>
  </si>
  <si>
    <t>Chloride, Hydrochloric Acid, Potassium</t>
  </si>
  <si>
    <t>2025-10-28</t>
  </si>
  <si>
    <t>REG00058-S3</t>
  </si>
  <si>
    <t>REG00058-S4</t>
  </si>
  <si>
    <t>REG00059</t>
  </si>
  <si>
    <t>REG00059-S1</t>
  </si>
  <si>
    <t>INV00059</t>
  </si>
  <si>
    <t>012-XXX-284</t>
  </si>
  <si>
    <t>2025-09-14</t>
  </si>
  <si>
    <t>2025-09-15</t>
  </si>
  <si>
    <t>REG00060</t>
  </si>
  <si>
    <t>REG00060-S1</t>
  </si>
  <si>
    <t>INV00060</t>
  </si>
  <si>
    <t>012-XXX-547</t>
  </si>
  <si>
    <t>Nitrite, Sulfate, Phosphate</t>
  </si>
  <si>
    <t>REG00060-S2</t>
  </si>
  <si>
    <t>Phosphate, Ammonia, Sodium, Potassium</t>
  </si>
  <si>
    <t>REG00060-S3</t>
  </si>
  <si>
    <t>Sodium, Iron</t>
  </si>
  <si>
    <t>REG00060-S4</t>
  </si>
  <si>
    <t>REG00061</t>
  </si>
  <si>
    <t>REG00061-S1</t>
  </si>
  <si>
    <t>INV00061</t>
  </si>
  <si>
    <t>012-XXX-548</t>
  </si>
  <si>
    <t>Sulfate, Sodium Hydroxide, Chloride, Phosphate</t>
  </si>
  <si>
    <t>2025-09-30</t>
  </si>
  <si>
    <t>2025-10-01</t>
  </si>
  <si>
    <t>REG00061-S2</t>
  </si>
  <si>
    <t>2025-10-02</t>
  </si>
  <si>
    <t>REG00061-S3</t>
  </si>
  <si>
    <t>Hydrochloric Acid, Sulfate, Phosphate, Lead</t>
  </si>
  <si>
    <t>REG00061-S4</t>
  </si>
  <si>
    <t>2025-09-19</t>
  </si>
  <si>
    <t>REG00062</t>
  </si>
  <si>
    <t>REG00062-S1</t>
  </si>
  <si>
    <t>INV00062</t>
  </si>
  <si>
    <t>012-XXX-738</t>
  </si>
  <si>
    <t>REG00062-S2</t>
  </si>
  <si>
    <t>REG00062-S3</t>
  </si>
  <si>
    <t>Sulfuric Acid, Phosphate, Sulfate</t>
  </si>
  <si>
    <t>REG00062-S4</t>
  </si>
  <si>
    <t>Sulfate, Nitrate, Chloride</t>
  </si>
  <si>
    <t>REG00062-S5</t>
  </si>
  <si>
    <t>Lead, Iron, Sulfate, Magnesium</t>
  </si>
  <si>
    <t>REG00063</t>
  </si>
  <si>
    <t>REG00063-S1</t>
  </si>
  <si>
    <t>INV00063</t>
  </si>
  <si>
    <t>012-XXX-634</t>
  </si>
  <si>
    <t>Hydrochloric Acid, Calcium, Potassium</t>
  </si>
  <si>
    <t>2025-07-10</t>
  </si>
  <si>
    <t>2025-07-24</t>
  </si>
  <si>
    <t>REG00063-S2</t>
  </si>
  <si>
    <t>Sulfuric Acid, Sodium, Ammonia</t>
  </si>
  <si>
    <t>REG00063-S3</t>
  </si>
  <si>
    <t>REG00064</t>
  </si>
  <si>
    <t>REG00064-S1</t>
  </si>
  <si>
    <t>2025-03-14</t>
  </si>
  <si>
    <t>INV00064</t>
  </si>
  <si>
    <t>012-XXX-124</t>
  </si>
  <si>
    <t>Phosphate, Sulfuric Acid, Nitrate</t>
  </si>
  <si>
    <t>2025-03-15</t>
  </si>
  <si>
    <t>2025-03-22</t>
  </si>
  <si>
    <t>2025-03-24</t>
  </si>
  <si>
    <t>REG00065</t>
  </si>
  <si>
    <t>REG00065-S1</t>
  </si>
  <si>
    <t>INV00065</t>
  </si>
  <si>
    <t>ឌី ពិសិដ្ឋ — ទឹកស្អាត</t>
  </si>
  <si>
    <t>012-XXX-732</t>
  </si>
  <si>
    <t>Nitrate, Sodium, Phosphate, Iron</t>
  </si>
  <si>
    <t>REG00065-S2</t>
  </si>
  <si>
    <t>Nitrite, Sodium, Hydrochloric Acid, Ammonia</t>
  </si>
  <si>
    <t>REG00065-S3</t>
  </si>
  <si>
    <t>REG00066</t>
  </si>
  <si>
    <t>REG00066-S1</t>
  </si>
  <si>
    <t>INV00066</t>
  </si>
  <si>
    <t>អេង វណ្ណៈ — ទឹកកកអនាម័យ</t>
  </si>
  <si>
    <t>012-XXX-599</t>
  </si>
  <si>
    <t>Sulfate, Sodium, Potassium</t>
  </si>
  <si>
    <t>REG00066-S2</t>
  </si>
  <si>
    <t>REG00067</t>
  </si>
  <si>
    <t>REG00067-S1</t>
  </si>
  <si>
    <t>INV00067</t>
  </si>
  <si>
    <t>Hydrochloric Acid, Chloride, Lead, Calcium</t>
  </si>
  <si>
    <t>REG00067-S2</t>
  </si>
  <si>
    <t>Sodium, Iron, Hydrochloric Acid, Potassium</t>
  </si>
  <si>
    <t>2025-08-07</t>
  </si>
  <si>
    <t>2025-08-17</t>
  </si>
  <si>
    <t>REG00067-S3</t>
  </si>
  <si>
    <t>Ammonia, Sodium Hydroxide</t>
  </si>
  <si>
    <t>REG00067-S4</t>
  </si>
  <si>
    <t>Sodium, Nitrite</t>
  </si>
  <si>
    <t>REG00068</t>
  </si>
  <si>
    <t>REG00068-S1</t>
  </si>
  <si>
    <t>INV00068</t>
  </si>
  <si>
    <t>012-XXX-835</t>
  </si>
  <si>
    <t>Nitrite, Phosphate, Calcium</t>
  </si>
  <si>
    <t>2025-09-11</t>
  </si>
  <si>
    <t>2025-09-23</t>
  </si>
  <si>
    <t>REG00068-S2</t>
  </si>
  <si>
    <t>REG00068-S3</t>
  </si>
  <si>
    <t>Sodium, Calcium, Phosphate, Ammonia</t>
  </si>
  <si>
    <t>REG00069</t>
  </si>
  <si>
    <t>REG00069-S1</t>
  </si>
  <si>
    <t>INV00069</t>
  </si>
  <si>
    <t>ចិន ភណ្ណ័ — ទឹកពិសាដប</t>
  </si>
  <si>
    <t>Sodium, Calcium, Sodium Hydroxide</t>
  </si>
  <si>
    <t>2026-01-10</t>
  </si>
  <si>
    <t>2026-01-12</t>
  </si>
  <si>
    <t>REG00070</t>
  </si>
  <si>
    <t>REG00070-S1</t>
  </si>
  <si>
    <t>INV00070</t>
  </si>
  <si>
    <t>012-XXX-164</t>
  </si>
  <si>
    <t>Lead, Ammonia</t>
  </si>
  <si>
    <t>REG00070-S2</t>
  </si>
  <si>
    <t>Lead, Sulfate, Sulfuric Acid, Ammonia</t>
  </si>
  <si>
    <t>2025-07-04</t>
  </si>
  <si>
    <t>REG00070-S3</t>
  </si>
  <si>
    <t>Ammonia, Sulfuric Acid, Potassium, Chloride</t>
  </si>
  <si>
    <t>2025-07-03</t>
  </si>
  <si>
    <t>REG00070-S4</t>
  </si>
  <si>
    <t>REG00071</t>
  </si>
  <si>
    <t>REG00071-S1</t>
  </si>
  <si>
    <t>2025-03-23</t>
  </si>
  <si>
    <t>INV00071</t>
  </si>
  <si>
    <t>012-XXX-649</t>
  </si>
  <si>
    <t>Sodium Hydroxide, Nitrite, Iron, Chloride</t>
  </si>
  <si>
    <t>2025-03-25</t>
  </si>
  <si>
    <t>REG00071-S2</t>
  </si>
  <si>
    <t>Chloride, Nitrite</t>
  </si>
  <si>
    <t>REG00071-S3</t>
  </si>
  <si>
    <t>2025-03-26</t>
  </si>
  <si>
    <t>REG00071-S4</t>
  </si>
  <si>
    <t>Sulfate, Nitrate</t>
  </si>
  <si>
    <t>2025-04-07</t>
  </si>
  <si>
    <t>REG00071-S5</t>
  </si>
  <si>
    <t>REG00072</t>
  </si>
  <si>
    <t>REG00072-S1</t>
  </si>
  <si>
    <t>2025-10-19</t>
  </si>
  <si>
    <t>INV00072</t>
  </si>
  <si>
    <t>012-XXX-399</t>
  </si>
  <si>
    <t>Sulfuric Acid, Magnesium, Chloride, Nitrate</t>
  </si>
  <si>
    <t>2025-10-20</t>
  </si>
  <si>
    <t>2025-10-21</t>
  </si>
  <si>
    <t>REG00072-S2</t>
  </si>
  <si>
    <t>REG00072-S3</t>
  </si>
  <si>
    <t>2025-10-29</t>
  </si>
  <si>
    <t>REG00073</t>
  </si>
  <si>
    <t>REG00073-S1</t>
  </si>
  <si>
    <t>2025-10-06</t>
  </si>
  <si>
    <t>INV00073</t>
  </si>
  <si>
    <t>012-XXX-533</t>
  </si>
  <si>
    <t>Sodium, Ammonia, Chloride</t>
  </si>
  <si>
    <t>2025-10-07</t>
  </si>
  <si>
    <t>REG00074</t>
  </si>
  <si>
    <t>REG00074-S1</t>
  </si>
  <si>
    <t>2025-04-18</t>
  </si>
  <si>
    <t>INV00074</t>
  </si>
  <si>
    <t>012-XXX-663</t>
  </si>
  <si>
    <t>Nitrate, Magnesium, Calcium, Ammonia</t>
  </si>
  <si>
    <t>REG00074-S2</t>
  </si>
  <si>
    <t>Iron, Nitrate, Chloride</t>
  </si>
  <si>
    <t>REG00074-S3</t>
  </si>
  <si>
    <t>REG00074-S4</t>
  </si>
  <si>
    <t>Sodium, Sulfuric Acid, Potassium</t>
  </si>
  <si>
    <t>REG00075</t>
  </si>
  <si>
    <t>REG00075-S1</t>
  </si>
  <si>
    <t>2025-03-19</t>
  </si>
  <si>
    <t>INV00075</t>
  </si>
  <si>
    <t>012-XXX-667</t>
  </si>
  <si>
    <t>Sodium, Nitrite, Potassium, Sodium Hydroxide</t>
  </si>
  <si>
    <t>2025-03-27</t>
  </si>
  <si>
    <t>REG00075-S2</t>
  </si>
  <si>
    <t>Ammonia, Nitrite, Sulfuric Acid</t>
  </si>
  <si>
    <t>2025-03-31</t>
  </si>
  <si>
    <t>2025-04-01</t>
  </si>
  <si>
    <t>REG00076</t>
  </si>
  <si>
    <t>REG00076-S1</t>
  </si>
  <si>
    <t>2025-05-29</t>
  </si>
  <si>
    <t>INV00076</t>
  </si>
  <si>
    <t>012-XXX-953</t>
  </si>
  <si>
    <t>2025-05-30</t>
  </si>
  <si>
    <t>REG00076-S2</t>
  </si>
  <si>
    <t>REG00076-S3</t>
  </si>
  <si>
    <t>Nitrate, Nitrite, Chloride, Lead</t>
  </si>
  <si>
    <t>REG00076-S4</t>
  </si>
  <si>
    <t>REG00077</t>
  </si>
  <si>
    <t>REG00077-S1</t>
  </si>
  <si>
    <t>2025-03-13</t>
  </si>
  <si>
    <t>INV00077</t>
  </si>
  <si>
    <t>ឡូត ធារិទ្ធ — ទឹកស្អាត</t>
  </si>
  <si>
    <t>012-XXX-578</t>
  </si>
  <si>
    <t>2025-03-16</t>
  </si>
  <si>
    <t>2025-03-28</t>
  </si>
  <si>
    <t>REG00078</t>
  </si>
  <si>
    <t>REG00078-S1</t>
  </si>
  <si>
    <t>2025-02-18</t>
  </si>
  <si>
    <t>INV00078</t>
  </si>
  <si>
    <t>ជុំ សំ អាត — ទឹកពិសាដប</t>
  </si>
  <si>
    <t>012-XXX-790</t>
  </si>
  <si>
    <t>2025-02-20</t>
  </si>
  <si>
    <t>REG00078-S2</t>
  </si>
  <si>
    <t>Phosphate, Sodium Hydroxide</t>
  </si>
  <si>
    <t>2025-03-03</t>
  </si>
  <si>
    <t>REG00079</t>
  </si>
  <si>
    <t>REG00079-S1</t>
  </si>
  <si>
    <t>2025-12-05</t>
  </si>
  <si>
    <t>INV00079</t>
  </si>
  <si>
    <t>012-XXX-762</t>
  </si>
  <si>
    <t>REG00079-S2</t>
  </si>
  <si>
    <t>Sulfuric Acid, Magnesium, Sulfate, Calcium</t>
  </si>
  <si>
    <t>2025-12-19</t>
  </si>
  <si>
    <t>REG00079-S3</t>
  </si>
  <si>
    <t>Sodium Hydroxide, Magnesium, Phosphate, Sodium</t>
  </si>
  <si>
    <t>REG00080</t>
  </si>
  <si>
    <t>REG00080-S1</t>
  </si>
  <si>
    <t>INV00080</t>
  </si>
  <si>
    <t>012-XXX-149</t>
  </si>
  <si>
    <t>REG00080-S2</t>
  </si>
  <si>
    <t>Sulfuric Acid, Magnesium</t>
  </si>
  <si>
    <t>REG00081</t>
  </si>
  <si>
    <t>REG00081-S1</t>
  </si>
  <si>
    <t>INV00081</t>
  </si>
  <si>
    <t>012-XXX-267</t>
  </si>
  <si>
    <t>Lead, Sodium, Phosphate</t>
  </si>
  <si>
    <t>REG00081-S2</t>
  </si>
  <si>
    <t>Calcium, Phosphate, Ammonia, Sulfate</t>
  </si>
  <si>
    <t>REG00081-S3</t>
  </si>
  <si>
    <t>REG00082</t>
  </si>
  <si>
    <t>REG00082-S1</t>
  </si>
  <si>
    <t>INV00082</t>
  </si>
  <si>
    <t>អាម សុវណ្ណរដ្ធ — ទឹកស្អាត</t>
  </si>
  <si>
    <t>012-XXX-748</t>
  </si>
  <si>
    <t>Chloride, Magnesium, Sodium, Nitrite</t>
  </si>
  <si>
    <t>2025-03-18</t>
  </si>
  <si>
    <t>REG00082-S2</t>
  </si>
  <si>
    <t>Chloride, Hydrochloric Acid</t>
  </si>
  <si>
    <t>REG00082-S3</t>
  </si>
  <si>
    <t>Calcium, Sulfuric Acid, Hydrochloric Acid</t>
  </si>
  <si>
    <t>REG00083</t>
  </si>
  <si>
    <t>REG00083-S1</t>
  </si>
  <si>
    <t>2025-01-24</t>
  </si>
  <si>
    <t>INV00083</t>
  </si>
  <si>
    <t>012-XXX-392</t>
  </si>
  <si>
    <t>Nitrate, Lead, Sulfuric Acid, Sodium</t>
  </si>
  <si>
    <t>2025-01-25</t>
  </si>
  <si>
    <t>REG00083-S2</t>
  </si>
  <si>
    <t>REG00083-S3</t>
  </si>
  <si>
    <t>Sulfate, Sulfuric Acid, Phosphate</t>
  </si>
  <si>
    <t>REG00084</t>
  </si>
  <si>
    <t>REG00084-S1</t>
  </si>
  <si>
    <t>INV00084</t>
  </si>
  <si>
    <t>012-XXX-833</t>
  </si>
  <si>
    <t>Sulfate, Iron</t>
  </si>
  <si>
    <t>2025-03-30</t>
  </si>
  <si>
    <t>REG00084-S2</t>
  </si>
  <si>
    <t>Potassium, Sulfuric Acid, Lead, Hydrochloric Acid</t>
  </si>
  <si>
    <t>REG00085</t>
  </si>
  <si>
    <t>REG00085-S1</t>
  </si>
  <si>
    <t>INV00085</t>
  </si>
  <si>
    <t>012-XXX-256</t>
  </si>
  <si>
    <t>Hydrochloric Acid, Sulfate</t>
  </si>
  <si>
    <t>REG00085-S2</t>
  </si>
  <si>
    <t>Potassium, Lead</t>
  </si>
  <si>
    <t>REG00085-S3</t>
  </si>
  <si>
    <t>Magnesium, Calcium</t>
  </si>
  <si>
    <t>REG00085-S4</t>
  </si>
  <si>
    <t>REG00085-S5</t>
  </si>
  <si>
    <t>Ammonia, Potassium</t>
  </si>
  <si>
    <t>REG00086</t>
  </si>
  <si>
    <t>REG00086-S1</t>
  </si>
  <si>
    <t>INV00086</t>
  </si>
  <si>
    <t>តេម បូរិន — ទឹកពិសាដប</t>
  </si>
  <si>
    <t>012-XXX-218</t>
  </si>
  <si>
    <t>Sodium Hydroxide, Sulfate, Ammonia, Potassium</t>
  </si>
  <si>
    <t>REG00086-S2</t>
  </si>
  <si>
    <t>2025-07-26</t>
  </si>
  <si>
    <t>REG00086-S3</t>
  </si>
  <si>
    <t>Hydrochloric Acid, Phosphate, Sulfate, Lead</t>
  </si>
  <si>
    <t>2025-07-25</t>
  </si>
  <si>
    <t>REG00086-S4</t>
  </si>
  <si>
    <t>REG00087</t>
  </si>
  <si>
    <t>REG00087-S1</t>
  </si>
  <si>
    <t>INV00087</t>
  </si>
  <si>
    <t>012-XXX-562</t>
  </si>
  <si>
    <t>Magnesium, Ammonia</t>
  </si>
  <si>
    <t>REG00087-S2</t>
  </si>
  <si>
    <t>Nitrite, Chloride</t>
  </si>
  <si>
    <t>REG00087-S3</t>
  </si>
  <si>
    <t>REG00087-S4</t>
  </si>
  <si>
    <t>Phosphate, Chloride, Magnesium</t>
  </si>
  <si>
    <t>REG00087-S5</t>
  </si>
  <si>
    <t>REG00088</t>
  </si>
  <si>
    <t>REG00088-S1</t>
  </si>
  <si>
    <t>2025-12-11</t>
  </si>
  <si>
    <t>INV00088</t>
  </si>
  <si>
    <t>012-XXX-499</t>
  </si>
  <si>
    <t>Nitrite, Potassium</t>
  </si>
  <si>
    <t>REG00088-S2</t>
  </si>
  <si>
    <t>Sulfate, Nitrite, Sulfuric Acid, Hydrochloric Acid</t>
  </si>
  <si>
    <t>2025-12-22</t>
  </si>
  <si>
    <t>REG00088-S3</t>
  </si>
  <si>
    <t>Lead, Sulfuric Acid, Sodium, Nitrate</t>
  </si>
  <si>
    <t>2025-12-28</t>
  </si>
  <si>
    <t>REG00088-S4</t>
  </si>
  <si>
    <t>Potassium, Hydrochloric Acid</t>
  </si>
  <si>
    <t>2025-12-12</t>
  </si>
  <si>
    <t>REG00088-S5</t>
  </si>
  <si>
    <t>REG00089</t>
  </si>
  <si>
    <t>REG00089-S1</t>
  </si>
  <si>
    <t>INV00089</t>
  </si>
  <si>
    <t>012-XXX-929</t>
  </si>
  <si>
    <t>Magnesium, Nitrate</t>
  </si>
  <si>
    <t>REG00090</t>
  </si>
  <si>
    <t>REG00090-S1</t>
  </si>
  <si>
    <t>INV00090</t>
  </si>
  <si>
    <t>Sodium Hydroxide, Chloride</t>
  </si>
  <si>
    <t>2025-06-09</t>
  </si>
  <si>
    <t>REG00090-S2</t>
  </si>
  <si>
    <t>Hydrochloric Acid, Sodium Hydroxide</t>
  </si>
  <si>
    <t>REG00091</t>
  </si>
  <si>
    <t>REG00091-S1</t>
  </si>
  <si>
    <t>INV00091</t>
  </si>
  <si>
    <t>012-XXX-866</t>
  </si>
  <si>
    <t>Sodium, Calcium</t>
  </si>
  <si>
    <t>REG00092</t>
  </si>
  <si>
    <t>REG00092-S1</t>
  </si>
  <si>
    <t>INV00092</t>
  </si>
  <si>
    <t>012-XXX-469</t>
  </si>
  <si>
    <t>Potassium, Nitrite</t>
  </si>
  <si>
    <t>REG00093</t>
  </si>
  <si>
    <t>REG00093-S1</t>
  </si>
  <si>
    <t>2025-01-19</t>
  </si>
  <si>
    <t>INV00093</t>
  </si>
  <si>
    <t>ដន សារ៉េត — ទឹកពិសាដប</t>
  </si>
  <si>
    <t>012-XXX-560</t>
  </si>
  <si>
    <t>Sodium, Potassium, Chloride, Hydrochloric Acid</t>
  </si>
  <si>
    <t>2025-01-21</t>
  </si>
  <si>
    <t>2025-01-23</t>
  </si>
  <si>
    <t>REG00093-S2</t>
  </si>
  <si>
    <t>REG00093-S3</t>
  </si>
  <si>
    <t>Iron, Phosphate, Sodium Hydroxide</t>
  </si>
  <si>
    <t>REG00093-S4</t>
  </si>
  <si>
    <t>2025-01-20</t>
  </si>
  <si>
    <t>REG00093-S5</t>
  </si>
  <si>
    <t>2025-01-22</t>
  </si>
  <si>
    <t>REG00094</t>
  </si>
  <si>
    <t>REG00094-S1</t>
  </si>
  <si>
    <t>INV00094</t>
  </si>
  <si>
    <t>ញឹក សុគន្ធ — ទឹកស្អាត</t>
  </si>
  <si>
    <t>012-XXX-664</t>
  </si>
  <si>
    <t>REG00095</t>
  </si>
  <si>
    <t>REG00095-S1</t>
  </si>
  <si>
    <t>2025-01-16</t>
  </si>
  <si>
    <t>INV00095</t>
  </si>
  <si>
    <t>012-XXX-328</t>
  </si>
  <si>
    <t>Sulfuric Acid, Magnesium, Phosphate, Sodium</t>
  </si>
  <si>
    <t>2025-01-18</t>
  </si>
  <si>
    <t>REG00095-S2</t>
  </si>
  <si>
    <t>Magnesium, Nitrite, Hydrochloric Acid</t>
  </si>
  <si>
    <t>2025-01-17</t>
  </si>
  <si>
    <t>REG00095-S3</t>
  </si>
  <si>
    <t>Hydrochloric Acid, Chloride, Magnesium</t>
  </si>
  <si>
    <t>REG00095-S4</t>
  </si>
  <si>
    <t>Magnesium, Sodium Hydroxide, Hydrochloric Acid</t>
  </si>
  <si>
    <t>REG00095-S5</t>
  </si>
  <si>
    <t>Calcium, Chloride, Lead</t>
  </si>
  <si>
    <t>REG00096</t>
  </si>
  <si>
    <t>REG00096-S1</t>
  </si>
  <si>
    <t>INV00096</t>
  </si>
  <si>
    <t>REG00096-S2</t>
  </si>
  <si>
    <t>Calcium, Chloride, Ammonia, Lead</t>
  </si>
  <si>
    <t>REG00097</t>
  </si>
  <si>
    <t>REG00097-S1</t>
  </si>
  <si>
    <t>2025-09-24</t>
  </si>
  <si>
    <t>INV00097</t>
  </si>
  <si>
    <t>012-XXX-907</t>
  </si>
  <si>
    <t>Iron, Sodium Hydroxide, Ammonia, Hydrochloric Acid</t>
  </si>
  <si>
    <t>2025-10-04</t>
  </si>
  <si>
    <t>2025-10-05</t>
  </si>
  <si>
    <t>REG00097-S2</t>
  </si>
  <si>
    <t>REG00097-S3</t>
  </si>
  <si>
    <t>Sulfate, Sulfuric Acid, Sodium Hydroxide</t>
  </si>
  <si>
    <t>REG00097-S4</t>
  </si>
  <si>
    <t>Sodium, Sulfate, Nitrite</t>
  </si>
  <si>
    <t>REG00097-S5</t>
  </si>
  <si>
    <t>REG00098</t>
  </si>
  <si>
    <t>REG00098-S1</t>
  </si>
  <si>
    <t>INV00098</t>
  </si>
  <si>
    <t>012-XXX-266</t>
  </si>
  <si>
    <t>REG00099</t>
  </si>
  <si>
    <t>REG00099-S1</t>
  </si>
  <si>
    <t>INV00099</t>
  </si>
  <si>
    <t>012-XXX-175</t>
  </si>
  <si>
    <t>REG00099-S2</t>
  </si>
  <si>
    <t>REG00099-S3</t>
  </si>
  <si>
    <t>REG00100</t>
  </si>
  <si>
    <t>REG00100-S1</t>
  </si>
  <si>
    <t>INV00100</t>
  </si>
  <si>
    <t>សុខ ចេង — ទឹកកកដើម</t>
  </si>
  <si>
    <t>012-XXX-401</t>
  </si>
  <si>
    <t>REG00100-S2</t>
  </si>
  <si>
    <t>Magnesium, Ammonia, Iron</t>
  </si>
  <si>
    <t>REG00100-S3</t>
  </si>
  <si>
    <t>Sulfuric Acid, Ammonia</t>
  </si>
  <si>
    <t>REG00101</t>
  </si>
  <si>
    <t>REG00101-S1</t>
  </si>
  <si>
    <t>INV00101</t>
  </si>
  <si>
    <t>Ammonia, Lead</t>
  </si>
  <si>
    <t>REG00102</t>
  </si>
  <si>
    <t>REG00102-S1</t>
  </si>
  <si>
    <t>INV00102</t>
  </si>
  <si>
    <t>សោម តារា — ទឹកពិសាដប</t>
  </si>
  <si>
    <t>012-XXX-603</t>
  </si>
  <si>
    <t>Chloride, Hydrochloric Acid, Sodium, Sulfuric Acid</t>
  </si>
  <si>
    <t>REG00102-S2</t>
  </si>
  <si>
    <t>Sulfate, Magnesium, Ammonia, Hydrochloric Acid</t>
  </si>
  <si>
    <t>REG00102-S3</t>
  </si>
  <si>
    <t>Phosphate, Calcium</t>
  </si>
  <si>
    <t>REG00102-S4</t>
  </si>
  <si>
    <t>Magnesium, Potassium, Sodium, Sulfuric Acid</t>
  </si>
  <si>
    <t>REG00103</t>
  </si>
  <si>
    <t>REG00103-S1</t>
  </si>
  <si>
    <t>INV00103</t>
  </si>
  <si>
    <t>012-XXX-226</t>
  </si>
  <si>
    <t>Chloride, Phosphate</t>
  </si>
  <si>
    <t>REG00104</t>
  </si>
  <si>
    <t>REG00104-S1</t>
  </si>
  <si>
    <t>INV00104</t>
  </si>
  <si>
    <t>Potassium, Magnesium</t>
  </si>
  <si>
    <t>REG00104-S2</t>
  </si>
  <si>
    <t>REG00104-S3</t>
  </si>
  <si>
    <t>REG00105</t>
  </si>
  <si>
    <t>REG00105-S1</t>
  </si>
  <si>
    <t>INV00105</t>
  </si>
  <si>
    <t>012-XXX-974</t>
  </si>
  <si>
    <t>REG00105-S2</t>
  </si>
  <si>
    <t>Sulfate, Magnesium, Lead</t>
  </si>
  <si>
    <t>REG00105-S3</t>
  </si>
  <si>
    <t>REG00106</t>
  </si>
  <si>
    <t>REG00106-S1</t>
  </si>
  <si>
    <t>INV00106</t>
  </si>
  <si>
    <t>012-XXX-700</t>
  </si>
  <si>
    <t>Calcium, Nitrate</t>
  </si>
  <si>
    <t>REG00106-S2</t>
  </si>
  <si>
    <t>REG00107</t>
  </si>
  <si>
    <t>REG00107-S1</t>
  </si>
  <si>
    <t>INV00107</t>
  </si>
  <si>
    <t>012-XXX-970</t>
  </si>
  <si>
    <t>REG00107-S2</t>
  </si>
  <si>
    <t>Sodium, Hydrochloric Acid</t>
  </si>
  <si>
    <t>REG00107-S3</t>
  </si>
  <si>
    <t>REG00107-S4</t>
  </si>
  <si>
    <t>Sodium Hydroxide, Phosphate</t>
  </si>
  <si>
    <t>2025-02-03</t>
  </si>
  <si>
    <t>REG00108</t>
  </si>
  <si>
    <t>REG00108-S1</t>
  </si>
  <si>
    <t>INV00108</t>
  </si>
  <si>
    <t>012-XXX-890</t>
  </si>
  <si>
    <t>REG00109</t>
  </si>
  <si>
    <t>REG00109-S1</t>
  </si>
  <si>
    <t>INV00109</t>
  </si>
  <si>
    <t>ឡាន់ ណាវ — ទឹកស្អាតចែកចាយ</t>
  </si>
  <si>
    <t>012-XXX-232</t>
  </si>
  <si>
    <t>Calcium, Sodium</t>
  </si>
  <si>
    <t>REG00110</t>
  </si>
  <si>
    <t>REG00110-S1</t>
  </si>
  <si>
    <t>INV00110</t>
  </si>
  <si>
    <t>Calcium, Sodium Hydroxide, Iron, Sulfate</t>
  </si>
  <si>
    <t>REG00110-S2</t>
  </si>
  <si>
    <t>Ammonia, Nitrite, Hydrochloric Acid</t>
  </si>
  <si>
    <t>REG00110-S3</t>
  </si>
  <si>
    <t>Chloride, Sulfate</t>
  </si>
  <si>
    <t>REG00110-S4</t>
  </si>
  <si>
    <t>REG00110-S5</t>
  </si>
  <si>
    <t>2025-09-17</t>
  </si>
  <si>
    <t>REG00111</t>
  </si>
  <si>
    <t>REG00111-S1</t>
  </si>
  <si>
    <t>INV00111</t>
  </si>
  <si>
    <t>012-XXX-847</t>
  </si>
  <si>
    <t>Magnesium, Sulfate</t>
  </si>
  <si>
    <t>REG00112</t>
  </si>
  <si>
    <t>REG00112-S1</t>
  </si>
  <si>
    <t>INV00112</t>
  </si>
  <si>
    <t>012-XXX-787</t>
  </si>
  <si>
    <t>Chloride, Sulfuric Acid, Phosphate, Ammonia</t>
  </si>
  <si>
    <t>2025-07-17</t>
  </si>
  <si>
    <t>REG00112-S2</t>
  </si>
  <si>
    <t>Magnesium, Sodium</t>
  </si>
  <si>
    <t>REG00112-S3</t>
  </si>
  <si>
    <t>Nitrite, Sodium Hydroxide</t>
  </si>
  <si>
    <t>REG00113</t>
  </si>
  <si>
    <t>REG00113-S1</t>
  </si>
  <si>
    <t>INV00113</t>
  </si>
  <si>
    <t>012-XXX-507</t>
  </si>
  <si>
    <t>Hydrochloric Acid, Sulfate, Iron, Chloride</t>
  </si>
  <si>
    <t>REG00113-S2</t>
  </si>
  <si>
    <t>Hydrochloric Acid, Nitrite, Potassium</t>
  </si>
  <si>
    <t>REG00113-S3</t>
  </si>
  <si>
    <t>REG00114</t>
  </si>
  <si>
    <t>REG00114-S1</t>
  </si>
  <si>
    <t>INV00114</t>
  </si>
  <si>
    <t>012-XXX-985</t>
  </si>
  <si>
    <t>2025-09-02</t>
  </si>
  <si>
    <t>REG00114-S2</t>
  </si>
  <si>
    <t>Chloride, Magnesium, Sulfate, Sulfuric Acid</t>
  </si>
  <si>
    <t>REG00114-S3</t>
  </si>
  <si>
    <t>2025-09-05</t>
  </si>
  <si>
    <t>REG00115</t>
  </si>
  <si>
    <t>REG00115-S1</t>
  </si>
  <si>
    <t>INV00115</t>
  </si>
  <si>
    <t>012-XXX-334</t>
  </si>
  <si>
    <t>Chloride, Potassium, Nitrate</t>
  </si>
  <si>
    <t>REG00115-S2</t>
  </si>
  <si>
    <t>2025-05-20</t>
  </si>
  <si>
    <t>REG00115-S3</t>
  </si>
  <si>
    <t>Nitrite, Sodium Hydroxide, Phosphate</t>
  </si>
  <si>
    <t>2025-05-16</t>
  </si>
  <si>
    <t>REG00115-S4</t>
  </si>
  <si>
    <t>Hydrochloric Acid, Sulfate, Magnesium, Iron</t>
  </si>
  <si>
    <t>REG00115-S5</t>
  </si>
  <si>
    <t>Calcium, Nitrite, Phosphate, Magnesium</t>
  </si>
  <si>
    <t>REG00116</t>
  </si>
  <si>
    <t>REG00116-S1</t>
  </si>
  <si>
    <t>INV00116</t>
  </si>
  <si>
    <t>012-XXX-289</t>
  </si>
  <si>
    <t>Sulfate, Nitrite, Sodium Hydroxide</t>
  </si>
  <si>
    <t>2025-05-17</t>
  </si>
  <si>
    <t>REG00116-S2</t>
  </si>
  <si>
    <t>REG00116-S3</t>
  </si>
  <si>
    <t>2025-05-19</t>
  </si>
  <si>
    <t>REG00117</t>
  </si>
  <si>
    <t>REG00117-S1</t>
  </si>
  <si>
    <t>INV00117</t>
  </si>
  <si>
    <t>012-XXX-498</t>
  </si>
  <si>
    <t>Ammonia, Magnesium</t>
  </si>
  <si>
    <t>REG00117-S2</t>
  </si>
  <si>
    <t>REG00117-S3</t>
  </si>
  <si>
    <t>Lead, Sulfate, Chloride, Iron</t>
  </si>
  <si>
    <t>REG00117-S4</t>
  </si>
  <si>
    <t>REG00118</t>
  </si>
  <si>
    <t>REG00118-S1</t>
  </si>
  <si>
    <t>2025-01-14</t>
  </si>
  <si>
    <t>INV00118</t>
  </si>
  <si>
    <t>012-XXX-883</t>
  </si>
  <si>
    <t>Magnesium, Calcium, Iron</t>
  </si>
  <si>
    <t>REG00118-S2</t>
  </si>
  <si>
    <t>Lead, Nitrate</t>
  </si>
  <si>
    <t>REG00118-S3</t>
  </si>
  <si>
    <t>Ammonia, Phosphate, Nitrite</t>
  </si>
  <si>
    <t>REG00118-S4</t>
  </si>
  <si>
    <t>Sulfuric Acid, Nitrate</t>
  </si>
  <si>
    <t>2025-01-15</t>
  </si>
  <si>
    <t>REG00118-S5</t>
  </si>
  <si>
    <t>Phosphate, Magnesium, Lead, Potassium</t>
  </si>
  <si>
    <t>REG00119</t>
  </si>
  <si>
    <t>REG00119-S1</t>
  </si>
  <si>
    <t>INV00119</t>
  </si>
  <si>
    <t>012-XXX-992</t>
  </si>
  <si>
    <t>Sodium, Nitrate, Hydrochloric Acid</t>
  </si>
  <si>
    <t>REG00119-S2</t>
  </si>
  <si>
    <t>Lead, Calcium</t>
  </si>
  <si>
    <t>REG00120</t>
  </si>
  <si>
    <t>REG00120-S1</t>
  </si>
  <si>
    <t>INV00120</t>
  </si>
  <si>
    <t>Potassium, Calcium, Sulfuric Acid, Hydrochloric Acid</t>
  </si>
  <si>
    <t>2025-10-03</t>
  </si>
  <si>
    <t>REG00120-S2</t>
  </si>
  <si>
    <t>Nitrate, Ammonia, Sulfuric Acid, Hydrochloric Acid</t>
  </si>
  <si>
    <t>REG00120-S3</t>
  </si>
  <si>
    <t>REG00120-S4</t>
  </si>
  <si>
    <t>Hydrochloric Acid, Chloride, Ammonia</t>
  </si>
  <si>
    <t>REG00121</t>
  </si>
  <si>
    <t>REG00121-S1</t>
  </si>
  <si>
    <t>INV00121</t>
  </si>
  <si>
    <t>012-XXX-462</t>
  </si>
  <si>
    <t>Chloride, Phosphate, Magnesium</t>
  </si>
  <si>
    <t>REG00122</t>
  </si>
  <si>
    <t>REG00122-S1</t>
  </si>
  <si>
    <t>INV00122</t>
  </si>
  <si>
    <t>012-XXX-786</t>
  </si>
  <si>
    <t>Sodium, Lead, Calcium, Sulfuric Acid</t>
  </si>
  <si>
    <t>REG00122-S2</t>
  </si>
  <si>
    <t>REG00122-S3</t>
  </si>
  <si>
    <t>REG00123</t>
  </si>
  <si>
    <t>REG00123-S1</t>
  </si>
  <si>
    <t>INV00123</t>
  </si>
  <si>
    <t>012-XXX-183</t>
  </si>
  <si>
    <t>2025-11-30</t>
  </si>
  <si>
    <t>REG00124</t>
  </si>
  <si>
    <t>REG00124-S1</t>
  </si>
  <si>
    <t>INV00124</t>
  </si>
  <si>
    <t>012-XXX-123</t>
  </si>
  <si>
    <t>Nitrate, Sodium, Nitrite, Phosphate</t>
  </si>
  <si>
    <t>REG00124-S2</t>
  </si>
  <si>
    <t>REG00124-S3</t>
  </si>
  <si>
    <t>Calcium, Iron, Ammonia</t>
  </si>
  <si>
    <t>REG00124-S4</t>
  </si>
  <si>
    <t>Sulfuric Acid, Nitrate, Magnesium</t>
  </si>
  <si>
    <t>REG00124-S5</t>
  </si>
  <si>
    <t>REG00125</t>
  </si>
  <si>
    <t>REG00125-S1</t>
  </si>
  <si>
    <t>INV00125</t>
  </si>
  <si>
    <t>012-XXX-332</t>
  </si>
  <si>
    <t>Nitrate, Hydrochloric Acid, Sulfuric Acid, Ammonia</t>
  </si>
  <si>
    <t>REG00125-S2</t>
  </si>
  <si>
    <t>REG00125-S3</t>
  </si>
  <si>
    <t>Sulfuric Acid, Potassium</t>
  </si>
  <si>
    <t>REG00125-S4</t>
  </si>
  <si>
    <t>REG00126</t>
  </si>
  <si>
    <t>REG00126-S1</t>
  </si>
  <si>
    <t>INV00126</t>
  </si>
  <si>
    <t>012-XXX-443</t>
  </si>
  <si>
    <t>2025-07-27</t>
  </si>
  <si>
    <t>REG00127</t>
  </si>
  <si>
    <t>REG00127-S1</t>
  </si>
  <si>
    <t>INV00127</t>
  </si>
  <si>
    <t>012-XXX-550</t>
  </si>
  <si>
    <t>Phosphate, Nitrate, Ammonia, Sulfuric Acid</t>
  </si>
  <si>
    <t>REG00127-S2</t>
  </si>
  <si>
    <t>Ammonia, Potassium, Iron, Sulfate</t>
  </si>
  <si>
    <t>REG00127-S3</t>
  </si>
  <si>
    <t>Sulfuric Acid, Nitrate, Sodium</t>
  </si>
  <si>
    <t>REG00127-S4</t>
  </si>
  <si>
    <t>Potassium, Sodium Hydroxide, Phosphate, Nitrate</t>
  </si>
  <si>
    <t>REG00127-S5</t>
  </si>
  <si>
    <t>REG00128</t>
  </si>
  <si>
    <t>REG00128-S1</t>
  </si>
  <si>
    <t>2025-10-18</t>
  </si>
  <si>
    <t>INV00128</t>
  </si>
  <si>
    <t>012-XXX-139</t>
  </si>
  <si>
    <t>REG00129</t>
  </si>
  <si>
    <t>REG00129-S1</t>
  </si>
  <si>
    <t>INV00129</t>
  </si>
  <si>
    <t>REG00129-S2</t>
  </si>
  <si>
    <t>REG00129-S3</t>
  </si>
  <si>
    <t>REG00130</t>
  </si>
  <si>
    <t>REG00130-S1</t>
  </si>
  <si>
    <t>INV00130</t>
  </si>
  <si>
    <t>012-XXX-301</t>
  </si>
  <si>
    <t>Calcium, Chloride, Potassium</t>
  </si>
  <si>
    <t>REG00130-S2</t>
  </si>
  <si>
    <t>Chloride, Potassium</t>
  </si>
  <si>
    <t>REG00130-S3</t>
  </si>
  <si>
    <t>REG00131</t>
  </si>
  <si>
    <t>REG00131-S1</t>
  </si>
  <si>
    <t>INV00131</t>
  </si>
  <si>
    <t>Calcium, Iron, Hydrochloric Acid, Chloride</t>
  </si>
  <si>
    <t>REG00131-S2</t>
  </si>
  <si>
    <t>REG00132</t>
  </si>
  <si>
    <t>REG00132-S1</t>
  </si>
  <si>
    <t>INV00132</t>
  </si>
  <si>
    <t>012-XXX-963</t>
  </si>
  <si>
    <t>Magnesium, Lead</t>
  </si>
  <si>
    <t>REG00132-S2</t>
  </si>
  <si>
    <t>Chloride, Calcium, Sodium Hydroxide</t>
  </si>
  <si>
    <t>REG00132-S3</t>
  </si>
  <si>
    <t>Sodium Hydroxide, Calcium, Nitrite, Hydrochloric Acid</t>
  </si>
  <si>
    <t>REG00133</t>
  </si>
  <si>
    <t>REG00133-S1</t>
  </si>
  <si>
    <t>2025-09-03</t>
  </si>
  <si>
    <t>INV00133</t>
  </si>
  <si>
    <t>012-XXX-757</t>
  </si>
  <si>
    <t>Sulfate, Potassium, Calcium, Chloride</t>
  </si>
  <si>
    <t>2025-09-06</t>
  </si>
  <si>
    <t>REG00133-S2</t>
  </si>
  <si>
    <t>Nitrate, Sulfate, Nitrite</t>
  </si>
  <si>
    <t>2025-09-04</t>
  </si>
  <si>
    <t>REG00134</t>
  </si>
  <si>
    <t>REG00134-S1</t>
  </si>
  <si>
    <t>INV00134</t>
  </si>
  <si>
    <t>012-XXX-359</t>
  </si>
  <si>
    <t>REG00134-S2</t>
  </si>
  <si>
    <t>REG00134-S3</t>
  </si>
  <si>
    <t>Sulfate, Potassium</t>
  </si>
  <si>
    <t>REG00135</t>
  </si>
  <si>
    <t>REG00135-S1</t>
  </si>
  <si>
    <t>INV00135</t>
  </si>
  <si>
    <t>012-XXX-248</t>
  </si>
  <si>
    <t>Sodium, Sodium Hydroxide, Chloride, Ammonia</t>
  </si>
  <si>
    <t>REG00135-S2</t>
  </si>
  <si>
    <t>Phosphate, Sulfuric Acid, Chloride</t>
  </si>
  <si>
    <t>REG00135-S3</t>
  </si>
  <si>
    <t>Chloride, Magnesium, Nitrite, Nitrate</t>
  </si>
  <si>
    <t>REG00135-S4</t>
  </si>
  <si>
    <t>Hydrochloric Acid, Phosphate, Magnesium, Nitrate</t>
  </si>
  <si>
    <t>REG00136</t>
  </si>
  <si>
    <t>REG00136-S1</t>
  </si>
  <si>
    <t>INV00136</t>
  </si>
  <si>
    <t>012-XXX-325</t>
  </si>
  <si>
    <t>Sulfate, Sodium</t>
  </si>
  <si>
    <t>2026-01-08</t>
  </si>
  <si>
    <t>REG00136-S2</t>
  </si>
  <si>
    <t>Sodium, Sodium Hydroxide</t>
  </si>
  <si>
    <t>2026-01-03</t>
  </si>
  <si>
    <t>2026-01-05</t>
  </si>
  <si>
    <t>REG00136-S3</t>
  </si>
  <si>
    <t>Iron, Phosphate, Potassium, Sodium</t>
  </si>
  <si>
    <t>2026-01-06</t>
  </si>
  <si>
    <t>REG00136-S4</t>
  </si>
  <si>
    <t>2026-01-09</t>
  </si>
  <si>
    <t>REG00137</t>
  </si>
  <si>
    <t>REG00137-S1</t>
  </si>
  <si>
    <t>INV00137</t>
  </si>
  <si>
    <t>012-XXX-286</t>
  </si>
  <si>
    <t>Sulfate, Sulfuric Acid, Hydrochloric Acid</t>
  </si>
  <si>
    <t>REG00138</t>
  </si>
  <si>
    <t>REG00138-S1</t>
  </si>
  <si>
    <t>INV00138</t>
  </si>
  <si>
    <t>012-XXX-687</t>
  </si>
  <si>
    <t>REG00138-S2</t>
  </si>
  <si>
    <t>Sulfate, Ammonia, Lead</t>
  </si>
  <si>
    <t>2025-03-04</t>
  </si>
  <si>
    <t>REG00139</t>
  </si>
  <si>
    <t>REG00139-S1</t>
  </si>
  <si>
    <t>INV00139</t>
  </si>
  <si>
    <t>012-XXX-524</t>
  </si>
  <si>
    <t>REG00139-S2</t>
  </si>
  <si>
    <t>REG00139-S3</t>
  </si>
  <si>
    <t>REG00139-S4</t>
  </si>
  <si>
    <t>REG00140</t>
  </si>
  <si>
    <t>REG00140-S1</t>
  </si>
  <si>
    <t>INV00140</t>
  </si>
  <si>
    <t>012-XXX-703</t>
  </si>
  <si>
    <t>Sodium, Nitrate, Sulfate</t>
  </si>
  <si>
    <t>REG00140-S2</t>
  </si>
  <si>
    <t>Nitrite, Sodium, Chloride, Phosphate</t>
  </si>
  <si>
    <t>2025-11-04</t>
  </si>
  <si>
    <t>REG00140-S3</t>
  </si>
  <si>
    <t>Sodium Hydroxide, Magnesium, Nitrate</t>
  </si>
  <si>
    <t>REG00140-S4</t>
  </si>
  <si>
    <t>Nitrite, Magnesium, Nitrate</t>
  </si>
  <si>
    <t>REG00140-S5</t>
  </si>
  <si>
    <t>REG00141</t>
  </si>
  <si>
    <t>REG00141-S1</t>
  </si>
  <si>
    <t>INV00141</t>
  </si>
  <si>
    <t>012-XXX-253</t>
  </si>
  <si>
    <t>Phosphate, Lead</t>
  </si>
  <si>
    <t>REG00141-S2</t>
  </si>
  <si>
    <t>Sodium, Hydrochloric Acid, Nitrate, Chloride</t>
  </si>
  <si>
    <t>REG00142</t>
  </si>
  <si>
    <t>REG00142-S1</t>
  </si>
  <si>
    <t>INV00142</t>
  </si>
  <si>
    <t>Lead, Nitrate, Calcium</t>
  </si>
  <si>
    <t>REG00142-S2</t>
  </si>
  <si>
    <t>2025-11-05</t>
  </si>
  <si>
    <t>REG00142-S3</t>
  </si>
  <si>
    <t>Sodium Hydroxide, Phosphate, Nitrate</t>
  </si>
  <si>
    <t>REG00142-S4</t>
  </si>
  <si>
    <t>Sodium Hydroxide, Lead, Sulfate</t>
  </si>
  <si>
    <t>REG00142-S5</t>
  </si>
  <si>
    <t>REG00143</t>
  </si>
  <si>
    <t>REG00143-S1</t>
  </si>
  <si>
    <t>INV00143</t>
  </si>
  <si>
    <t>012-XXX-966</t>
  </si>
  <si>
    <t>REG00143-S2</t>
  </si>
  <si>
    <t>REG00143-S3</t>
  </si>
  <si>
    <t>REG00143-S4</t>
  </si>
  <si>
    <t>Hydrochloric Acid, Sulfate, Chloride, Phosphate</t>
  </si>
  <si>
    <t>REG00143-S5</t>
  </si>
  <si>
    <t>Nitrate, Chloride, Nitrite, Magnesium</t>
  </si>
  <si>
    <t>REG00144</t>
  </si>
  <si>
    <t>REG00144-S1</t>
  </si>
  <si>
    <t>INV00144</t>
  </si>
  <si>
    <t>012-XXX-620</t>
  </si>
  <si>
    <t>REG00144-S2</t>
  </si>
  <si>
    <t>REG00145</t>
  </si>
  <si>
    <t>REG00145-S1</t>
  </si>
  <si>
    <t>INV00145</t>
  </si>
  <si>
    <t>012-XXX-631</t>
  </si>
  <si>
    <t>Nitrite, Calcium, Potassium, Sulfate</t>
  </si>
  <si>
    <t>REG00145-S2</t>
  </si>
  <si>
    <t>Ammonia, Sulfuric Acid, Potassium, Sodium</t>
  </si>
  <si>
    <t>2025-08-31</t>
  </si>
  <si>
    <t>REG00145-S3</t>
  </si>
  <si>
    <t>REG00145-S4</t>
  </si>
  <si>
    <t>Phosphate, Magnesium, Nitrate, Calcium</t>
  </si>
  <si>
    <t>REG00146</t>
  </si>
  <si>
    <t>REG00146-S1</t>
  </si>
  <si>
    <t>INV00146</t>
  </si>
  <si>
    <t>012-XXX-158</t>
  </si>
  <si>
    <t>Phosphate, Iron, Magnesium</t>
  </si>
  <si>
    <t>REG00147</t>
  </si>
  <si>
    <t>REG00147-S1</t>
  </si>
  <si>
    <t>INV00147</t>
  </si>
  <si>
    <t>012-XXX-842</t>
  </si>
  <si>
    <t>Sulfate, Calcium, Sodium, Nitrite</t>
  </si>
  <si>
    <t>REG00147-S2</t>
  </si>
  <si>
    <t>Nitrite, Sulfuric Acid, Ammonia</t>
  </si>
  <si>
    <t>REG00147-S3</t>
  </si>
  <si>
    <t>Hydrochloric Acid, Magnesium, Lead, Ammonia</t>
  </si>
  <si>
    <t>REG00147-S4</t>
  </si>
  <si>
    <t>Iron, Nitrite, Calcium, Sodium Hydroxide</t>
  </si>
  <si>
    <t>REG00148</t>
  </si>
  <si>
    <t>REG00148-S1</t>
  </si>
  <si>
    <t>2025-01-06</t>
  </si>
  <si>
    <t>INV00148</t>
  </si>
  <si>
    <t>012-XXX-904</t>
  </si>
  <si>
    <t>Nitrate, Nitrite, Sulfate, Calcium</t>
  </si>
  <si>
    <t>2025-01-08</t>
  </si>
  <si>
    <t>2025-01-10</t>
  </si>
  <si>
    <t>REG00148-S2</t>
  </si>
  <si>
    <t>Sodium, Chloride, Nitrate</t>
  </si>
  <si>
    <t>2025-01-07</t>
  </si>
  <si>
    <t>REG00148-S3</t>
  </si>
  <si>
    <t>Lead, Hydrochloric Acid</t>
  </si>
  <si>
    <t>REG00148-S4</t>
  </si>
  <si>
    <t>Magnesium, Chloride, Sodium Hydroxide</t>
  </si>
  <si>
    <t>2025-01-09</t>
  </si>
  <si>
    <t>REG00149</t>
  </si>
  <si>
    <t>REG00149-S1</t>
  </si>
  <si>
    <t>INV00149</t>
  </si>
  <si>
    <t>012-XXX-741</t>
  </si>
  <si>
    <t>REG00149-S2</t>
  </si>
  <si>
    <t>REG00149-S3</t>
  </si>
  <si>
    <t>Phosphate, Nitrite, Magnesium, Sodium</t>
  </si>
  <si>
    <t>2025-03-29</t>
  </si>
  <si>
    <t>REG00149-S4</t>
  </si>
  <si>
    <t>REG00149-S5</t>
  </si>
  <si>
    <t>REG00150</t>
  </si>
  <si>
    <t>REG00150-S1</t>
  </si>
  <si>
    <t>INV00150</t>
  </si>
  <si>
    <t>012-XXX-490</t>
  </si>
  <si>
    <t>Chloride, Nitrate, Hydrochloric Acid, Potassium</t>
  </si>
  <si>
    <t>REG00150-S2</t>
  </si>
  <si>
    <t>REG00150-S3</t>
  </si>
  <si>
    <t>Magnesium, Sodium Hydroxide, Sulfate</t>
  </si>
  <si>
    <t>REG00151</t>
  </si>
  <si>
    <t>REG00151-S1</t>
  </si>
  <si>
    <t>INV00151</t>
  </si>
  <si>
    <t>012-XXX-534</t>
  </si>
  <si>
    <t>Potassium, Sulfate, Nitrite, Iron</t>
  </si>
  <si>
    <t>REG00151-S2</t>
  </si>
  <si>
    <t>REG00151-S3</t>
  </si>
  <si>
    <t>Sulfate, Hydrochloric Acid, Sulfuric Acid, Sodium</t>
  </si>
  <si>
    <t>REG00151-S4</t>
  </si>
  <si>
    <t>Sulfuric Acid, Lead, Iron</t>
  </si>
  <si>
    <t>REG00152</t>
  </si>
  <si>
    <t>REG00152-S1</t>
  </si>
  <si>
    <t>INV00152</t>
  </si>
  <si>
    <t>012-XXX-388</t>
  </si>
  <si>
    <t>Magnesium, Iron, Potassium, Ammonia</t>
  </si>
  <si>
    <t>REG00152-S2</t>
  </si>
  <si>
    <t>Calcium, Magnesium, Lead</t>
  </si>
  <si>
    <t>REG00152-S3</t>
  </si>
  <si>
    <t>Sulfate, Sodium, Calcium</t>
  </si>
  <si>
    <t>REG00152-S4</t>
  </si>
  <si>
    <t>Hydrochloric Acid, Nitrite</t>
  </si>
  <si>
    <t>REG00152-S5</t>
  </si>
  <si>
    <t>Sodium, Nitrate, Ammonia, Iron</t>
  </si>
  <si>
    <t>REG00153</t>
  </si>
  <si>
    <t>REG00153-S1</t>
  </si>
  <si>
    <t>INV00153</t>
  </si>
  <si>
    <t>អាំ ស្រីអាន — ទឹកពិសាដប</t>
  </si>
  <si>
    <t>012-XXX-167</t>
  </si>
  <si>
    <t>Magnesium, Sulfate, Sodium</t>
  </si>
  <si>
    <t>REG00153-S2</t>
  </si>
  <si>
    <t>Nitrite, Lead, Sodium Hydroxide</t>
  </si>
  <si>
    <t>REG00153-S3</t>
  </si>
  <si>
    <t>REG00154</t>
  </si>
  <si>
    <t>REG00154-S1</t>
  </si>
  <si>
    <t>INV00154</t>
  </si>
  <si>
    <t>012-XXX-294</t>
  </si>
  <si>
    <t>Phosphate, Hydrochloric Acid, Sodium Hydroxide</t>
  </si>
  <si>
    <t>REG00154-S2</t>
  </si>
  <si>
    <t>REG00154-S3</t>
  </si>
  <si>
    <t>Nitrite, Hydrochloric Acid, Phosphate</t>
  </si>
  <si>
    <t>2025-05-15</t>
  </si>
  <si>
    <t>REG00154-S4</t>
  </si>
  <si>
    <t>Iron, Nitrite</t>
  </si>
  <si>
    <t>REG00155</t>
  </si>
  <si>
    <t>REG00155-S1</t>
  </si>
  <si>
    <t>INV00155</t>
  </si>
  <si>
    <t>012-XXX-269</t>
  </si>
  <si>
    <t>REG00155-S2</t>
  </si>
  <si>
    <t>REG00155-S3</t>
  </si>
  <si>
    <t>REG00156</t>
  </si>
  <si>
    <t>REG00156-S1</t>
  </si>
  <si>
    <t>2025-01-03</t>
  </si>
  <si>
    <t>INV00156</t>
  </si>
  <si>
    <t>012-XXX-493</t>
  </si>
  <si>
    <t>Ammonia, Iron, Sulfate, Phosphate</t>
  </si>
  <si>
    <t>2025-01-05</t>
  </si>
  <si>
    <t>2025-01-04</t>
  </si>
  <si>
    <t>REG00157</t>
  </si>
  <si>
    <t>REG00157-S1</t>
  </si>
  <si>
    <t>INV00157</t>
  </si>
  <si>
    <t>012-XXX-464</t>
  </si>
  <si>
    <t>REG00157-S2</t>
  </si>
  <si>
    <t>Hydrochloric Acid, Nitrite, Phosphate, Sodium</t>
  </si>
  <si>
    <t>REG00157-S3</t>
  </si>
  <si>
    <t>Phosphate, Sulfuric Acid, Nitrite</t>
  </si>
  <si>
    <t>REG00157-S4</t>
  </si>
  <si>
    <t>Chloride, Lead, Sulfuric Acid</t>
  </si>
  <si>
    <t>REG00158</t>
  </si>
  <si>
    <t>REG00158-S1</t>
  </si>
  <si>
    <t>INV00158</t>
  </si>
  <si>
    <t>012-XXX-207</t>
  </si>
  <si>
    <t>REG00158-S2</t>
  </si>
  <si>
    <t>Sodium Hydroxide, Potassium, Lead</t>
  </si>
  <si>
    <t>REG00158-S3</t>
  </si>
  <si>
    <t>REG00158-S4</t>
  </si>
  <si>
    <t>Sulfuric Acid, Magnesium, Chloride, Iron</t>
  </si>
  <si>
    <t>REG00158-S5</t>
  </si>
  <si>
    <t>Lead, Sodium Hydroxide</t>
  </si>
  <si>
    <t>REG00159</t>
  </si>
  <si>
    <t>REG00159-S1</t>
  </si>
  <si>
    <t>INV00159</t>
  </si>
  <si>
    <t>012-XXX-730</t>
  </si>
  <si>
    <t>Sodium, Calcium, Phosphate</t>
  </si>
  <si>
    <t>REG00160</t>
  </si>
  <si>
    <t>REG00160-S1</t>
  </si>
  <si>
    <t>INV00160</t>
  </si>
  <si>
    <t>012-XXX-829</t>
  </si>
  <si>
    <t>Iron, Sodium</t>
  </si>
  <si>
    <t>REG00161</t>
  </si>
  <si>
    <t>REG00161-S1</t>
  </si>
  <si>
    <t>INV00161</t>
  </si>
  <si>
    <t>ឡេង គឹមឈាន — ទឹកពិសារោងចក្រ</t>
  </si>
  <si>
    <t>Sodium Hydroxide, Potassium, Nitrite</t>
  </si>
  <si>
    <t>REG00162</t>
  </si>
  <si>
    <t>REG00162-S1</t>
  </si>
  <si>
    <t>INV00162</t>
  </si>
  <si>
    <t>012-XXX-192</t>
  </si>
  <si>
    <t>Magnesium, Sodium Hydroxide, Potassium</t>
  </si>
  <si>
    <t>REG00162-S2</t>
  </si>
  <si>
    <t>REG00163</t>
  </si>
  <si>
    <t>REG00163-S1</t>
  </si>
  <si>
    <t>INV00163</t>
  </si>
  <si>
    <t>012-XXX-837</t>
  </si>
  <si>
    <t>REG00163-S2</t>
  </si>
  <si>
    <t>Nitrite, Sodium Hydroxide, Hydrochloric Acid, Chloride</t>
  </si>
  <si>
    <t>REG00164</t>
  </si>
  <si>
    <t>REG00164-S1</t>
  </si>
  <si>
    <t>INV00164</t>
  </si>
  <si>
    <t>012-XXX-137</t>
  </si>
  <si>
    <t>Sodium Hydroxide, Sulfate, Calcium</t>
  </si>
  <si>
    <t>REG00165</t>
  </si>
  <si>
    <t>REG00165-S1</t>
  </si>
  <si>
    <t>INV00165</t>
  </si>
  <si>
    <t>012-XXX-357</t>
  </si>
  <si>
    <t>REG00165-S2</t>
  </si>
  <si>
    <t>Sulfuric Acid, Lead, Sodium</t>
  </si>
  <si>
    <t>REG00165-S3</t>
  </si>
  <si>
    <t>Sodium Hydroxide, Potassium, Nitrate, Iron</t>
  </si>
  <si>
    <t>REG00165-S4</t>
  </si>
  <si>
    <t>REG00165-S5</t>
  </si>
  <si>
    <t>Lead, Sulfate, Nitrate, Hydrochloric Acid</t>
  </si>
  <si>
    <t>REG00166</t>
  </si>
  <si>
    <t>REG00166-S1</t>
  </si>
  <si>
    <t>INV00166</t>
  </si>
  <si>
    <t>ណាង ជារត្ន័ — ទឹកស្អាតចែកចាយ</t>
  </si>
  <si>
    <t>Sulfuric Acid, Sulfate</t>
  </si>
  <si>
    <t>REG00166-S2</t>
  </si>
  <si>
    <t>Nitrate, Nitrite</t>
  </si>
  <si>
    <t>REG00166-S3</t>
  </si>
  <si>
    <t>Phosphate, Chloride, Sulfuric Acid</t>
  </si>
  <si>
    <t>REG00166-S4</t>
  </si>
  <si>
    <t>REG00166-S5</t>
  </si>
  <si>
    <t>Magnesium, Sulfuric Acid, Potassium</t>
  </si>
  <si>
    <t>REG00167</t>
  </si>
  <si>
    <t>REG00167-S1</t>
  </si>
  <si>
    <t>INV00167</t>
  </si>
  <si>
    <t>012-XXX-828</t>
  </si>
  <si>
    <t>REG00168</t>
  </si>
  <si>
    <t>REG00168-S1</t>
  </si>
  <si>
    <t>2025-02-24</t>
  </si>
  <si>
    <t>INV00168</t>
  </si>
  <si>
    <t>012-XXX-497</t>
  </si>
  <si>
    <t>2025-02-26</t>
  </si>
  <si>
    <t>2025-02-27</t>
  </si>
  <si>
    <t>REG00168-S2</t>
  </si>
  <si>
    <t>Lead, Hydrochloric Acid, Magnesium</t>
  </si>
  <si>
    <t>REG00168-S3</t>
  </si>
  <si>
    <t>Sodium Hydroxide, Hydrochloric Acid, Chloride</t>
  </si>
  <si>
    <t>REG00168-S4</t>
  </si>
  <si>
    <t>Chloride, Phosphate, Calcium, Nitrate</t>
  </si>
  <si>
    <t>REG00169</t>
  </si>
  <si>
    <t>REG00169-S1</t>
  </si>
  <si>
    <t>INV00169</t>
  </si>
  <si>
    <t>ខាំ ហ្វន — ទឹកពិសាដប</t>
  </si>
  <si>
    <t>012-XXX-407</t>
  </si>
  <si>
    <t>REG00169-S2</t>
  </si>
  <si>
    <t>Sulfuric Acid, Sodium Hydroxide</t>
  </si>
  <si>
    <t>REG00169-S3</t>
  </si>
  <si>
    <t>REG00169-S4</t>
  </si>
  <si>
    <t>Chloride, Phosphate, Calcium, Magnesium</t>
  </si>
  <si>
    <t>REG00169-S5</t>
  </si>
  <si>
    <t>REG00170</t>
  </si>
  <si>
    <t>REG00170-S1</t>
  </si>
  <si>
    <t>INV00170</t>
  </si>
  <si>
    <t>012-XXX-147</t>
  </si>
  <si>
    <t>REG00171</t>
  </si>
  <si>
    <t>REG00171-S1</t>
  </si>
  <si>
    <t>INV00171</t>
  </si>
  <si>
    <t>012-XXX-710</t>
  </si>
  <si>
    <t>Magnesium, Lead, Sodium Hydroxide</t>
  </si>
  <si>
    <t>REG00171-S2</t>
  </si>
  <si>
    <t>Sodium Hydroxide, Chloride, Sulfate, Potassium</t>
  </si>
  <si>
    <t>REG00172</t>
  </si>
  <si>
    <t>REG00172-S1</t>
  </si>
  <si>
    <t>INV00172</t>
  </si>
  <si>
    <t>012-XXX-494</t>
  </si>
  <si>
    <t>Phosphate, Ammonia, Sulfate, Chloride</t>
  </si>
  <si>
    <t>REG00172-S2</t>
  </si>
  <si>
    <t>REG00172-S3</t>
  </si>
  <si>
    <t>REG00172-S4</t>
  </si>
  <si>
    <t>Potassium, Phosphate, Calcium</t>
  </si>
  <si>
    <t>REG00172-S5</t>
  </si>
  <si>
    <t>Hydrochloric Acid, Magnesium, Iron</t>
  </si>
  <si>
    <t>REG00173</t>
  </si>
  <si>
    <t>REG00173-S1</t>
  </si>
  <si>
    <t>INV00173</t>
  </si>
  <si>
    <t>REG00174</t>
  </si>
  <si>
    <t>REG00174-S1</t>
  </si>
  <si>
    <t>INV00174</t>
  </si>
  <si>
    <t>012-XXX-296</t>
  </si>
  <si>
    <t>Sulfuric Acid, Sulfate, Hydrochloric Acid</t>
  </si>
  <si>
    <t>REG00174-S2</t>
  </si>
  <si>
    <t>REG00174-S3</t>
  </si>
  <si>
    <t>Lead, Magnesium</t>
  </si>
  <si>
    <t>REG00175</t>
  </si>
  <si>
    <t>REG00175-S1</t>
  </si>
  <si>
    <t>INV00175</t>
  </si>
  <si>
    <t>អៀង គឹមជី — ទឹកកកអនាម័យ</t>
  </si>
  <si>
    <t>Lead, Sulfuric Acid, Hydrochloric Acid</t>
  </si>
  <si>
    <t>REG00175-S2</t>
  </si>
  <si>
    <t>Magnesium, Calcium, Potassium, Chloride</t>
  </si>
  <si>
    <t>REG00176</t>
  </si>
  <si>
    <t>REG00176-S1</t>
  </si>
  <si>
    <t>INV00176</t>
  </si>
  <si>
    <t>012-XXX-508</t>
  </si>
  <si>
    <t>Sulfate, Sulfuric Acid, Nitrate</t>
  </si>
  <si>
    <t>2025-10-09</t>
  </si>
  <si>
    <t>REG00176-S2</t>
  </si>
  <si>
    <t>REG00176-S3</t>
  </si>
  <si>
    <t>Sulfuric Acid, Nitrite, Sodium</t>
  </si>
  <si>
    <t>REG00176-S4</t>
  </si>
  <si>
    <t>Sulfate, Potassium, Sodium, Ammonia</t>
  </si>
  <si>
    <t>REG00176-S5</t>
  </si>
  <si>
    <t>Lead, Phosphate</t>
  </si>
  <si>
    <t>REG00177</t>
  </si>
  <si>
    <t>REG00177-S1</t>
  </si>
  <si>
    <t>INV00177</t>
  </si>
  <si>
    <t>Sodium, Magnesium, Calcium</t>
  </si>
  <si>
    <t>REG00177-S2</t>
  </si>
  <si>
    <t>Calcium, Nitrate, Hydrochloric Acid, Magnesium</t>
  </si>
  <si>
    <t>REG00177-S3</t>
  </si>
  <si>
    <t>REG00177-S4</t>
  </si>
  <si>
    <t>Sulfate, Sodium, Magnesium</t>
  </si>
  <si>
    <t>REG00177-S5</t>
  </si>
  <si>
    <t>REG00178</t>
  </si>
  <si>
    <t>REG00178-S1</t>
  </si>
  <si>
    <t>INV00178</t>
  </si>
  <si>
    <t>012-XXX-163</t>
  </si>
  <si>
    <t>REG00179</t>
  </si>
  <si>
    <t>REG00179-S1</t>
  </si>
  <si>
    <t>INV00179</t>
  </si>
  <si>
    <t>012-XXX-283</t>
  </si>
  <si>
    <t>Sulfuric Acid, Hydrochloric Acid, Nitrate, Potassium</t>
  </si>
  <si>
    <t>REG00180</t>
  </si>
  <si>
    <t>REG00180-S1</t>
  </si>
  <si>
    <t>INV00180</t>
  </si>
  <si>
    <t>012-XXX-613</t>
  </si>
  <si>
    <t>Nitrate, Sulfate, Calcium</t>
  </si>
  <si>
    <t>REG00180-S2</t>
  </si>
  <si>
    <t>Sulfate, Sodium Hydroxide, Sulfuric Acid, Ammonia</t>
  </si>
  <si>
    <t>REG00180-S3</t>
  </si>
  <si>
    <t>Iron, Lead, Sulfate, Hydrochloric Acid</t>
  </si>
  <si>
    <t>REG00180-S4</t>
  </si>
  <si>
    <t>Iron, Calcium</t>
  </si>
  <si>
    <t>REG00180-S5</t>
  </si>
  <si>
    <t>Hydrochloric Acid, Potassium, Chloride</t>
  </si>
  <si>
    <t>REG00181</t>
  </si>
  <si>
    <t>REG00181-S1</t>
  </si>
  <si>
    <t>INV00181</t>
  </si>
  <si>
    <t>012-XXX-927</t>
  </si>
  <si>
    <t>Sulfate, Nitrite, Ammonia</t>
  </si>
  <si>
    <t>REG00182</t>
  </si>
  <si>
    <t>REG00182-S1</t>
  </si>
  <si>
    <t>INV00182</t>
  </si>
  <si>
    <t>012-XXX-595</t>
  </si>
  <si>
    <t>REG00182-S2</t>
  </si>
  <si>
    <t>Hydrochloric Acid, Phosphate</t>
  </si>
  <si>
    <t>REG00182-S3</t>
  </si>
  <si>
    <t>Chloride, Nitrate, Sulfate</t>
  </si>
  <si>
    <t>REG00183</t>
  </si>
  <si>
    <t>REG00183-S1</t>
  </si>
  <si>
    <t>INV00183</t>
  </si>
  <si>
    <t>012-XXX-173</t>
  </si>
  <si>
    <t>Lead, Nitrate, Hydrochloric Acid, Potassium</t>
  </si>
  <si>
    <t>REG00183-S2</t>
  </si>
  <si>
    <t>Nitrate, Chloride</t>
  </si>
  <si>
    <t>REG00183-S3</t>
  </si>
  <si>
    <t>Chloride, Nitrate, Sulfuric Acid</t>
  </si>
  <si>
    <t>REG00183-S4</t>
  </si>
  <si>
    <t>Potassium, Sodium Hydroxide, Sodium, Magnesium</t>
  </si>
  <si>
    <t>REG00183-S5</t>
  </si>
  <si>
    <t>Nitrite, Phosphate, Magnesium, Sulfuric Acid</t>
  </si>
  <si>
    <t>REG00184</t>
  </si>
  <si>
    <t>REG00184-S1</t>
  </si>
  <si>
    <t>INV00184</t>
  </si>
  <si>
    <t>Hydrochloric Acid, Sulfate, Sodium, Potassium</t>
  </si>
  <si>
    <t>REG00184-S2</t>
  </si>
  <si>
    <t>Lead, Nitrite, Potassium, Magnesium</t>
  </si>
  <si>
    <t>REG00184-S3</t>
  </si>
  <si>
    <t>REG00184-S4</t>
  </si>
  <si>
    <t>REG00184-S5</t>
  </si>
  <si>
    <t>REG00185</t>
  </si>
  <si>
    <t>REG00185-S1</t>
  </si>
  <si>
    <t>INV00185</t>
  </si>
  <si>
    <t>Sodium Hydroxide, Sodium</t>
  </si>
  <si>
    <t>REG00186</t>
  </si>
  <si>
    <t>REG00186-S1</t>
  </si>
  <si>
    <t>INV00186</t>
  </si>
  <si>
    <t>គ្រេង គាំង — ទឹកពិសាដប</t>
  </si>
  <si>
    <t>012-XXX-450</t>
  </si>
  <si>
    <t>Nitrate, Phosphate, Chloride, Calcium</t>
  </si>
  <si>
    <t>REG00186-S2</t>
  </si>
  <si>
    <t>Nitrate, Lead</t>
  </si>
  <si>
    <t>REG00186-S3</t>
  </si>
  <si>
    <t>Hydrochloric Acid, Nitrate</t>
  </si>
  <si>
    <t>REG00186-S4</t>
  </si>
  <si>
    <t>Nitrate, Sodium, Iron, Sulfate</t>
  </si>
  <si>
    <t>REG00186-S5</t>
  </si>
  <si>
    <t>REG00187</t>
  </si>
  <si>
    <t>REG00187-S1</t>
  </si>
  <si>
    <t>INV00187</t>
  </si>
  <si>
    <t>012-XXX-808</t>
  </si>
  <si>
    <t>Iron, Chloride, Magnesium</t>
  </si>
  <si>
    <t>REG00187-S2</t>
  </si>
  <si>
    <t>Chloride, Nitrate, Nitrite, Sulfate</t>
  </si>
  <si>
    <t>REG00187-S3</t>
  </si>
  <si>
    <t>Ammonia, Magnesium, Nitrate, Sodium Hydroxide</t>
  </si>
  <si>
    <t>REG00187-S4</t>
  </si>
  <si>
    <t>Nitrite, Ammonia, Chloride</t>
  </si>
  <si>
    <t>REG00188</t>
  </si>
  <si>
    <t>REG00188-S1</t>
  </si>
  <si>
    <t>INV00188</t>
  </si>
  <si>
    <t>REG00189</t>
  </si>
  <si>
    <t>REG00189-S1</t>
  </si>
  <si>
    <t>INV00189</t>
  </si>
  <si>
    <t>012-XXX-903</t>
  </si>
  <si>
    <t>Nitrite, Magnesium</t>
  </si>
  <si>
    <t>REG00189-S2</t>
  </si>
  <si>
    <t>Ammonia, Sulfuric Acid, Lead, Calcium</t>
  </si>
  <si>
    <t>REG00189-S3</t>
  </si>
  <si>
    <t>Lead, Hydrochloric Acid, Sodium Hydroxide</t>
  </si>
  <si>
    <t>REG00190</t>
  </si>
  <si>
    <t>REG00190-S1</t>
  </si>
  <si>
    <t>INV00190</t>
  </si>
  <si>
    <t>012-XXX-930</t>
  </si>
  <si>
    <t>REG00190-S2</t>
  </si>
  <si>
    <t>Chloride, Calcium, Ammonia, Sodium</t>
  </si>
  <si>
    <t>REG00190-S3</t>
  </si>
  <si>
    <t>REG00190-S4</t>
  </si>
  <si>
    <t>Sulfate, Lead, Calcium, Nitrate</t>
  </si>
  <si>
    <t>REG00191</t>
  </si>
  <si>
    <t>REG00191-S1</t>
  </si>
  <si>
    <t>INV00191</t>
  </si>
  <si>
    <t>Phosphate, Nitrite, Sodium Hydroxide, Sodium</t>
  </si>
  <si>
    <t>REG00191-S2</t>
  </si>
  <si>
    <t>Chloride, Sodium, Phosphate</t>
  </si>
  <si>
    <t>REG00192</t>
  </si>
  <si>
    <t>REG00192-S1</t>
  </si>
  <si>
    <t>INV00192</t>
  </si>
  <si>
    <t>012-XXX-756</t>
  </si>
  <si>
    <t>REG00193</t>
  </si>
  <si>
    <t>REG00193-S1</t>
  </si>
  <si>
    <t>INV00193</t>
  </si>
  <si>
    <t>012-XXX-696</t>
  </si>
  <si>
    <t>Sulfate, Chloride, Lead</t>
  </si>
  <si>
    <t>REG00193-S2</t>
  </si>
  <si>
    <t>Chloride, Ammonia, Magnesium</t>
  </si>
  <si>
    <t>REG00193-S3</t>
  </si>
  <si>
    <t>Sodium Hydroxide, Ammonia, Iron, Phosphate</t>
  </si>
  <si>
    <t>REG00193-S4</t>
  </si>
  <si>
    <t>Sodium Hydroxide, Sulfate, Ammonia, Magnesium</t>
  </si>
  <si>
    <t>REG00193-S5</t>
  </si>
  <si>
    <t>Ammonia, Phosphate, Sodium Hydroxide, Lead</t>
  </si>
  <si>
    <t>REG00194</t>
  </si>
  <si>
    <t>REG00194-S1</t>
  </si>
  <si>
    <t>INV00194</t>
  </si>
  <si>
    <t>012-XXX-869</t>
  </si>
  <si>
    <t>Calcium, Magnesium, Potassium, Iron</t>
  </si>
  <si>
    <t>REG00194-S2</t>
  </si>
  <si>
    <t>Chloride, Lead, Nitrite</t>
  </si>
  <si>
    <t>REG00194-S3</t>
  </si>
  <si>
    <t>Sulfuric Acid, Hydrochloric Acid, Potassium, Calcium</t>
  </si>
  <si>
    <t>REG00194-S4</t>
  </si>
  <si>
    <t>Sulfate, Magnesium, Chloride</t>
  </si>
  <si>
    <t>REG00194-S5</t>
  </si>
  <si>
    <t>Sulfate, Sodium Hydroxide, Ammonia, Nitrite</t>
  </si>
  <si>
    <t>REG00195</t>
  </si>
  <si>
    <t>REG00195-S1</t>
  </si>
  <si>
    <t>INV00195</t>
  </si>
  <si>
    <t>012-XXX-195</t>
  </si>
  <si>
    <t>Sodium Hydroxide, Ammonia, Nitrate, Iron</t>
  </si>
  <si>
    <t>REG00196</t>
  </si>
  <si>
    <t>REG00196-S1</t>
  </si>
  <si>
    <t>INV00196</t>
  </si>
  <si>
    <t>Sodium, Hydrochloric Acid, Ammonia, Nitrite</t>
  </si>
  <si>
    <t>REG00196-S2</t>
  </si>
  <si>
    <t>Phosphate, Hydrochloric Acid, Lead</t>
  </si>
  <si>
    <t>REG00197</t>
  </si>
  <si>
    <t>REG00197-S1</t>
  </si>
  <si>
    <t>INV00197</t>
  </si>
  <si>
    <t>012-XXX-608</t>
  </si>
  <si>
    <t>Iron, Chloride, Phosphate</t>
  </si>
  <si>
    <t>REG00197-S2</t>
  </si>
  <si>
    <t>REG00197-S3</t>
  </si>
  <si>
    <t>REG00198</t>
  </si>
  <si>
    <t>REG00198-S1</t>
  </si>
  <si>
    <t>INV00198</t>
  </si>
  <si>
    <t>012-XXX-920</t>
  </si>
  <si>
    <t>REG00198-S2</t>
  </si>
  <si>
    <t>REG00198-S3</t>
  </si>
  <si>
    <t>Calcium, Nitrate, Hydrochloric Acid, Phosphate</t>
  </si>
  <si>
    <t>REG00198-S4</t>
  </si>
  <si>
    <t>Nitrate, Hydrochloric Acid</t>
  </si>
  <si>
    <t>REG00198-S5</t>
  </si>
  <si>
    <t>Chloride, Sulfuric Acid, Sodium, Sodium Hydroxide</t>
  </si>
  <si>
    <t>REG00199</t>
  </si>
  <si>
    <t>REG00199-S1</t>
  </si>
  <si>
    <t>INV00199</t>
  </si>
  <si>
    <t>Magnesium, Chloride</t>
  </si>
  <si>
    <t>REG00199-S2</t>
  </si>
  <si>
    <t>Ammonia, Calcium</t>
  </si>
  <si>
    <t>REG00200</t>
  </si>
  <si>
    <t>REG00200-S1</t>
  </si>
  <si>
    <t>INV00200</t>
  </si>
  <si>
    <t>012-XXX-754</t>
  </si>
  <si>
    <t>Magnesium, Iron</t>
  </si>
  <si>
    <t>REG00200-S2</t>
  </si>
  <si>
    <t>REG00200-S3</t>
  </si>
  <si>
    <t>REG00200-S4</t>
  </si>
  <si>
    <t>Phosphate, Magnesium, Lead, Nitrite</t>
  </si>
  <si>
    <t>REG00201</t>
  </si>
  <si>
    <t>REG00201-S1</t>
  </si>
  <si>
    <t>INV00201</t>
  </si>
  <si>
    <t>012-XXX-255</t>
  </si>
  <si>
    <t>REG00201-S2</t>
  </si>
  <si>
    <t>Chloride, Nitrate, Phosphate, Iron</t>
  </si>
  <si>
    <t>REG00201-S3</t>
  </si>
  <si>
    <t>REG00201-S4</t>
  </si>
  <si>
    <t>Magnesium, Chloride, Nitrite</t>
  </si>
  <si>
    <t>REG00202</t>
  </si>
  <si>
    <t>REG00202-S1</t>
  </si>
  <si>
    <t>INV00202</t>
  </si>
  <si>
    <t>012-XXX-454</t>
  </si>
  <si>
    <t>REG00202-S2</t>
  </si>
  <si>
    <t>REG00202-S3</t>
  </si>
  <si>
    <t>REG00202-S4</t>
  </si>
  <si>
    <t>Nitrate, Calcium, Potassium, Sodium Hydroxide</t>
  </si>
  <si>
    <t>REG00202-S5</t>
  </si>
  <si>
    <t>REG00203</t>
  </si>
  <si>
    <t>REG00203-S1</t>
  </si>
  <si>
    <t>INV00203</t>
  </si>
  <si>
    <t>012-XXX-615</t>
  </si>
  <si>
    <t>Calcium, Chloride, Ammonia</t>
  </si>
  <si>
    <t>REG00203-S2</t>
  </si>
  <si>
    <t>Iron, Chloride, Sulfuric Acid, Sulfate</t>
  </si>
  <si>
    <t>REG00203-S3</t>
  </si>
  <si>
    <t>REG00204</t>
  </si>
  <si>
    <t>REG00204-S1</t>
  </si>
  <si>
    <t>INV00204</t>
  </si>
  <si>
    <t>Hydrochloric Acid, Iron</t>
  </si>
  <si>
    <t>REG00204-S2</t>
  </si>
  <si>
    <t>Sodium Hydroxide, Sulfate, Iron, Calcium</t>
  </si>
  <si>
    <t>REG00204-S3</t>
  </si>
  <si>
    <t>REG00204-S4</t>
  </si>
  <si>
    <t>Sodium, Ammonia, Sodium Hydroxide</t>
  </si>
  <si>
    <t>REG00205</t>
  </si>
  <si>
    <t>REG00205-S1</t>
  </si>
  <si>
    <t>INV00205</t>
  </si>
  <si>
    <t>012-XXX-932</t>
  </si>
  <si>
    <t>Sulfate, Calcium, Iron</t>
  </si>
  <si>
    <t>REG00205-S2</t>
  </si>
  <si>
    <t>REG00205-S3</t>
  </si>
  <si>
    <t>REG00205-S4</t>
  </si>
  <si>
    <t>Nitrite, Sulfate, Lead</t>
  </si>
  <si>
    <t>REG00206</t>
  </si>
  <si>
    <t>REG00206-S1</t>
  </si>
  <si>
    <t>INV00206</t>
  </si>
  <si>
    <t>012-XXX-949</t>
  </si>
  <si>
    <t>Sulfuric Acid, Sodium, Phosphate, Sulfate</t>
  </si>
  <si>
    <t>REG00206-S2</t>
  </si>
  <si>
    <t>Lead, Iron</t>
  </si>
  <si>
    <t>REG00207</t>
  </si>
  <si>
    <t>REG00207-S1</t>
  </si>
  <si>
    <t>INV00207</t>
  </si>
  <si>
    <t>012-XXX-236</t>
  </si>
  <si>
    <t>Sodium, Lead, Magnesium</t>
  </si>
  <si>
    <t>REG00207-S2</t>
  </si>
  <si>
    <t>Iron, Sulfate</t>
  </si>
  <si>
    <t>REG00207-S3</t>
  </si>
  <si>
    <t>Magnesium, Sodium, Hydrochloric Acid, Potassium</t>
  </si>
  <si>
    <t>REG00208</t>
  </si>
  <si>
    <t>REG00208-S1</t>
  </si>
  <si>
    <t>INV00208</t>
  </si>
  <si>
    <t>012-XXX-148</t>
  </si>
  <si>
    <t>REG00208-S2</t>
  </si>
  <si>
    <t>REG00209</t>
  </si>
  <si>
    <t>REG00209-S1</t>
  </si>
  <si>
    <t>INV00209</t>
  </si>
  <si>
    <t>012-XXX-387</t>
  </si>
  <si>
    <t>Nitrite, Phosphate</t>
  </si>
  <si>
    <t>REG00210</t>
  </si>
  <si>
    <t>REG00210-S1</t>
  </si>
  <si>
    <t>INV00210</t>
  </si>
  <si>
    <t>Ammonia, Potassium, Hydrochloric Acid, Lead</t>
  </si>
  <si>
    <t>REG00210-S2</t>
  </si>
  <si>
    <t>Hydrochloric Acid, Sulfate, Calcium, Ammonia</t>
  </si>
  <si>
    <t>REG00211</t>
  </si>
  <si>
    <t>REG00211-S1</t>
  </si>
  <si>
    <t>INV00211</t>
  </si>
  <si>
    <t>012-XXX-384</t>
  </si>
  <si>
    <t>REG00211-S2</t>
  </si>
  <si>
    <t>Potassium, Phosphate</t>
  </si>
  <si>
    <t>REG00212</t>
  </si>
  <si>
    <t>REG00212-S1</t>
  </si>
  <si>
    <t>INV00212</t>
  </si>
  <si>
    <t>012-XXX-339</t>
  </si>
  <si>
    <t>Potassium, Lead, Magnesium, Ammonia</t>
  </si>
  <si>
    <t>REG00212-S2</t>
  </si>
  <si>
    <t>Nitrate, Iron, Nitrite, Sulfuric Acid</t>
  </si>
  <si>
    <t>REG00212-S3</t>
  </si>
  <si>
    <t>REG00213</t>
  </si>
  <si>
    <t>REG00213-S1</t>
  </si>
  <si>
    <t>INV00213</t>
  </si>
  <si>
    <t>012-XXX-382</t>
  </si>
  <si>
    <t>Sulfate, Ammonia, Iron</t>
  </si>
  <si>
    <t>REG00213-S2</t>
  </si>
  <si>
    <t>REG00214</t>
  </si>
  <si>
    <t>REG00214-S1</t>
  </si>
  <si>
    <t>INV00214</t>
  </si>
  <si>
    <t>REG00215</t>
  </si>
  <si>
    <t>REG00215-S1</t>
  </si>
  <si>
    <t>INV00215</t>
  </si>
  <si>
    <t>Nitrate, Iron</t>
  </si>
  <si>
    <t>REG00215-S2</t>
  </si>
  <si>
    <t>REG00215-S3</t>
  </si>
  <si>
    <t>REG00216</t>
  </si>
  <si>
    <t>REG00216-S1</t>
  </si>
  <si>
    <t>INV00216</t>
  </si>
  <si>
    <t>012-XXX-658</t>
  </si>
  <si>
    <t>REG00216-S2</t>
  </si>
  <si>
    <t>Hydrochloric Acid, Chloride, Iron, Lead</t>
  </si>
  <si>
    <t>REG00216-S3</t>
  </si>
  <si>
    <t>REG00216-S4</t>
  </si>
  <si>
    <t>REG00216-S5</t>
  </si>
  <si>
    <t>Sodium Hydroxide, Sulfate</t>
  </si>
  <si>
    <t>REG00217</t>
  </si>
  <si>
    <t>REG00217-S1</t>
  </si>
  <si>
    <t>INV00217</t>
  </si>
  <si>
    <t>012-XXX-154</t>
  </si>
  <si>
    <t>Nitrate, Nitrite, Ammonia, Potassium</t>
  </si>
  <si>
    <t>2025-01-12</t>
  </si>
  <si>
    <t>REG00217-S2</t>
  </si>
  <si>
    <t>Sodium Hydroxide, Magnesium, Sulfuric Acid, Nitrite</t>
  </si>
  <si>
    <t>REG00218</t>
  </si>
  <si>
    <t>REG00218-S1</t>
  </si>
  <si>
    <t>INV00218</t>
  </si>
  <si>
    <t>012-XXX-773</t>
  </si>
  <si>
    <t>Iron, Ammonia, Calcium, Potassium</t>
  </si>
  <si>
    <t>REG00218-S2</t>
  </si>
  <si>
    <t>Ammonia, Sodium, Sulfuric Acid, Potassium</t>
  </si>
  <si>
    <t>REG00218-S3</t>
  </si>
  <si>
    <t>REG00219</t>
  </si>
  <si>
    <t>REG00219-S1</t>
  </si>
  <si>
    <t>INV00219</t>
  </si>
  <si>
    <t>សៀង វល័ក — ទឹកពិសាដប</t>
  </si>
  <si>
    <t>012-XXX-826</t>
  </si>
  <si>
    <t>REG00220</t>
  </si>
  <si>
    <t>REG00220-S1</t>
  </si>
  <si>
    <t>INV00220</t>
  </si>
  <si>
    <t>012-XXX-390</t>
  </si>
  <si>
    <t>Nitrite, Lead</t>
  </si>
  <si>
    <t>REG00221</t>
  </si>
  <si>
    <t>REG00221-S1</t>
  </si>
  <si>
    <t>INV00221</t>
  </si>
  <si>
    <t>012-XXX-597</t>
  </si>
  <si>
    <t>REG00221-S2</t>
  </si>
  <si>
    <t>Nitrite, Chloride, Hydrochloric Acid, Lead</t>
  </si>
  <si>
    <t>REG00221-S3</t>
  </si>
  <si>
    <t>REG00221-S4</t>
  </si>
  <si>
    <t>Sodium, Magnesium, Phosphate, Sulfuric Acid</t>
  </si>
  <si>
    <t>REG00221-S5</t>
  </si>
  <si>
    <t>Chloride, Lead</t>
  </si>
  <si>
    <t>REG00222</t>
  </si>
  <si>
    <t>REG00222-S1</t>
  </si>
  <si>
    <t>INV00222</t>
  </si>
  <si>
    <t>012-XXX-579</t>
  </si>
  <si>
    <t>2026-01-07</t>
  </si>
  <si>
    <t>REG00223</t>
  </si>
  <si>
    <t>REG00223-S1</t>
  </si>
  <si>
    <t>INV00223</t>
  </si>
  <si>
    <t>Chloride, Phosphate, Sodium Hydroxide, Ammonia</t>
  </si>
  <si>
    <t>REG00223-S2</t>
  </si>
  <si>
    <t>Sulfate, Ammonia</t>
  </si>
  <si>
    <t>REG00223-S3</t>
  </si>
  <si>
    <t>REG00224</t>
  </si>
  <si>
    <t>REG00224-S1</t>
  </si>
  <si>
    <t>INV00224</t>
  </si>
  <si>
    <t>012-XXX-208</t>
  </si>
  <si>
    <t>REG00225</t>
  </si>
  <si>
    <t>REG00225-S1</t>
  </si>
  <si>
    <t>INV00225</t>
  </si>
  <si>
    <t>012-XXX-694</t>
  </si>
  <si>
    <t>Sodium Hydroxide, Nitrate, Ammonia</t>
  </si>
  <si>
    <t>REG00225-S2</t>
  </si>
  <si>
    <t>REG00225-S3</t>
  </si>
  <si>
    <t>REG00226</t>
  </si>
  <si>
    <t>REG00226-S1</t>
  </si>
  <si>
    <t>INV00226</t>
  </si>
  <si>
    <t>012-XXX-627</t>
  </si>
  <si>
    <t>Phosphate, Hydrochloric Acid, Nitrite, Potassium</t>
  </si>
  <si>
    <t>REG00226-S2</t>
  </si>
  <si>
    <t>Magnesium, Sodium, Sulfuric Acid, Sulfate</t>
  </si>
  <si>
    <t>REG00226-S3</t>
  </si>
  <si>
    <t>REG00227</t>
  </si>
  <si>
    <t>REG00227-S1</t>
  </si>
  <si>
    <t>INV00227</t>
  </si>
  <si>
    <t>012-XXX-971</t>
  </si>
  <si>
    <t>Sulfate, Sodium, Sodium Hydroxide, Lead</t>
  </si>
  <si>
    <t>REG00227-S2</t>
  </si>
  <si>
    <t>Potassium, Chloride, Lead</t>
  </si>
  <si>
    <t>REG00227-S3</t>
  </si>
  <si>
    <t>REG00228</t>
  </si>
  <si>
    <t>REG00228-S1</t>
  </si>
  <si>
    <t>INV00228</t>
  </si>
  <si>
    <t>012-XXX-447</t>
  </si>
  <si>
    <t>REG00228-S2</t>
  </si>
  <si>
    <t>Iron, Potassium, Sulfate, Lead</t>
  </si>
  <si>
    <t>REG00228-S3</t>
  </si>
  <si>
    <t>REG00228-S4</t>
  </si>
  <si>
    <t>REG00228-S5</t>
  </si>
  <si>
    <t>REG00229</t>
  </si>
  <si>
    <t>REG00229-S1</t>
  </si>
  <si>
    <t>INV00229</t>
  </si>
  <si>
    <t>Sulfuric Acid, Calcium, Nitrate, Phosphate</t>
  </si>
  <si>
    <t>REG00229-S2</t>
  </si>
  <si>
    <t>Ammonia, Phosphate</t>
  </si>
  <si>
    <t>REG00229-S3</t>
  </si>
  <si>
    <t>REG00229-S4</t>
  </si>
  <si>
    <t>Sulfate, Phosphate, Ammonia</t>
  </si>
  <si>
    <t>REG00229-S5</t>
  </si>
  <si>
    <t>Sulfuric Acid, Potassium, Magnesium, Chloride</t>
  </si>
  <si>
    <t>REG00230</t>
  </si>
  <si>
    <t>REG00230-S1</t>
  </si>
  <si>
    <t>INV00230</t>
  </si>
  <si>
    <t>012-XXX-570</t>
  </si>
  <si>
    <t>Iron, Phosphate</t>
  </si>
  <si>
    <t>REG00230-S2</t>
  </si>
  <si>
    <t>REG00230-S3</t>
  </si>
  <si>
    <t>REG00230-S4</t>
  </si>
  <si>
    <t>Ammonia, Sodium, Hydrochloric Acid, Iron</t>
  </si>
  <si>
    <t>REG00230-S5</t>
  </si>
  <si>
    <t>REG00231</t>
  </si>
  <si>
    <t>REG00231-S1</t>
  </si>
  <si>
    <t>INV00231</t>
  </si>
  <si>
    <t>012-XXX-373</t>
  </si>
  <si>
    <t>Chloride, Phosphate, Calcium</t>
  </si>
  <si>
    <t>REG00232</t>
  </si>
  <si>
    <t>REG00232-S1</t>
  </si>
  <si>
    <t>INV00232</t>
  </si>
  <si>
    <t>012-XXX-899</t>
  </si>
  <si>
    <t>REG00232-S2</t>
  </si>
  <si>
    <t>REG00232-S3</t>
  </si>
  <si>
    <t>Chloride, Phosphate, Sulfuric Acid</t>
  </si>
  <si>
    <t>REG00233</t>
  </si>
  <si>
    <t>REG00233-S1</t>
  </si>
  <si>
    <t>INV00233</t>
  </si>
  <si>
    <t>012-XXX-475</t>
  </si>
  <si>
    <t>Lead, Calcium, Potassium</t>
  </si>
  <si>
    <t>REG00233-S2</t>
  </si>
  <si>
    <t>REG00234</t>
  </si>
  <si>
    <t>REG00234-S1</t>
  </si>
  <si>
    <t>INV00234</t>
  </si>
  <si>
    <t>012-XXX-456</t>
  </si>
  <si>
    <t>REG00234-S2</t>
  </si>
  <si>
    <t>REG00234-S3</t>
  </si>
  <si>
    <t>Hydrochloric Acid, Sulfate, Calcium, Phosphate</t>
  </si>
  <si>
    <t>REG00234-S4</t>
  </si>
  <si>
    <t>REG00234-S5</t>
  </si>
  <si>
    <t>REG00235</t>
  </si>
  <si>
    <t>REG00235-S1</t>
  </si>
  <si>
    <t>INV00235</t>
  </si>
  <si>
    <t>012-XXX-204</t>
  </si>
  <si>
    <t>Ammonia, Nitrate, Sodium Hydroxide, Sulfate</t>
  </si>
  <si>
    <t>REG00235-S2</t>
  </si>
  <si>
    <t>REG00235-S3</t>
  </si>
  <si>
    <t>Calcium, Nitrate, Hydrochloric Acid</t>
  </si>
  <si>
    <t>REG00236</t>
  </si>
  <si>
    <t>REG00236-S1</t>
  </si>
  <si>
    <t>INV00236</t>
  </si>
  <si>
    <t>012-XXX-413</t>
  </si>
  <si>
    <t>REG00236-S2</t>
  </si>
  <si>
    <t>Lead, Nitrate, Hydrochloric Acid, Sulfate</t>
  </si>
  <si>
    <t>2026-01-11</t>
  </si>
  <si>
    <t>REG00236-S3</t>
  </si>
  <si>
    <t>Magnesium, Hydrochloric Acid, Phosphate, Nitrite</t>
  </si>
  <si>
    <t>REG00237</t>
  </si>
  <si>
    <t>REG00237-S1</t>
  </si>
  <si>
    <t>INV00237</t>
  </si>
  <si>
    <t>012-XXX-489</t>
  </si>
  <si>
    <t>Magnesium, Sodium, Lead, Hydrochloric Acid</t>
  </si>
  <si>
    <t>REG00237-S2</t>
  </si>
  <si>
    <t>Chloride, Calcium, Sulfate, Sulfuric Acid</t>
  </si>
  <si>
    <t>REG00237-S3</t>
  </si>
  <si>
    <t>Hydrochloric Acid, Nitrate, Sodium Hydroxide</t>
  </si>
  <si>
    <t>REG00237-S4</t>
  </si>
  <si>
    <t>Calcium, Magnesium, Hydrochloric Acid, Iron</t>
  </si>
  <si>
    <t>REG00238</t>
  </si>
  <si>
    <t>REG00238-S1</t>
  </si>
  <si>
    <t>2025-01-13</t>
  </si>
  <si>
    <t>INV00238</t>
  </si>
  <si>
    <t>Sodium, Chloride, Ammonia, Potassium</t>
  </si>
  <si>
    <t>REG00238-S2</t>
  </si>
  <si>
    <t>Sulfate, Nitrite, Sulfuric Acid</t>
  </si>
  <si>
    <t>REG00238-S3</t>
  </si>
  <si>
    <t>Hydrochloric Acid, Lead, Nitrate, Nitrite</t>
  </si>
  <si>
    <t>REG00238-S4</t>
  </si>
  <si>
    <t>Calcium, Sodium Hydroxide, Magnesium, Sodium</t>
  </si>
  <si>
    <t>REG00238-S5</t>
  </si>
  <si>
    <t>REG00239</t>
  </si>
  <si>
    <t>REG00239-S1</t>
  </si>
  <si>
    <t>INV00239</t>
  </si>
  <si>
    <t>012-XXX-358</t>
  </si>
  <si>
    <t>Chloride, Sodium Hydroxide, Sodium</t>
  </si>
  <si>
    <t>REG00239-S2</t>
  </si>
  <si>
    <t>Sulfate, Sodium Hydroxide, Potassium, Iron</t>
  </si>
  <si>
    <t>REG00239-S3</t>
  </si>
  <si>
    <t>Sulfate, Lead, Iron, Phosphate</t>
  </si>
  <si>
    <t>REG00239-S4</t>
  </si>
  <si>
    <t>REG00239-S5</t>
  </si>
  <si>
    <t>Chloride, Calcium, Nitrate, Nitrite</t>
  </si>
  <si>
    <t>REG00240</t>
  </si>
  <si>
    <t>REG00240-S1</t>
  </si>
  <si>
    <t>INV00240</t>
  </si>
  <si>
    <t>REG00240-S2</t>
  </si>
  <si>
    <t>Sulfate, Sodium, Nitrite, Ammonia</t>
  </si>
  <si>
    <t>REG00240-S3</t>
  </si>
  <si>
    <t>REG00241</t>
  </si>
  <si>
    <t>REG00241-S1</t>
  </si>
  <si>
    <t>INV00241</t>
  </si>
  <si>
    <t>Magnesium, Sodium, Sodium Hydroxide</t>
  </si>
  <si>
    <t>REG00241-S2</t>
  </si>
  <si>
    <t>Magnesium, Hydrochloric Acid, Sulfate, Nitrite</t>
  </si>
  <si>
    <t>REG00241-S3</t>
  </si>
  <si>
    <t>REG00241-S4</t>
  </si>
  <si>
    <t>Sodium Hydroxide, Nitrate, Iron</t>
  </si>
  <si>
    <t>REG00241-S5</t>
  </si>
  <si>
    <t>Hydrochloric Acid, Sodium Hydroxide, Ammonia</t>
  </si>
  <si>
    <t>REG00242</t>
  </si>
  <si>
    <t>REG00242-S1</t>
  </si>
  <si>
    <t>INV00242</t>
  </si>
  <si>
    <t>Sulfuric Acid, Nitrate, Hydrochloric Acid, Lead</t>
  </si>
  <si>
    <t>REG00243</t>
  </si>
  <si>
    <t>REG00243-S1</t>
  </si>
  <si>
    <t>INV00243</t>
  </si>
  <si>
    <t>012-XXX-210</t>
  </si>
  <si>
    <t>Iron, Nitrite, Calcium</t>
  </si>
  <si>
    <t>REG00243-S2</t>
  </si>
  <si>
    <t>REG00243-S3</t>
  </si>
  <si>
    <t>Sulfate, Calcium, Magnesium, Sulfuric Acid</t>
  </si>
  <si>
    <t>REG00243-S4</t>
  </si>
  <si>
    <t>Hydrochloric Acid, Nitrite, Sodium</t>
  </si>
  <si>
    <t>REG00243-S5</t>
  </si>
  <si>
    <t>Phosphate, Sodium Hydroxide, Sulfate</t>
  </si>
  <si>
    <t>REG00244</t>
  </si>
  <si>
    <t>REG00244-S1</t>
  </si>
  <si>
    <t>INV00244</t>
  </si>
  <si>
    <t>Chloride, Calcium, Sulfuric Acid</t>
  </si>
  <si>
    <t>REG00244-S2</t>
  </si>
  <si>
    <t>Nitrate, Chloride, Phosphate</t>
  </si>
  <si>
    <t>REG00245</t>
  </si>
  <si>
    <t>REG00245-S1</t>
  </si>
  <si>
    <t>INV00245</t>
  </si>
  <si>
    <t>012-XXX-197</t>
  </si>
  <si>
    <t>REG00245-S2</t>
  </si>
  <si>
    <t>REG00245-S3</t>
  </si>
  <si>
    <t>Magnesium, Sodium, Phosphate, Chloride</t>
  </si>
  <si>
    <t>REG00245-S4</t>
  </si>
  <si>
    <t>Calcium, Ammonia</t>
  </si>
  <si>
    <t>REG00245-S5</t>
  </si>
  <si>
    <t>REG00246</t>
  </si>
  <si>
    <t>REG00246-S1</t>
  </si>
  <si>
    <t>INV00246</t>
  </si>
  <si>
    <t>012-XXX-917</t>
  </si>
  <si>
    <t>REG00246-S2</t>
  </si>
  <si>
    <t>REG00246-S3</t>
  </si>
  <si>
    <t>Sodium, Phosphate, Lead, Calcium</t>
  </si>
  <si>
    <t>REG00246-S4</t>
  </si>
  <si>
    <t>Sulfuric Acid, Sulfate, Phosphate</t>
  </si>
  <si>
    <t>REG00246-S5</t>
  </si>
  <si>
    <t>REG00247</t>
  </si>
  <si>
    <t>REG00247-S1</t>
  </si>
  <si>
    <t>INV00247</t>
  </si>
  <si>
    <t>012-XXX-243</t>
  </si>
  <si>
    <t>Sodium, Sodium Hydroxide, Chloride, Potassium</t>
  </si>
  <si>
    <t>REG00247-S2</t>
  </si>
  <si>
    <t>Hydrochloric Acid, Sulfate, Magnesium, Sodium</t>
  </si>
  <si>
    <t>REG00247-S3</t>
  </si>
  <si>
    <t>Sulfuric Acid, Sodium Hydroxide, Magnesium</t>
  </si>
  <si>
    <t>REG00247-S4</t>
  </si>
  <si>
    <t>REG00248</t>
  </si>
  <si>
    <t>REG00248-S1</t>
  </si>
  <si>
    <t>INV00248</t>
  </si>
  <si>
    <t>012-XXX-724</t>
  </si>
  <si>
    <t>REG00248-S2</t>
  </si>
  <si>
    <t>REG00248-S3</t>
  </si>
  <si>
    <t>REG00248-S4</t>
  </si>
  <si>
    <t>Iron, Sodium Hydroxide, Hydrochloric Acid</t>
  </si>
  <si>
    <t>REG00249</t>
  </si>
  <si>
    <t>REG00249-S1</t>
  </si>
  <si>
    <t>INV00249</t>
  </si>
  <si>
    <t>012-XXX-312</t>
  </si>
  <si>
    <t>REG00249-S2</t>
  </si>
  <si>
    <t>Sodium, Sulfate, Sodium Hydroxide</t>
  </si>
  <si>
    <t>REG00250</t>
  </si>
  <si>
    <t>REG00250-S1</t>
  </si>
  <si>
    <t>INV00250</t>
  </si>
  <si>
    <t>REG00250-S2</t>
  </si>
  <si>
    <t>Hydrochloric Acid, Potassium, Nitrite</t>
  </si>
  <si>
    <t>REG00250-S3</t>
  </si>
  <si>
    <t>Chloride, Sodium Hydroxide, Sulfuric Acid, Sulfate</t>
  </si>
  <si>
    <t>REG00250-S4</t>
  </si>
  <si>
    <t>Sulfate, Ammonia, Sulfuric Acid</t>
  </si>
  <si>
    <t>REG00250-S5</t>
  </si>
  <si>
    <t>REG00251</t>
  </si>
  <si>
    <t>REG00251-S1</t>
  </si>
  <si>
    <t>INV00251</t>
  </si>
  <si>
    <t>012-XXX-699</t>
  </si>
  <si>
    <t>Chloride, Sulfate, Hydrochloric Acid</t>
  </si>
  <si>
    <t>REG00251-S2</t>
  </si>
  <si>
    <t>Iron, Sulfuric Acid, Phosphate</t>
  </si>
  <si>
    <t>REG00251-S3</t>
  </si>
  <si>
    <t>REG00252</t>
  </si>
  <si>
    <t>REG00252-S1</t>
  </si>
  <si>
    <t>INV00252</t>
  </si>
  <si>
    <t>Calcium, Chloride</t>
  </si>
  <si>
    <t>REG00252-S2</t>
  </si>
  <si>
    <t>REG00252-S3</t>
  </si>
  <si>
    <t>REG00252-S4</t>
  </si>
  <si>
    <t>Sulfuric Acid, Nitrate, Lead, Potassium</t>
  </si>
  <si>
    <t>REG00253</t>
  </si>
  <si>
    <t>REG00253-S1</t>
  </si>
  <si>
    <t>INV00253</t>
  </si>
  <si>
    <t>012-XXX-141</t>
  </si>
  <si>
    <t>Sulfuric Acid, Sodium, Iron</t>
  </si>
  <si>
    <t>REG00253-S2</t>
  </si>
  <si>
    <t>Nitrate, Hydrochloric Acid, Iron</t>
  </si>
  <si>
    <t>REG00253-S3</t>
  </si>
  <si>
    <t>Sodium Hydroxide, Chloride, Sulfuric Acid, Sodium</t>
  </si>
  <si>
    <t>REG00254</t>
  </si>
  <si>
    <t>REG00254-S1</t>
  </si>
  <si>
    <t>INV00254</t>
  </si>
  <si>
    <t>012-XXX-596</t>
  </si>
  <si>
    <t>Sodium Hydroxide, Sodium, Potassium, Phosphate</t>
  </si>
  <si>
    <t>REG00255</t>
  </si>
  <si>
    <t>REG00255-S1</t>
  </si>
  <si>
    <t>INV00255</t>
  </si>
  <si>
    <t>012-XXX-758</t>
  </si>
  <si>
    <t>Ammonia, Nitrite, Nitrate</t>
  </si>
  <si>
    <t>REG00255-S2</t>
  </si>
  <si>
    <t>REG00255-S3</t>
  </si>
  <si>
    <t>Nitrate, Ammonia, Hydrochloric Acid, Sodium</t>
  </si>
  <si>
    <t>REG00255-S4</t>
  </si>
  <si>
    <t>Sodium Hydroxide, Calcium, Sulfuric Acid, Sodium</t>
  </si>
  <si>
    <t>REG00256</t>
  </si>
  <si>
    <t>REG00256-S1</t>
  </si>
  <si>
    <t>INV00256</t>
  </si>
  <si>
    <t>REG00257</t>
  </si>
  <si>
    <t>REG00257-S1</t>
  </si>
  <si>
    <t>INV00257</t>
  </si>
  <si>
    <t>012-XXX-246</t>
  </si>
  <si>
    <t>REG00257-S2</t>
  </si>
  <si>
    <t>Sodium, Nitrate</t>
  </si>
  <si>
    <t>REG00257-S3</t>
  </si>
  <si>
    <t>REG00258</t>
  </si>
  <si>
    <t>REG00258-S1</t>
  </si>
  <si>
    <t>INV00258</t>
  </si>
  <si>
    <t>012-XXX-704</t>
  </si>
  <si>
    <t>Magnesium, Sulfuric Acid, Chloride</t>
  </si>
  <si>
    <t>REG00258-S2</t>
  </si>
  <si>
    <t>Hydrochloric Acid, Lead, Sodium Hydroxide</t>
  </si>
  <si>
    <t>2026-01-14</t>
  </si>
  <si>
    <t>REG00258-S3</t>
  </si>
  <si>
    <t>REG00258-S4</t>
  </si>
  <si>
    <t>Sulfate, Iron, Ammonia, Chloride</t>
  </si>
  <si>
    <t>REG00259</t>
  </si>
  <si>
    <t>REG00259-S1</t>
  </si>
  <si>
    <t>INV00259</t>
  </si>
  <si>
    <t>REG00259-S2</t>
  </si>
  <si>
    <t>Sodium, Potassium, Magnesium, Nitrite</t>
  </si>
  <si>
    <t>REG00259-S3</t>
  </si>
  <si>
    <t>Phosphate, Lead, Iron</t>
  </si>
  <si>
    <t>REG00259-S4</t>
  </si>
  <si>
    <t>REG00260</t>
  </si>
  <si>
    <t>REG00260-S1</t>
  </si>
  <si>
    <t>INV00260</t>
  </si>
  <si>
    <t>REG00260-S2</t>
  </si>
  <si>
    <t>Iron, Ammonia, Chloride</t>
  </si>
  <si>
    <t>REG00260-S3</t>
  </si>
  <si>
    <t>REG00260-S4</t>
  </si>
  <si>
    <t>REG00260-S5</t>
  </si>
  <si>
    <t>REG00261</t>
  </si>
  <si>
    <t>REG00261-S1</t>
  </si>
  <si>
    <t>INV00261</t>
  </si>
  <si>
    <t>012-XXX-774</t>
  </si>
  <si>
    <t>REG00261-S2</t>
  </si>
  <si>
    <t>Nitrate, Sodium, Hydrochloric Acid, Sodium Hydroxide</t>
  </si>
  <si>
    <t>REG00261-S3</t>
  </si>
  <si>
    <t>Potassium, Magnesium, Hydrochloric Acid, Chloride</t>
  </si>
  <si>
    <t>REG00262</t>
  </si>
  <si>
    <t>REG00262-S1</t>
  </si>
  <si>
    <t>INV00262</t>
  </si>
  <si>
    <t>REG00263</t>
  </si>
  <si>
    <t>REG00263-S1</t>
  </si>
  <si>
    <t>INV00263</t>
  </si>
  <si>
    <t>012-XXX-225</t>
  </si>
  <si>
    <t>REG00263-S2</t>
  </si>
  <si>
    <t>Sulfate, Magnesium</t>
  </si>
  <si>
    <t>REG00263-S3</t>
  </si>
  <si>
    <t>Chloride, Sulfate, Calcium</t>
  </si>
  <si>
    <t>REG00264</t>
  </si>
  <si>
    <t>REG00264-S1</t>
  </si>
  <si>
    <t>INV00264</t>
  </si>
  <si>
    <t>REG00264-S2</t>
  </si>
  <si>
    <t>REG00264-S3</t>
  </si>
  <si>
    <t>REG00264-S4</t>
  </si>
  <si>
    <t>Sulfate, Hydrochloric Acid, Ammonia, Lead</t>
  </si>
  <si>
    <t>REG00265</t>
  </si>
  <si>
    <t>REG00265-S1</t>
  </si>
  <si>
    <t>INV00265</t>
  </si>
  <si>
    <t>Phosphate, Sulfate</t>
  </si>
  <si>
    <t>REG00265-S2</t>
  </si>
  <si>
    <t>REG00266</t>
  </si>
  <si>
    <t>REG00266-S1</t>
  </si>
  <si>
    <t>INV00266</t>
  </si>
  <si>
    <t>012-XXX-268</t>
  </si>
  <si>
    <t>2025-03-06</t>
  </si>
  <si>
    <t>REG00266-S2</t>
  </si>
  <si>
    <t>Potassium, Sulfate</t>
  </si>
  <si>
    <t>REG00266-S3</t>
  </si>
  <si>
    <t>Sodium Hydroxide, Phosphate, Potassium</t>
  </si>
  <si>
    <t>REG00266-S4</t>
  </si>
  <si>
    <t>REG00266-S5</t>
  </si>
  <si>
    <t>Nitrate, Calcium, Phosphate</t>
  </si>
  <si>
    <t>REG00267</t>
  </si>
  <si>
    <t>REG00267-S1</t>
  </si>
  <si>
    <t>INV00267</t>
  </si>
  <si>
    <t>Sulfuric Acid, Magnesium, Sodium Hydroxide, Nitrite</t>
  </si>
  <si>
    <t>REG00267-S2</t>
  </si>
  <si>
    <t>Magnesium, Sulfuric Acid, Phosphate, Nitrite</t>
  </si>
  <si>
    <t>REG00267-S3</t>
  </si>
  <si>
    <t>Phosphate, Sodium, Potassium</t>
  </si>
  <si>
    <t>REG00267-S4</t>
  </si>
  <si>
    <t>Ammonia, Potassium, Phosphate</t>
  </si>
  <si>
    <t>REG00268</t>
  </si>
  <si>
    <t>REG00268-S1</t>
  </si>
  <si>
    <t>INV00268</t>
  </si>
  <si>
    <t>012-XXX-697</t>
  </si>
  <si>
    <t>REG00268-S2</t>
  </si>
  <si>
    <t>Magnesium, Calcium, Sodium, Nitrite</t>
  </si>
  <si>
    <t>REG00268-S3</t>
  </si>
  <si>
    <t>REG00268-S4</t>
  </si>
  <si>
    <t>Ammonia, Sodium, Sodium Hydroxide</t>
  </si>
  <si>
    <t>REG00269</t>
  </si>
  <si>
    <t>REG00269-S1</t>
  </si>
  <si>
    <t>INV00269</t>
  </si>
  <si>
    <t>012-XXX-244</t>
  </si>
  <si>
    <t>Calcium, Magnesium, Sulfuric Acid, Nitrite</t>
  </si>
  <si>
    <t>REG00269-S2</t>
  </si>
  <si>
    <t>Phosphate, Hydrochloric Acid, Sodium</t>
  </si>
  <si>
    <t>REG00269-S3</t>
  </si>
  <si>
    <t>Magnesium, Ammonia, Nitrite</t>
  </si>
  <si>
    <t>REG00269-S4</t>
  </si>
  <si>
    <t>Nitrite, Sulfate, Ammonia, Calcium</t>
  </si>
  <si>
    <t>REG00270</t>
  </si>
  <si>
    <t>REG00270-S1</t>
  </si>
  <si>
    <t>INV00270</t>
  </si>
  <si>
    <t>012-XXX-827</t>
  </si>
  <si>
    <t>Iron, Sulfate, Ammonia, Lead</t>
  </si>
  <si>
    <t>REG00270-S2</t>
  </si>
  <si>
    <t>REG00270-S3</t>
  </si>
  <si>
    <t>Nitrate, Chloride, Potassium</t>
  </si>
  <si>
    <t>REG00271</t>
  </si>
  <si>
    <t>REG00271-S1</t>
  </si>
  <si>
    <t>INV00271</t>
  </si>
  <si>
    <t>012-XXX-356</t>
  </si>
  <si>
    <t>REG00271-S2</t>
  </si>
  <si>
    <t>Nitrate, Sodium Hydroxide</t>
  </si>
  <si>
    <t>REG00271-S3</t>
  </si>
  <si>
    <t>Sodium Hydroxide, Ammonia, Iron, Hydrochloric Acid</t>
  </si>
  <si>
    <t>REG00271-S4</t>
  </si>
  <si>
    <t>Hydrochloric Acid, Sodium Hydroxide, Sulfuric Acid</t>
  </si>
  <si>
    <t>REG00271-S5</t>
  </si>
  <si>
    <t>Iron, Ammonia, Lead</t>
  </si>
  <si>
    <t>REG00272</t>
  </si>
  <si>
    <t>REG00272-S1</t>
  </si>
  <si>
    <t>INV00272</t>
  </si>
  <si>
    <t>012-XXX-340</t>
  </si>
  <si>
    <t>REG00273</t>
  </si>
  <si>
    <t>REG00273-S1</t>
  </si>
  <si>
    <t>INV00273</t>
  </si>
  <si>
    <t>Sulfate, Iron, Ammonia, Sulfuric Acid</t>
  </si>
  <si>
    <t>REG00273-S2</t>
  </si>
  <si>
    <t>REG00273-S3</t>
  </si>
  <si>
    <t>Calcium, Sulfuric Acid, Phosphate, Magnesium</t>
  </si>
  <si>
    <t>REG00273-S4</t>
  </si>
  <si>
    <t>Nitrite, Potassium, Lead, Phosphate</t>
  </si>
  <si>
    <t>REG00274</t>
  </si>
  <si>
    <t>REG00274-S1</t>
  </si>
  <si>
    <t>INV00274</t>
  </si>
  <si>
    <t>2026-01-13</t>
  </si>
  <si>
    <t>REG00274-S2</t>
  </si>
  <si>
    <t>2026-01-01</t>
  </si>
  <si>
    <t>REG00274-S3</t>
  </si>
  <si>
    <t>REG00275</t>
  </si>
  <si>
    <t>REG00275-S1</t>
  </si>
  <si>
    <t>INV00275</t>
  </si>
  <si>
    <t>012-XXX-309</t>
  </si>
  <si>
    <t>Phosphate, Ammonia, Sulfuric Acid, Chloride</t>
  </si>
  <si>
    <t>REG00275-S2</t>
  </si>
  <si>
    <t>Sulfuric Acid, Lead, Nitrite</t>
  </si>
  <si>
    <t>REG00275-S3</t>
  </si>
  <si>
    <t>Nitrite, Calcium, Lead</t>
  </si>
  <si>
    <t>REG00275-S4</t>
  </si>
  <si>
    <t>Sodium, Sulfate, Nitrate, Chloride</t>
  </si>
  <si>
    <t>REG00276</t>
  </si>
  <si>
    <t>REG00276-S1</t>
  </si>
  <si>
    <t>INV00276</t>
  </si>
  <si>
    <t>Iron, Nitrite, Sodium</t>
  </si>
  <si>
    <t>REG00276-S2</t>
  </si>
  <si>
    <t>Phosphate, Chloride, Magnesium, Sulfuric Acid</t>
  </si>
  <si>
    <t>REG00277</t>
  </si>
  <si>
    <t>REG00277-S1</t>
  </si>
  <si>
    <t>INV00277</t>
  </si>
  <si>
    <t>012-XXX-433</t>
  </si>
  <si>
    <t>REG00277-S2</t>
  </si>
  <si>
    <t>Iron, Ammonia, Potassium</t>
  </si>
  <si>
    <t>REG00277-S3</t>
  </si>
  <si>
    <t>REG00277-S4</t>
  </si>
  <si>
    <t>REG00278</t>
  </si>
  <si>
    <t>REG00278-S1</t>
  </si>
  <si>
    <t>INV00278</t>
  </si>
  <si>
    <t>012-XXX-337</t>
  </si>
  <si>
    <t>Magnesium, Nitrate, Hydrochloric Acid</t>
  </si>
  <si>
    <t>REG00278-S2</t>
  </si>
  <si>
    <t>Lead, Phosphate, Sodium</t>
  </si>
  <si>
    <t>REG00278-S3</t>
  </si>
  <si>
    <t>REG00278-S4</t>
  </si>
  <si>
    <t>Phosphate, Sodium, Calcium, Nitrite</t>
  </si>
  <si>
    <t>REG00279</t>
  </si>
  <si>
    <t>REG00279-S1</t>
  </si>
  <si>
    <t>INV00279</t>
  </si>
  <si>
    <t>012-XXX-606</t>
  </si>
  <si>
    <t>REG00279-S2</t>
  </si>
  <si>
    <t>Potassium, Magnesium, Sulfate, Nitrite</t>
  </si>
  <si>
    <t>REG00279-S3</t>
  </si>
  <si>
    <t>REG00279-S4</t>
  </si>
  <si>
    <t>REG00279-S5</t>
  </si>
  <si>
    <t>REG00280</t>
  </si>
  <si>
    <t>REG00280-S1</t>
  </si>
  <si>
    <t>INV00280</t>
  </si>
  <si>
    <t>Potassium, Nitrate, Ammonia</t>
  </si>
  <si>
    <t>REG00280-S2</t>
  </si>
  <si>
    <t>Potassium, Hydrochloric Acid, Nitrate, Chloride</t>
  </si>
  <si>
    <t>REG00280-S3</t>
  </si>
  <si>
    <t>Ammonia, Nitrite, Chloride, Nitrate</t>
  </si>
  <si>
    <t>REG00280-S4</t>
  </si>
  <si>
    <t>Nitrite, Magnesium, Lead, Chloride</t>
  </si>
  <si>
    <t>REG00280-S5</t>
  </si>
  <si>
    <t>Sodium Hydroxide, Sulfuric Acid, Phosphate, Potassium</t>
  </si>
  <si>
    <t>REG00281</t>
  </si>
  <si>
    <t>REG00281-S1</t>
  </si>
  <si>
    <t>INV00281</t>
  </si>
  <si>
    <t>012-XXX-551</t>
  </si>
  <si>
    <t>Calcium, Hydrochloric Acid</t>
  </si>
  <si>
    <t>REG00282</t>
  </si>
  <si>
    <t>REG00282-S1</t>
  </si>
  <si>
    <t>INV00282</t>
  </si>
  <si>
    <t>012-XXX-937</t>
  </si>
  <si>
    <t>REG00282-S2</t>
  </si>
  <si>
    <t>Hydrochloric Acid, Chloride</t>
  </si>
  <si>
    <t>REG00282-S3</t>
  </si>
  <si>
    <t>REG00282-S4</t>
  </si>
  <si>
    <t>Iron, Phosphate, Nitrate, Calcium</t>
  </si>
  <si>
    <t>REG00283</t>
  </si>
  <si>
    <t>REG00283-S1</t>
  </si>
  <si>
    <t>INV00283</t>
  </si>
  <si>
    <t>REG00283-S2</t>
  </si>
  <si>
    <t>REG00283-S3</t>
  </si>
  <si>
    <t>Sodium, Sulfuric Acid, Nitrate</t>
  </si>
  <si>
    <t>REG00283-S4</t>
  </si>
  <si>
    <t>Sulfuric Acid, Hydrochloric Acid, Sulfate</t>
  </si>
  <si>
    <t>REG00284</t>
  </si>
  <si>
    <t>REG00284-S1</t>
  </si>
  <si>
    <t>INV00284</t>
  </si>
  <si>
    <t>012-XXX-912</t>
  </si>
  <si>
    <t>REG00284-S2</t>
  </si>
  <si>
    <t>REG00284-S3</t>
  </si>
  <si>
    <t>Calcium, Nitrate, Magnesium</t>
  </si>
  <si>
    <t>REG00285</t>
  </si>
  <si>
    <t>REG00285-S1</t>
  </si>
  <si>
    <t>INV00285</t>
  </si>
  <si>
    <t>Chloride, Sodium Hydroxide, Lead</t>
  </si>
  <si>
    <t>REG00285-S2</t>
  </si>
  <si>
    <t>REG00285-S3</t>
  </si>
  <si>
    <t>Sodium Hydroxide, Magnesium</t>
  </si>
  <si>
    <t>REG00286</t>
  </si>
  <si>
    <t>REG00286-S1</t>
  </si>
  <si>
    <t>INV00286</t>
  </si>
  <si>
    <t>012-XXX-304</t>
  </si>
  <si>
    <t>REG00286-S2</t>
  </si>
  <si>
    <t>REG00286-S3</t>
  </si>
  <si>
    <t>REG00286-S4</t>
  </si>
  <si>
    <t>Magnesium, Sulfate, Sodium Hydroxide, Phosphate</t>
  </si>
  <si>
    <t>REG00287</t>
  </si>
  <si>
    <t>REG00287-S1</t>
  </si>
  <si>
    <t>INV00287</t>
  </si>
  <si>
    <t>012-XXX-247</t>
  </si>
  <si>
    <t>Nitrate, Sulfate, Chloride, Calcium</t>
  </si>
  <si>
    <t>REG00287-S2</t>
  </si>
  <si>
    <t>Chloride, Sodium Hydroxide, Phosphate</t>
  </si>
  <si>
    <t>REG00287-S3</t>
  </si>
  <si>
    <t>Sodium Hydroxide, Ammonia, Iron, Magnesium</t>
  </si>
  <si>
    <t>REG00287-S4</t>
  </si>
  <si>
    <t>Sodium, Sulfate, Hydrochloric Acid, Ammonia</t>
  </si>
  <si>
    <t>REG00287-S5</t>
  </si>
  <si>
    <t>Calcium, Magnesium</t>
  </si>
  <si>
    <t>REG00288</t>
  </si>
  <si>
    <t>REG00288-S1</t>
  </si>
  <si>
    <t>INV00288</t>
  </si>
  <si>
    <t>012-XXX-142</t>
  </si>
  <si>
    <t>REG00288-S2</t>
  </si>
  <si>
    <t>Sodium, Sulfuric Acid, Sulfate, Sodium Hydroxide</t>
  </si>
  <si>
    <t>REG00289</t>
  </si>
  <si>
    <t>REG00289-S1</t>
  </si>
  <si>
    <t>INV00289</t>
  </si>
  <si>
    <t>012-XXX-480</t>
  </si>
  <si>
    <t>Ammonia, Magnesium, Calcium, Sodium</t>
  </si>
  <si>
    <t>REG00289-S2</t>
  </si>
  <si>
    <t>REG00289-S3</t>
  </si>
  <si>
    <t>Calcium, Lead</t>
  </si>
  <si>
    <t>REG00289-S4</t>
  </si>
  <si>
    <t>REG00289-S5</t>
  </si>
  <si>
    <t>Chloride, Lead, Ammonia, Phosphate</t>
  </si>
  <si>
    <t>REG00290</t>
  </si>
  <si>
    <t>REG00290-S1</t>
  </si>
  <si>
    <t>INV00290</t>
  </si>
  <si>
    <t>Magnesium, Sulfuric Acid, Ammonia</t>
  </si>
  <si>
    <t>REG00290-S2</t>
  </si>
  <si>
    <t>Magnesium, Lead, Potassium</t>
  </si>
  <si>
    <t>REG00291</t>
  </si>
  <si>
    <t>REG00291-S1</t>
  </si>
  <si>
    <t>INV00291</t>
  </si>
  <si>
    <t>012-XXX-430</t>
  </si>
  <si>
    <t>Iron, Hydrochloric Acid, Phosphate, Sodium Hydroxide</t>
  </si>
  <si>
    <t>REG00291-S2</t>
  </si>
  <si>
    <t>REG00291-S3</t>
  </si>
  <si>
    <t>REG00292</t>
  </si>
  <si>
    <t>REG00292-S1</t>
  </si>
  <si>
    <t>INV00292</t>
  </si>
  <si>
    <t>Potassium, Magnesium, Chloride</t>
  </si>
  <si>
    <t>REG00292-S2</t>
  </si>
  <si>
    <t>Iron, Magnesium, Potassium</t>
  </si>
  <si>
    <t>REG00292-S3</t>
  </si>
  <si>
    <t>REG00293</t>
  </si>
  <si>
    <t>REG00293-S1</t>
  </si>
  <si>
    <t>INV00293</t>
  </si>
  <si>
    <t>Iron, Phosphate, Nitrate</t>
  </si>
  <si>
    <t>REG00293-S2</t>
  </si>
  <si>
    <t>Nitrate, Lead, Ammonia, Nitrite</t>
  </si>
  <si>
    <t>REG00293-S3</t>
  </si>
  <si>
    <t>Potassium, Nitrate, Magnesium</t>
  </si>
  <si>
    <t>REG00293-S4</t>
  </si>
  <si>
    <t>Nitrate, Phosphate, Nitrite</t>
  </si>
  <si>
    <t>REG00294</t>
  </si>
  <si>
    <t>REG00294-S1</t>
  </si>
  <si>
    <t>INV00294</t>
  </si>
  <si>
    <t>REG00294-S2</t>
  </si>
  <si>
    <t>Potassium, Sulfuric Acid, Sodium, Iron</t>
  </si>
  <si>
    <t>REG00294-S3</t>
  </si>
  <si>
    <t>Iron, Ammonia, Sodium, Magnesium</t>
  </si>
  <si>
    <t>REG00294-S4</t>
  </si>
  <si>
    <t>Magnesium, Hydrochloric Acid</t>
  </si>
  <si>
    <t>REG00295</t>
  </si>
  <si>
    <t>REG00295-S1</t>
  </si>
  <si>
    <t>INV00295</t>
  </si>
  <si>
    <t>REG00295-S2</t>
  </si>
  <si>
    <t>Phosphate, Sodium, Calcium</t>
  </si>
  <si>
    <t>REG00295-S3</t>
  </si>
  <si>
    <t>Sulfuric Acid, Sulfate, Potassium</t>
  </si>
  <si>
    <t>REG00296</t>
  </si>
  <si>
    <t>REG00296-S1</t>
  </si>
  <si>
    <t>INV00296</t>
  </si>
  <si>
    <t>Potassium, Ammonia, Lead</t>
  </si>
  <si>
    <t>REG00296-S2</t>
  </si>
  <si>
    <t>REG00296-S3</t>
  </si>
  <si>
    <t>Nitrite, Sodium, Ammonia, Lead</t>
  </si>
  <si>
    <t>REG00297</t>
  </si>
  <si>
    <t>REG00297-S1</t>
  </si>
  <si>
    <t>INV00297</t>
  </si>
  <si>
    <t>012-XXX-406</t>
  </si>
  <si>
    <t>REG00297-S2</t>
  </si>
  <si>
    <t>REG00297-S3</t>
  </si>
  <si>
    <t>Sulfate, Sulfuric Acid</t>
  </si>
  <si>
    <t>REG00298</t>
  </si>
  <si>
    <t>REG00298-S1</t>
  </si>
  <si>
    <t>INV00298</t>
  </si>
  <si>
    <t>012-XXX-527</t>
  </si>
  <si>
    <t>Potassium, Ammonia, Calcium</t>
  </si>
  <si>
    <t>REG00298-S2</t>
  </si>
  <si>
    <t>Sulfate, Calcium, Sodium Hydroxide</t>
  </si>
  <si>
    <t>REG00299</t>
  </si>
  <si>
    <t>REG00299-S1</t>
  </si>
  <si>
    <t>INV00299</t>
  </si>
  <si>
    <t>012-XXX-777</t>
  </si>
  <si>
    <t>REG00299-S2</t>
  </si>
  <si>
    <t>REG00300</t>
  </si>
  <si>
    <t>REG00300-S1</t>
  </si>
  <si>
    <t>INV00300</t>
  </si>
  <si>
    <t>012-XXX-150</t>
  </si>
  <si>
    <t>REG00300-S2</t>
  </si>
  <si>
    <t>REG00300-S3</t>
  </si>
  <si>
    <t>Ammonia, Sulfuric Acid, Magnesium</t>
  </si>
  <si>
    <t>REG00300-S4</t>
  </si>
  <si>
    <t>Ammonia, Sulfuric Acid, Sodium, Nitrite</t>
  </si>
  <si>
    <t>REG00301</t>
  </si>
  <si>
    <t>REG00301-S1</t>
  </si>
  <si>
    <t>INV00301</t>
  </si>
  <si>
    <t>012-XXX-241</t>
  </si>
  <si>
    <t>Hydrochloric Acid, Calcium, Lead</t>
  </si>
  <si>
    <t>REG00302</t>
  </si>
  <si>
    <t>REG00302-S1</t>
  </si>
  <si>
    <t>INV00302</t>
  </si>
  <si>
    <t>012-XXX-428</t>
  </si>
  <si>
    <t>REG00302-S2</t>
  </si>
  <si>
    <t>REG00302-S3</t>
  </si>
  <si>
    <t>Nitrate, Sulfate, Ammonia</t>
  </si>
  <si>
    <t>REG00303</t>
  </si>
  <si>
    <t>REG00303-S1</t>
  </si>
  <si>
    <t>INV00303</t>
  </si>
  <si>
    <t>REG00303-S2</t>
  </si>
  <si>
    <t>Chloride, Hydrochloric Acid, Calcium, Nitrate</t>
  </si>
  <si>
    <t>REG00303-S3</t>
  </si>
  <si>
    <t>REG00303-S4</t>
  </si>
  <si>
    <t>Phosphate, Lead, Chloride</t>
  </si>
  <si>
    <t>REG00304</t>
  </si>
  <si>
    <t>REG00304-S1</t>
  </si>
  <si>
    <t>INV00304</t>
  </si>
  <si>
    <t>Lead, Ammonia, Sodium Hydroxide</t>
  </si>
  <si>
    <t>REG00304-S2</t>
  </si>
  <si>
    <t>REG00305</t>
  </si>
  <si>
    <t>REG00305-S1</t>
  </si>
  <si>
    <t>INV00305</t>
  </si>
  <si>
    <t>012-XXX-660</t>
  </si>
  <si>
    <t>REG00305-S2</t>
  </si>
  <si>
    <t>Hydrochloric Acid, Lead, Calcium, Sodium</t>
  </si>
  <si>
    <t>REG00305-S3</t>
  </si>
  <si>
    <t>Magnesium, Lead, Iron, Sodium Hydroxide</t>
  </si>
  <si>
    <t>REG00306</t>
  </si>
  <si>
    <t>REG00306-S1</t>
  </si>
  <si>
    <t>INV00306</t>
  </si>
  <si>
    <t>012-XXX-680</t>
  </si>
  <si>
    <t>REG00306-S2</t>
  </si>
  <si>
    <t>Lead, Chloride, Sulfuric Acid</t>
  </si>
  <si>
    <t>REG00306-S3</t>
  </si>
  <si>
    <t>REG00307</t>
  </si>
  <si>
    <t>REG00307-S1</t>
  </si>
  <si>
    <t>INV00307</t>
  </si>
  <si>
    <t>Ammonia, Calcium, Iron, Magnesium</t>
  </si>
  <si>
    <t>REG00308</t>
  </si>
  <si>
    <t>REG00308-S1</t>
  </si>
  <si>
    <t>INV00308</t>
  </si>
  <si>
    <t>012-XXX-718</t>
  </si>
  <si>
    <t>REG00308-S2</t>
  </si>
  <si>
    <t>REG00309</t>
  </si>
  <si>
    <t>REG00309-S1</t>
  </si>
  <si>
    <t>2025-01-01</t>
  </si>
  <si>
    <t>INV00309</t>
  </si>
  <si>
    <t>012-XXX-408</t>
  </si>
  <si>
    <t>REG00309-S2</t>
  </si>
  <si>
    <t>REG00309-S3</t>
  </si>
  <si>
    <t>Sulfuric Acid, Hydrochloric Acid</t>
  </si>
  <si>
    <t>2025-01-02</t>
  </si>
  <si>
    <t>REG00309-S4</t>
  </si>
  <si>
    <t>Lead, Magnesium, Nitrate</t>
  </si>
  <si>
    <t>REG00310</t>
  </si>
  <si>
    <t>REG00310-S1</t>
  </si>
  <si>
    <t>INV00310</t>
  </si>
  <si>
    <t>012-XXX-557</t>
  </si>
  <si>
    <t>REG00310-S2</t>
  </si>
  <si>
    <t>Iron, Lead</t>
  </si>
  <si>
    <t>REG00310-S3</t>
  </si>
  <si>
    <t>Hydrochloric Acid, Nitrate, Sodium, Chloride</t>
  </si>
  <si>
    <t>REG00310-S4</t>
  </si>
  <si>
    <t>Nitrate, Hydrochloric Acid, Lead, Sulfuric Acid</t>
  </si>
  <si>
    <t>REG00311</t>
  </si>
  <si>
    <t>REG00311-S1</t>
  </si>
  <si>
    <t>INV00311</t>
  </si>
  <si>
    <t>012-XXX-223</t>
  </si>
  <si>
    <t>Iron, Ammonia</t>
  </si>
  <si>
    <t>REG00311-S2</t>
  </si>
  <si>
    <t>Magnesium, Nitrite, Sodium Hydroxide, Lead</t>
  </si>
  <si>
    <t>REG00311-S3</t>
  </si>
  <si>
    <t>Magnesium, Iron, Phosphate, Nitrite</t>
  </si>
  <si>
    <t>REG00311-S4</t>
  </si>
  <si>
    <t>Calcium, Chloride, Magnesium</t>
  </si>
  <si>
    <t>REG00311-S5</t>
  </si>
  <si>
    <t>Iron, Sodium, Sodium Hydroxide, Sulfuric Acid</t>
  </si>
  <si>
    <t>REG00312</t>
  </si>
  <si>
    <t>REG00312-S1</t>
  </si>
  <si>
    <t>INV00312</t>
  </si>
  <si>
    <t>012-XXX-982</t>
  </si>
  <si>
    <t>REG00312-S2</t>
  </si>
  <si>
    <t>Potassium, Ammonia, Nitrite, Lead</t>
  </si>
  <si>
    <t>REG00312-S3</t>
  </si>
  <si>
    <t>Phosphate, Sulfuric Acid</t>
  </si>
  <si>
    <t>REG00313</t>
  </si>
  <si>
    <t>REG00313-S1</t>
  </si>
  <si>
    <t>INV00313</t>
  </si>
  <si>
    <t>012-XXX-146</t>
  </si>
  <si>
    <t>Sodium, Nitrite, Calcium</t>
  </si>
  <si>
    <t>REG00313-S2</t>
  </si>
  <si>
    <t>REG00313-S3</t>
  </si>
  <si>
    <t>Chloride, Magnesium, Sulfuric Acid</t>
  </si>
  <si>
    <t>REG00313-S4</t>
  </si>
  <si>
    <t>Lead, Nitrite, Iron</t>
  </si>
  <si>
    <t>REG00314</t>
  </si>
  <si>
    <t>REG00314-S1</t>
  </si>
  <si>
    <t>INV00314</t>
  </si>
  <si>
    <t>012-XXX-636</t>
  </si>
  <si>
    <t>Lead, Sodium</t>
  </si>
  <si>
    <t>REG00314-S2</t>
  </si>
  <si>
    <t>Magnesium, Ammonia, Sulfate, Phosphate</t>
  </si>
  <si>
    <t>REG00314-S3</t>
  </si>
  <si>
    <t>Ammonia, Hydrochloric Acid, Sodium Hydroxide</t>
  </si>
  <si>
    <t>REG00314-S4</t>
  </si>
  <si>
    <t>Iron, Potassium, Sulfate</t>
  </si>
  <si>
    <t>REG00314-S5</t>
  </si>
  <si>
    <t>REG00315</t>
  </si>
  <si>
    <t>REG00315-S1</t>
  </si>
  <si>
    <t>INV00315</t>
  </si>
  <si>
    <t>012-XXX-174</t>
  </si>
  <si>
    <t>Nitrite, Calcium</t>
  </si>
  <si>
    <t>REG00315-S2</t>
  </si>
  <si>
    <t>Sulfuric Acid, Chloride</t>
  </si>
  <si>
    <t>REG00315-S3</t>
  </si>
  <si>
    <t>Sulfuric Acid, Nitrite</t>
  </si>
  <si>
    <t>REG00316</t>
  </si>
  <si>
    <t>REG00316-S1</t>
  </si>
  <si>
    <t>INV00316</t>
  </si>
  <si>
    <t>REG00316-S2</t>
  </si>
  <si>
    <t>Nitrite, Nitrate, Hydrochloric Acid, Iron</t>
  </si>
  <si>
    <t>REG00316-S3</t>
  </si>
  <si>
    <t>REG00316-S4</t>
  </si>
  <si>
    <t>Chloride, Calcium, Lead</t>
  </si>
  <si>
    <t>REG00317</t>
  </si>
  <si>
    <t>REG00317-S1</t>
  </si>
  <si>
    <t>INV00317</t>
  </si>
  <si>
    <t>012-XXX-291</t>
  </si>
  <si>
    <t>REG00317-S2</t>
  </si>
  <si>
    <t>Nitrite, Iron, Ammonia</t>
  </si>
  <si>
    <t>REG00318</t>
  </si>
  <si>
    <t>REG00318-S1</t>
  </si>
  <si>
    <t>INV00318</t>
  </si>
  <si>
    <t>012-XXX-369</t>
  </si>
  <si>
    <t>Nitrite, Ammonia, Chloride, Nitrate</t>
  </si>
  <si>
    <t>REG00318-S2</t>
  </si>
  <si>
    <t>Sulfuric Acid, Hydrochloric Acid, Calcium</t>
  </si>
  <si>
    <t>REG00318-S3</t>
  </si>
  <si>
    <t>REG00319</t>
  </si>
  <si>
    <t>REG00319-S1</t>
  </si>
  <si>
    <t>INV00319</t>
  </si>
  <si>
    <t>012-XXX-880</t>
  </si>
  <si>
    <t>REG00319-S2</t>
  </si>
  <si>
    <t>REG00319-S3</t>
  </si>
  <si>
    <t>REG00320</t>
  </si>
  <si>
    <t>REG00320-S1</t>
  </si>
  <si>
    <t>INV00320</t>
  </si>
  <si>
    <t>Sodium, Calcium, Chloride, Lead</t>
  </si>
  <si>
    <t>REG00320-S2</t>
  </si>
  <si>
    <t>REG00321</t>
  </si>
  <si>
    <t>REG00321-S1</t>
  </si>
  <si>
    <t>INV00321</t>
  </si>
  <si>
    <t>012-XXX-257</t>
  </si>
  <si>
    <t>Ammonia, Hydrochloric Acid</t>
  </si>
  <si>
    <t>REG00321-S2</t>
  </si>
  <si>
    <t>Hydrochloric Acid, Sulfate, Ammonia, Chloride</t>
  </si>
  <si>
    <t>REG00322</t>
  </si>
  <si>
    <t>REG00322-S1</t>
  </si>
  <si>
    <t>INV00322</t>
  </si>
  <si>
    <t>REG00322-S2</t>
  </si>
  <si>
    <t>REG00323</t>
  </si>
  <si>
    <t>REG00323-S1</t>
  </si>
  <si>
    <t>INV00323</t>
  </si>
  <si>
    <t>012-XXX-577</t>
  </si>
  <si>
    <t>REG00324</t>
  </si>
  <si>
    <t>REG00324-S1</t>
  </si>
  <si>
    <t>INV00324</t>
  </si>
  <si>
    <t>012-XXX-254</t>
  </si>
  <si>
    <t>Lead, Hydrochloric Acid, Sulfate, Nitrate</t>
  </si>
  <si>
    <t>REG00324-S2</t>
  </si>
  <si>
    <t>Chloride, Sulfate, Lead, Phosphate</t>
  </si>
  <si>
    <t>REG00325</t>
  </si>
  <si>
    <t>REG00325-S1</t>
  </si>
  <si>
    <t>INV00325</t>
  </si>
  <si>
    <t>012-XXX-300</t>
  </si>
  <si>
    <t>REG00325-S2</t>
  </si>
  <si>
    <t>REG00325-S3</t>
  </si>
  <si>
    <t>REG00326</t>
  </si>
  <si>
    <t>REG00326-S1</t>
  </si>
  <si>
    <t>INV00326</t>
  </si>
  <si>
    <t>012-XXX-140</t>
  </si>
  <si>
    <t>REG00326-S2</t>
  </si>
  <si>
    <t>REG00326-S3</t>
  </si>
  <si>
    <t>Calcium, Potassium, Sulfuric Acid</t>
  </si>
  <si>
    <t>REG00326-S4</t>
  </si>
  <si>
    <t>REG00327</t>
  </si>
  <si>
    <t>REG00327-S1</t>
  </si>
  <si>
    <t>INV00327</t>
  </si>
  <si>
    <t>Chloride, Ammonia, Sulfuric Acid, Potassium</t>
  </si>
  <si>
    <t>REG00327-S2</t>
  </si>
  <si>
    <t>Sodium, Phosphate, Lead, Magnesium</t>
  </si>
  <si>
    <t>REG00328</t>
  </si>
  <si>
    <t>REG00328-S1</t>
  </si>
  <si>
    <t>INV00328</t>
  </si>
  <si>
    <t>012-XXX-587</t>
  </si>
  <si>
    <t>REG00328-S2</t>
  </si>
  <si>
    <t>Sulfate, Sodium, Ammonia</t>
  </si>
  <si>
    <t>REG00328-S3</t>
  </si>
  <si>
    <t>Lead, Nitrite, Sulfate, Ammonia</t>
  </si>
  <si>
    <t>REG00328-S4</t>
  </si>
  <si>
    <t>REG00328-S5</t>
  </si>
  <si>
    <t>REG00329</t>
  </si>
  <si>
    <t>REG00329-S1</t>
  </si>
  <si>
    <t>INV00329</t>
  </si>
  <si>
    <t>012-XXX-623</t>
  </si>
  <si>
    <t>Phosphate, Sulfate, Calcium, Lead</t>
  </si>
  <si>
    <t>REG00329-S2</t>
  </si>
  <si>
    <t>Magnesium, Sodium Hydroxide, Nitrate</t>
  </si>
  <si>
    <t>REG00330</t>
  </si>
  <si>
    <t>REG00330-S1</t>
  </si>
  <si>
    <t>INV00330</t>
  </si>
  <si>
    <t>012-XXX-393</t>
  </si>
  <si>
    <t>Chloride, Calcium, Phosphate</t>
  </si>
  <si>
    <t>REG00330-S2</t>
  </si>
  <si>
    <t>Iron, Nitrite, Magnesium</t>
  </si>
  <si>
    <t>REG00330-S3</t>
  </si>
  <si>
    <t>Sulfuric Acid, Sulfate, Sodium</t>
  </si>
  <si>
    <t>REG00330-S4</t>
  </si>
  <si>
    <t>REG00331</t>
  </si>
  <si>
    <t>REG00331-S1</t>
  </si>
  <si>
    <t>INV00331</t>
  </si>
  <si>
    <t>Nitrite, Potassium, Sodium Hydroxide</t>
  </si>
  <si>
    <t>REG00331-S2</t>
  </si>
  <si>
    <t>Sulfuric Acid, Nitrite, Lead, Sodium</t>
  </si>
  <si>
    <t>REG00331-S3</t>
  </si>
  <si>
    <t>REG00331-S4</t>
  </si>
  <si>
    <t>Sodium, Chloride, Sulfate</t>
  </si>
  <si>
    <t>REG00332</t>
  </si>
  <si>
    <t>REG00332-S1</t>
  </si>
  <si>
    <t>INV00332</t>
  </si>
  <si>
    <t>REG00332-S2</t>
  </si>
  <si>
    <t>REG00332-S3</t>
  </si>
  <si>
    <t>REG00333</t>
  </si>
  <si>
    <t>REG00333-S1</t>
  </si>
  <si>
    <t>INV00333</t>
  </si>
  <si>
    <t>012-XXX-722</t>
  </si>
  <si>
    <t>REG00333-S2</t>
  </si>
  <si>
    <t>Phosphate, Nitrite, Hydrochloric Acid, Nitrate</t>
  </si>
  <si>
    <t>REG00333-S3</t>
  </si>
  <si>
    <t>REG00333-S4</t>
  </si>
  <si>
    <t>Sulfuric Acid, Sulfate, Nitrite</t>
  </si>
  <si>
    <t>REG00333-S5</t>
  </si>
  <si>
    <t>Sodium, Calcium, Sulfuric Acid, Phosphate</t>
  </si>
  <si>
    <t>REG00334</t>
  </si>
  <si>
    <t>REG00334-S1</t>
  </si>
  <si>
    <t>INV00334</t>
  </si>
  <si>
    <t>Sulfuric Acid, Iron, Ammonia, Nitrite</t>
  </si>
  <si>
    <t>REG00334-S2</t>
  </si>
  <si>
    <t>Sulfuric Acid, Iron, Sodium Hydroxide, Calcium</t>
  </si>
  <si>
    <t>REG00334-S3</t>
  </si>
  <si>
    <t>Hydrochloric Acid, Nitrite, Ammonia, Sulfate</t>
  </si>
  <si>
    <t>REG00334-S4</t>
  </si>
  <si>
    <t>Lead, Sulfuric Acid, Sodium Hydroxide</t>
  </si>
  <si>
    <t>REG00334-S5</t>
  </si>
  <si>
    <t>REG00335</t>
  </si>
  <si>
    <t>REG00335-S1</t>
  </si>
  <si>
    <t>INV00335</t>
  </si>
  <si>
    <t>Magnesium, Hydrochloric Acid, Iron, Lead</t>
  </si>
  <si>
    <t>REG00335-S2</t>
  </si>
  <si>
    <t>Phosphate, Sulfuric Acid, Lead, Sodium Hydroxide</t>
  </si>
  <si>
    <t>REG00335-S3</t>
  </si>
  <si>
    <t>Ammonia, Sodium, Potassium</t>
  </si>
  <si>
    <t>REG00335-S4</t>
  </si>
  <si>
    <t>Ammonia, Phosphate, Sulfuric Acid</t>
  </si>
  <si>
    <t>REG00336</t>
  </si>
  <si>
    <t>REG00336-S1</t>
  </si>
  <si>
    <t>INV00336</t>
  </si>
  <si>
    <t>REG00336-S2</t>
  </si>
  <si>
    <t>REG00336-S3</t>
  </si>
  <si>
    <t>REG00336-S4</t>
  </si>
  <si>
    <t>Iron, Nitrate, Ammonia, Phosphate</t>
  </si>
  <si>
    <t>REG00336-S5</t>
  </si>
  <si>
    <t>Nitrate, Sulfate, Sodium Hydroxide, Hydrochloric Acid</t>
  </si>
  <si>
    <t>REG00337</t>
  </si>
  <si>
    <t>REG00337-S1</t>
  </si>
  <si>
    <t>INV00337</t>
  </si>
  <si>
    <t>Ammonia, Sodium, Chloride, Magnesium</t>
  </si>
  <si>
    <t>REG00337-S2</t>
  </si>
  <si>
    <t>Magnesium, Sodium Hydroxide, Calcium</t>
  </si>
  <si>
    <t>REG00337-S3</t>
  </si>
  <si>
    <t>Sodium Hydroxide, Ammonia</t>
  </si>
  <si>
    <t>REG00337-S4</t>
  </si>
  <si>
    <t>Calcium, Sodium Hydroxide</t>
  </si>
  <si>
    <t>REG00337-S5</t>
  </si>
  <si>
    <t>Sulfuric Acid, Nitrite, Hydrochloric Acid</t>
  </si>
  <si>
    <t>REG00338</t>
  </si>
  <si>
    <t>REG00338-S1</t>
  </si>
  <si>
    <t>INV00338</t>
  </si>
  <si>
    <t>012-XXX-179</t>
  </si>
  <si>
    <t>Ammonia, Sulfate, Chloride, Lead</t>
  </si>
  <si>
    <t>REG00338-S2</t>
  </si>
  <si>
    <t>Ammonia, Sulfuric Acid, Potassium, Nitrate</t>
  </si>
  <si>
    <t>REG00338-S3</t>
  </si>
  <si>
    <t>Sodium Hydroxide, Potassium, Nitrate, Lead</t>
  </si>
  <si>
    <t>REG00338-S4</t>
  </si>
  <si>
    <t>Magnesium, Iron, Sulfate</t>
  </si>
  <si>
    <t>REG00339</t>
  </si>
  <si>
    <t>REG00339-S1</t>
  </si>
  <si>
    <t>INV00339</t>
  </si>
  <si>
    <t>012-XXX-637</t>
  </si>
  <si>
    <t>REG00339-S2</t>
  </si>
  <si>
    <t>Magnesium, Sodium, Phosphate</t>
  </si>
  <si>
    <t>REG00340</t>
  </si>
  <si>
    <t>REG00340-S1</t>
  </si>
  <si>
    <t>INV00340</t>
  </si>
  <si>
    <t>012-XXX-894</t>
  </si>
  <si>
    <t>REG00341</t>
  </si>
  <si>
    <t>REG00341-S1</t>
  </si>
  <si>
    <t>INV00341</t>
  </si>
  <si>
    <t>012-XXX-769</t>
  </si>
  <si>
    <t>Magnesium, Ammonia, Iron, Potassium</t>
  </si>
  <si>
    <t>REG00341-S2</t>
  </si>
  <si>
    <t>Phosphate, Nitrate, Chloride, Ammonia</t>
  </si>
  <si>
    <t>REG00341-S3</t>
  </si>
  <si>
    <t>REG00341-S4</t>
  </si>
  <si>
    <t>Magnesium, Lead, Phosphate</t>
  </si>
  <si>
    <t>REG00341-S5</t>
  </si>
  <si>
    <t>Hydrochloric Acid, Nitrite, Nitrate</t>
  </si>
  <si>
    <t>REG00342</t>
  </si>
  <si>
    <t>REG00342-S1</t>
  </si>
  <si>
    <t>INV00342</t>
  </si>
  <si>
    <t>012-XXX-928</t>
  </si>
  <si>
    <t>Nitrite, Calcium, Hydrochloric Acid</t>
  </si>
  <si>
    <t>REG00342-S2</t>
  </si>
  <si>
    <t>REG00342-S3</t>
  </si>
  <si>
    <t>Lead, Sodium Hydroxide, Magnesium</t>
  </si>
  <si>
    <t>REG00342-S4</t>
  </si>
  <si>
    <t>REG00342-S5</t>
  </si>
  <si>
    <t>Iron, Potassium</t>
  </si>
  <si>
    <t>REG00343</t>
  </si>
  <si>
    <t>REG00343-S1</t>
  </si>
  <si>
    <t>INV00343</t>
  </si>
  <si>
    <t>REG00343-S2</t>
  </si>
  <si>
    <t>REG00343-S3</t>
  </si>
  <si>
    <t>Hydrochloric Acid, Sulfuric Acid, Potassium</t>
  </si>
  <si>
    <t>REG00344</t>
  </si>
  <si>
    <t>REG00344-S1</t>
  </si>
  <si>
    <t>INV00344</t>
  </si>
  <si>
    <t>Sulfate, Hydrochloric Acid, Magnesium</t>
  </si>
  <si>
    <t>REG00344-S2</t>
  </si>
  <si>
    <t>Iron, Chloride, Sulfuric Acid</t>
  </si>
  <si>
    <t>REG00345</t>
  </si>
  <si>
    <t>REG00345-S1</t>
  </si>
  <si>
    <t>INV00345</t>
  </si>
  <si>
    <t>012-XXX-307</t>
  </si>
  <si>
    <t>REG00345-S2</t>
  </si>
  <si>
    <t>REG00346</t>
  </si>
  <si>
    <t>REG00346-S1</t>
  </si>
  <si>
    <t>INV00346</t>
  </si>
  <si>
    <t>012-XXX-405</t>
  </si>
  <si>
    <t>Nitrite, Ammonia</t>
  </si>
  <si>
    <t>REG00346-S2</t>
  </si>
  <si>
    <t>REG00346-S3</t>
  </si>
  <si>
    <t>REG00346-S4</t>
  </si>
  <si>
    <t>REG00347</t>
  </si>
  <si>
    <t>REG00347-S1</t>
  </si>
  <si>
    <t>INV00347</t>
  </si>
  <si>
    <t>012-XXX-441</t>
  </si>
  <si>
    <t>REG00347-S2</t>
  </si>
  <si>
    <t>REG00347-S3</t>
  </si>
  <si>
    <t>Magnesium, Chloride, Phosphate, Sulfate</t>
  </si>
  <si>
    <t>REG00348</t>
  </si>
  <si>
    <t>REG00348-S1</t>
  </si>
  <si>
    <t>INV00348</t>
  </si>
  <si>
    <t>012-XXX-815</t>
  </si>
  <si>
    <t>Chloride, Ammonia</t>
  </si>
  <si>
    <t>REG00349</t>
  </si>
  <si>
    <t>REG00349-S1</t>
  </si>
  <si>
    <t>INV00349</t>
  </si>
  <si>
    <t>012-XXX-310</t>
  </si>
  <si>
    <t>REG00350</t>
  </si>
  <si>
    <t>REG00350-S1</t>
  </si>
  <si>
    <t>INV00350</t>
  </si>
  <si>
    <t>012-XXX-661</t>
  </si>
  <si>
    <t>REG00350-S2</t>
  </si>
  <si>
    <t>Sodium, Chloride</t>
  </si>
  <si>
    <t>REG00350-S3</t>
  </si>
  <si>
    <t>Sulfate, Magnesium, Lead, Iron</t>
  </si>
  <si>
    <t>REG00350-S4</t>
  </si>
  <si>
    <t>Phosphate, Lead, Sodium Hydroxide, Sulfuric Acid</t>
  </si>
  <si>
    <t>REG00351</t>
  </si>
  <si>
    <t>REG00351-S1</t>
  </si>
  <si>
    <t>INV00351</t>
  </si>
  <si>
    <t>Hydrochloric Acid, Sodium Hydroxide, Lead, Ammonia</t>
  </si>
  <si>
    <t>REG00351-S2</t>
  </si>
  <si>
    <t>Nitrite, Lead, Phosphate, Sulfate</t>
  </si>
  <si>
    <t>REG00351-S3</t>
  </si>
  <si>
    <t>REG00351-S4</t>
  </si>
  <si>
    <t>Sodium, Chloride, Ammonia, Phosphate</t>
  </si>
  <si>
    <t>REG00352</t>
  </si>
  <si>
    <t>REG00352-S1</t>
  </si>
  <si>
    <t>INV00352</t>
  </si>
  <si>
    <t>012-XXX-540</t>
  </si>
  <si>
    <t>REG00352-S2</t>
  </si>
  <si>
    <t>REG00353</t>
  </si>
  <si>
    <t>REG00353-S1</t>
  </si>
  <si>
    <t>INV00353</t>
  </si>
  <si>
    <t>012-XXX-470</t>
  </si>
  <si>
    <t>Sodium Hydroxide, Sulfuric Acid, Iron</t>
  </si>
  <si>
    <t>REG00353-S2</t>
  </si>
  <si>
    <t>Nitrite, Sulfuric Acid</t>
  </si>
  <si>
    <t>REG00353-S3</t>
  </si>
  <si>
    <t>REG00353-S4</t>
  </si>
  <si>
    <t>Iron, Sulfuric Acid, Sodium, Phosphate</t>
  </si>
  <si>
    <t>REG00353-S5</t>
  </si>
  <si>
    <t>REG00354</t>
  </si>
  <si>
    <t>REG00354-S1</t>
  </si>
  <si>
    <t>INV00354</t>
  </si>
  <si>
    <t>012-XXX-591</t>
  </si>
  <si>
    <t>REG00355</t>
  </si>
  <si>
    <t>REG00355-S1</t>
  </si>
  <si>
    <t>INV00355</t>
  </si>
  <si>
    <t>012-XXX-216</t>
  </si>
  <si>
    <t>Magnesium, Sodium, Hydrochloric Acid</t>
  </si>
  <si>
    <t>REG00355-S2</t>
  </si>
  <si>
    <t>Sulfate, Nitrate, Hydrochloric Acid</t>
  </si>
  <si>
    <t>REG00355-S3</t>
  </si>
  <si>
    <t>REG00356</t>
  </si>
  <si>
    <t>REG00356-S1</t>
  </si>
  <si>
    <t>INV00356</t>
  </si>
  <si>
    <t>012-XXX-654</t>
  </si>
  <si>
    <t>REG00356-S2</t>
  </si>
  <si>
    <t>Sodium Hydroxide, Iron, Phosphate</t>
  </si>
  <si>
    <t>REG00357</t>
  </si>
  <si>
    <t>REG00357-S1</t>
  </si>
  <si>
    <t>INV00357</t>
  </si>
  <si>
    <t>012-XXX-782</t>
  </si>
  <si>
    <t>Phosphate, Sodium Hydroxide, Nitrate</t>
  </si>
  <si>
    <t>REG00357-S2</t>
  </si>
  <si>
    <t>REG00357-S3</t>
  </si>
  <si>
    <t>REG00357-S4</t>
  </si>
  <si>
    <t>REG00358</t>
  </si>
  <si>
    <t>REG00358-S1</t>
  </si>
  <si>
    <t>INV00358</t>
  </si>
  <si>
    <t>REG00358-S2</t>
  </si>
  <si>
    <t>Nitrite, Sodium, Ammonia, Calcium</t>
  </si>
  <si>
    <t>REG00358-S3</t>
  </si>
  <si>
    <t>REG00358-S4</t>
  </si>
  <si>
    <t>Sulfate, Sulfuric Acid, Chloride</t>
  </si>
  <si>
    <t>REG00358-S5</t>
  </si>
  <si>
    <t>REG00359</t>
  </si>
  <si>
    <t>REG00359-S1</t>
  </si>
  <si>
    <t>INV00359</t>
  </si>
  <si>
    <t>012-XXX-398</t>
  </si>
  <si>
    <t>REG00359-S2</t>
  </si>
  <si>
    <t>Phosphate, Nitrite, Ammonia</t>
  </si>
  <si>
    <t>REG00359-S3</t>
  </si>
  <si>
    <t>REG00359-S4</t>
  </si>
  <si>
    <t>Ammonia, Lead, Nitrite, Sodium</t>
  </si>
  <si>
    <t>REG00360</t>
  </si>
  <si>
    <t>REG00360-S1</t>
  </si>
  <si>
    <t>INV00360</t>
  </si>
  <si>
    <t>012-XXX-740</t>
  </si>
  <si>
    <t>Lead, Iron, Sulfate, Sodium</t>
  </si>
  <si>
    <t>REG00360-S2</t>
  </si>
  <si>
    <t>Ammonia, Hydrochloric Acid, Lead, Sulfate</t>
  </si>
  <si>
    <t>REG00360-S3</t>
  </si>
  <si>
    <t>Chloride, Phosphate, Sodium</t>
  </si>
  <si>
    <t>REG00360-S4</t>
  </si>
  <si>
    <t>REG00361</t>
  </si>
  <si>
    <t>REG00361-S1</t>
  </si>
  <si>
    <t>INV00361</t>
  </si>
  <si>
    <t>REG00361-S2</t>
  </si>
  <si>
    <t>Sodium Hydroxide, Magnesium, Calcium</t>
  </si>
  <si>
    <t>REG00361-S3</t>
  </si>
  <si>
    <t>Sulfuric Acid, Potassium, Nitrate, Nitrite</t>
  </si>
  <si>
    <t>REG00361-S4</t>
  </si>
  <si>
    <t>Iron, Calcium, Nitrite</t>
  </si>
  <si>
    <t>REG00361-S5</t>
  </si>
  <si>
    <t>Nitrate, Chloride, Ammonia, Lead</t>
  </si>
  <si>
    <t>REG00362</t>
  </si>
  <si>
    <t>REG00362-S1</t>
  </si>
  <si>
    <t>INV00362</t>
  </si>
  <si>
    <t>012-XXX-321</t>
  </si>
  <si>
    <t>REG00363</t>
  </si>
  <si>
    <t>REG00363-S1</t>
  </si>
  <si>
    <t>INV00363</t>
  </si>
  <si>
    <t>012-XXX-964</t>
  </si>
  <si>
    <t>REG00363-S2</t>
  </si>
  <si>
    <t>REG00363-S3</t>
  </si>
  <si>
    <t>REG00363-S4</t>
  </si>
  <si>
    <t>REG00364</t>
  </si>
  <si>
    <t>REG00364-S1</t>
  </si>
  <si>
    <t>INV00364</t>
  </si>
  <si>
    <t>012-XXX-885</t>
  </si>
  <si>
    <t>REG00364-S2</t>
  </si>
  <si>
    <t>REG00364-S3</t>
  </si>
  <si>
    <t>REG00364-S4</t>
  </si>
  <si>
    <t>Nitrate, Phosphate, Calcium, Nitrite</t>
  </si>
  <si>
    <t>REG00365</t>
  </si>
  <si>
    <t>REG00365-S1</t>
  </si>
  <si>
    <t>INV00365</t>
  </si>
  <si>
    <t>012-XXX-707</t>
  </si>
  <si>
    <t>REG00365-S2</t>
  </si>
  <si>
    <t>Sodium, Nitrate, Sulfuric Acid, Ammonia</t>
  </si>
  <si>
    <t>REG00365-S3</t>
  </si>
  <si>
    <t>Calcium, Sulfuric Acid, Potassium</t>
  </si>
  <si>
    <t>REG00366</t>
  </si>
  <si>
    <t>REG00366-S1</t>
  </si>
  <si>
    <t>INV00366</t>
  </si>
  <si>
    <t>012-XXX-961</t>
  </si>
  <si>
    <t>REG00367</t>
  </si>
  <si>
    <t>REG00367-S1</t>
  </si>
  <si>
    <t>INV00367</t>
  </si>
  <si>
    <t>Ammonia, Nitrate, Magnesium</t>
  </si>
  <si>
    <t>REG00368</t>
  </si>
  <si>
    <t>REG00368-S1</t>
  </si>
  <si>
    <t>INV00368</t>
  </si>
  <si>
    <t>012-XXX-198</t>
  </si>
  <si>
    <t>Ammonia, Sodium Hydroxide, Sulfuric Acid, Calcium</t>
  </si>
  <si>
    <t>2026-01-16</t>
  </si>
  <si>
    <t>REG00369</t>
  </si>
  <si>
    <t>REG00369-S1</t>
  </si>
  <si>
    <t>INV00369</t>
  </si>
  <si>
    <t>012-XXX-849</t>
  </si>
  <si>
    <t>Sodium, Sodium Hydroxide, Lead, Potassium</t>
  </si>
  <si>
    <t>REG00369-S2</t>
  </si>
  <si>
    <t>REG00369-S3</t>
  </si>
  <si>
    <t>REG00370</t>
  </si>
  <si>
    <t>REG00370-S1</t>
  </si>
  <si>
    <t>INV00370</t>
  </si>
  <si>
    <t>012-XXX-374</t>
  </si>
  <si>
    <t>Hydrochloric Acid, Sulfuric Acid</t>
  </si>
  <si>
    <t>REG00370-S2</t>
  </si>
  <si>
    <t>REG00370-S3</t>
  </si>
  <si>
    <t>REG00371</t>
  </si>
  <si>
    <t>REG00371-S1</t>
  </si>
  <si>
    <t>INV00371</t>
  </si>
  <si>
    <t>012-XXX-725</t>
  </si>
  <si>
    <t>REG00371-S2</t>
  </si>
  <si>
    <t>REG00372</t>
  </si>
  <si>
    <t>REG00372-S1</t>
  </si>
  <si>
    <t>INV00372</t>
  </si>
  <si>
    <t>012-XXX-739</t>
  </si>
  <si>
    <t>REG00373</t>
  </si>
  <si>
    <t>REG00373-S1</t>
  </si>
  <si>
    <t>INV00373</t>
  </si>
  <si>
    <t>012-XXX-641</t>
  </si>
  <si>
    <t>REG00373-S2</t>
  </si>
  <si>
    <t>Iron, Potassium, Ammonia</t>
  </si>
  <si>
    <t>REG00373-S3</t>
  </si>
  <si>
    <t>REG00373-S4</t>
  </si>
  <si>
    <t>Magnesium, Calcium, Sodium Hydroxide</t>
  </si>
  <si>
    <t>REG00373-S5</t>
  </si>
  <si>
    <t>Iron, Potassium, Chloride</t>
  </si>
  <si>
    <t>REG00374</t>
  </si>
  <si>
    <t>REG00374-S1</t>
  </si>
  <si>
    <t>INV00374</t>
  </si>
  <si>
    <t>012-XXX-602</t>
  </si>
  <si>
    <t>REG00375</t>
  </si>
  <si>
    <t>REG00375-S1</t>
  </si>
  <si>
    <t>INV00375</t>
  </si>
  <si>
    <t>Potassium, Chloride, Iron</t>
  </si>
  <si>
    <t>REG00375-S2</t>
  </si>
  <si>
    <t>Sulfuric Acid, Nitrite, Lead</t>
  </si>
  <si>
    <t>REG00376</t>
  </si>
  <si>
    <t>REG00376-S1</t>
  </si>
  <si>
    <t>INV00376</t>
  </si>
  <si>
    <t>Sulfate, Sodium Hydroxide</t>
  </si>
  <si>
    <t>REG00376-S2</t>
  </si>
  <si>
    <t>REG00376-S3</t>
  </si>
  <si>
    <t>Magnesium, Calcium, Ammonia, Nitrite</t>
  </si>
  <si>
    <t>REG00376-S4</t>
  </si>
  <si>
    <t>REG00377</t>
  </si>
  <si>
    <t>REG00377-S1</t>
  </si>
  <si>
    <t>INV00377</t>
  </si>
  <si>
    <t>012-XXX-414</t>
  </si>
  <si>
    <t>REG00377-S2</t>
  </si>
  <si>
    <t>REG00377-S3</t>
  </si>
  <si>
    <t>Hydrochloric Acid, Sulfate, Potassium</t>
  </si>
  <si>
    <t>REG00377-S4</t>
  </si>
  <si>
    <t>REG00378</t>
  </si>
  <si>
    <t>REG00378-S1</t>
  </si>
  <si>
    <t>INV00378</t>
  </si>
  <si>
    <t>012-XXX-679</t>
  </si>
  <si>
    <t>Potassium, Lead, Chloride, Sulfate</t>
  </si>
  <si>
    <t>REG00378-S2</t>
  </si>
  <si>
    <t>Phosphate, Nitrate, Sodium Hydroxide</t>
  </si>
  <si>
    <t>REG00379</t>
  </si>
  <si>
    <t>REG00379-S1</t>
  </si>
  <si>
    <t>INV00379</t>
  </si>
  <si>
    <t>012-XXX-959</t>
  </si>
  <si>
    <t>Magnesium, Sulfate, Lead, Potassium</t>
  </si>
  <si>
    <t>REG00379-S2</t>
  </si>
  <si>
    <t>REG00379-S3</t>
  </si>
  <si>
    <t>REG00379-S4</t>
  </si>
  <si>
    <t>REG00380</t>
  </si>
  <si>
    <t>REG00380-S1</t>
  </si>
  <si>
    <t>INV00380</t>
  </si>
  <si>
    <t>REG00380-S2</t>
  </si>
  <si>
    <t>Sulfate, Sulfuric Acid, Ammonia, Chloride</t>
  </si>
  <si>
    <t>REG00380-S3</t>
  </si>
  <si>
    <t>REG00381</t>
  </si>
  <si>
    <t>REG00381-S1</t>
  </si>
  <si>
    <t>INV00381</t>
  </si>
  <si>
    <t>012-XXX-400</t>
  </si>
  <si>
    <t>Magnesium, Nitrite, Calcium</t>
  </si>
  <si>
    <t>REG00381-S2</t>
  </si>
  <si>
    <t>REG00381-S3</t>
  </si>
  <si>
    <t>Sulfuric Acid, Lead</t>
  </si>
  <si>
    <t>REG00381-S4</t>
  </si>
  <si>
    <t>Phosphate, Nitrite, Sulfuric Acid, Lead</t>
  </si>
  <si>
    <t>REG00381-S5</t>
  </si>
  <si>
    <t>Phosphate, Potassium, Hydrochloric Acid</t>
  </si>
  <si>
    <t>REG00382</t>
  </si>
  <si>
    <t>REG00382-S1</t>
  </si>
  <si>
    <t>INV00382</t>
  </si>
  <si>
    <t>012-XXX-896</t>
  </si>
  <si>
    <t>REG00382-S2</t>
  </si>
  <si>
    <t>Lead, Sodium, Chloride</t>
  </si>
  <si>
    <t>REG00382-S3</t>
  </si>
  <si>
    <t>REG00382-S4</t>
  </si>
  <si>
    <t>REG00383</t>
  </si>
  <si>
    <t>REG00383-S1</t>
  </si>
  <si>
    <t>INV00383</t>
  </si>
  <si>
    <t>Chloride, Iron</t>
  </si>
  <si>
    <t>REG00383-S2</t>
  </si>
  <si>
    <t>REG00383-S3</t>
  </si>
  <si>
    <t>REG00383-S4</t>
  </si>
  <si>
    <t>REG00384</t>
  </si>
  <si>
    <t>REG00384-S1</t>
  </si>
  <si>
    <t>INV00384</t>
  </si>
  <si>
    <t>012-XXX-474</t>
  </si>
  <si>
    <t>REG00384-S2</t>
  </si>
  <si>
    <t>REG00384-S3</t>
  </si>
  <si>
    <t>REG00384-S4</t>
  </si>
  <si>
    <t>Nitrite, Hydrochloric Acid, Nitrate</t>
  </si>
  <si>
    <t>REG00384-S5</t>
  </si>
  <si>
    <t>Calcium, Iron, Magnesium, Ammonia</t>
  </si>
  <si>
    <t>REG00385</t>
  </si>
  <si>
    <t>REG00385-S1</t>
  </si>
  <si>
    <t>INV00385</t>
  </si>
  <si>
    <t>012-XXX-418</t>
  </si>
  <si>
    <t>REG00385-S2</t>
  </si>
  <si>
    <t>Phosphate, Sodium Hydroxide, Chloride, Nitrate</t>
  </si>
  <si>
    <t>REG00385-S3</t>
  </si>
  <si>
    <t>Phosphate, Potassium, Calcium, Magnesium</t>
  </si>
  <si>
    <t>REG00385-S4</t>
  </si>
  <si>
    <t>Sulfuric Acid, Phosphate, Nitrite, Chloride</t>
  </si>
  <si>
    <t>REG00385-S5</t>
  </si>
  <si>
    <t>REG00386</t>
  </si>
  <si>
    <t>REG00386-S1</t>
  </si>
  <si>
    <t>INV00386</t>
  </si>
  <si>
    <t>012-XXX-155</t>
  </si>
  <si>
    <t>Hydrochloric Acid, Nitrate, Magnesium, Sodium</t>
  </si>
  <si>
    <t>2026-01-15</t>
  </si>
  <si>
    <t>REG00386-S2</t>
  </si>
  <si>
    <t>Sodium, Lead, Nitrate, Calcium</t>
  </si>
  <si>
    <t>REG00386-S3</t>
  </si>
  <si>
    <t>REG00387</t>
  </si>
  <si>
    <t>REG00387-S1</t>
  </si>
  <si>
    <t>INV00387</t>
  </si>
  <si>
    <t>012-XXX-671</t>
  </si>
  <si>
    <t>REG00387-S2</t>
  </si>
  <si>
    <t>Sulfuric Acid, Lead, Iron, Chloride</t>
  </si>
  <si>
    <t>REG00387-S3</t>
  </si>
  <si>
    <t>Ammonia, Sulfuric Acid, Sodium Hydroxide, Lead</t>
  </si>
  <si>
    <t>REG00387-S4</t>
  </si>
  <si>
    <t>REG00387-S5</t>
  </si>
  <si>
    <t>Calcium, Magnesium, Sodium, Chloride</t>
  </si>
  <si>
    <t>REG00388</t>
  </si>
  <si>
    <t>REG00388-S1</t>
  </si>
  <si>
    <t>INV00388</t>
  </si>
  <si>
    <t>Ammonia, Chloride, Lead, Sulfuric Acid</t>
  </si>
  <si>
    <t>REG00389</t>
  </si>
  <si>
    <t>REG00389-S1</t>
  </si>
  <si>
    <t>INV00389</t>
  </si>
  <si>
    <t>Sulfuric Acid, Potassium, Nitrate, Chloride</t>
  </si>
  <si>
    <t>REG00389-S2</t>
  </si>
  <si>
    <t>REG00390</t>
  </si>
  <si>
    <t>REG00390-S1</t>
  </si>
  <si>
    <t>INV00390</t>
  </si>
  <si>
    <t>Sulfuric Acid, Chloride, Ammonia, Nitrite</t>
  </si>
  <si>
    <t>REG00390-S2</t>
  </si>
  <si>
    <t>REG00390-S3</t>
  </si>
  <si>
    <t>Magnesium, Ammonia, Hydrochloric Acid, Nitrate</t>
  </si>
  <si>
    <t>REG00391</t>
  </si>
  <si>
    <t>REG00391-S1</t>
  </si>
  <si>
    <t>INV00391</t>
  </si>
  <si>
    <t>REG00391-S2</t>
  </si>
  <si>
    <t>Chloride, Nitrate, Hydrochloric Acid</t>
  </si>
  <si>
    <t>REG00392</t>
  </si>
  <si>
    <t>REG00392-S1</t>
  </si>
  <si>
    <t>INV00392</t>
  </si>
  <si>
    <t>012-XXX-203</t>
  </si>
  <si>
    <t>Iron, Potassium, Nitrite, Ammonia</t>
  </si>
  <si>
    <t>REG00392-S2</t>
  </si>
  <si>
    <t>REG00392-S3</t>
  </si>
  <si>
    <t>REG00392-S4</t>
  </si>
  <si>
    <t>Sodium Hydroxide, Nitrate</t>
  </si>
  <si>
    <t>REG00393</t>
  </si>
  <si>
    <t>REG00393-S1</t>
  </si>
  <si>
    <t>INV00393</t>
  </si>
  <si>
    <t>012-XXX-234</t>
  </si>
  <si>
    <t>REG00394</t>
  </si>
  <si>
    <t>REG00394-S1</t>
  </si>
  <si>
    <t>INV00394</t>
  </si>
  <si>
    <t>012-XXX-200</t>
  </si>
  <si>
    <t>Nitrite, Calcium, Sulfuric Acid</t>
  </si>
  <si>
    <t>REG00394-S2</t>
  </si>
  <si>
    <t>Nitrate, Sodium, Potassium</t>
  </si>
  <si>
    <t>REG00395</t>
  </si>
  <si>
    <t>REG00395-S1</t>
  </si>
  <si>
    <t>INV00395</t>
  </si>
  <si>
    <t>012-XXX-201</t>
  </si>
  <si>
    <t>REG00396</t>
  </si>
  <si>
    <t>REG00396-S1</t>
  </si>
  <si>
    <t>INV00396</t>
  </si>
  <si>
    <t>012-XXX-672</t>
  </si>
  <si>
    <t>Nitrite, Ammonia, Phosphate</t>
  </si>
  <si>
    <t>REG00397</t>
  </si>
  <si>
    <t>REG00397-S1</t>
  </si>
  <si>
    <t>INV00397</t>
  </si>
  <si>
    <t>012-XXX-526</t>
  </si>
  <si>
    <t>REG00397-S2</t>
  </si>
  <si>
    <t>REG00397-S3</t>
  </si>
  <si>
    <t>Sulfuric Acid, Magnesium, Nitrate, Hydrochloric Acid</t>
  </si>
  <si>
    <t>REG00397-S4</t>
  </si>
  <si>
    <t>REG00397-S5</t>
  </si>
  <si>
    <t>Sodium Hydroxide, Nitrite, Sodium, Magnesium</t>
  </si>
  <si>
    <t>REG00398</t>
  </si>
  <si>
    <t>REG00398-S1</t>
  </si>
  <si>
    <t>INV00398</t>
  </si>
  <si>
    <t>012-XXX-376</t>
  </si>
  <si>
    <t>Magnesium, Chloride, Sodium Hydroxide, Lead</t>
  </si>
  <si>
    <t>REG00398-S2</t>
  </si>
  <si>
    <t>Sulfuric Acid, Hydrochloric Acid, Lead</t>
  </si>
  <si>
    <t>REG00398-S3</t>
  </si>
  <si>
    <t>Magnesium, Sulfuric Acid, Nitrite</t>
  </si>
  <si>
    <t>REG00399</t>
  </si>
  <si>
    <t>REG00399-S1</t>
  </si>
  <si>
    <t>INV00399</t>
  </si>
  <si>
    <t>012-XXX-646</t>
  </si>
  <si>
    <t>Sodium, Calcium, Sulfate</t>
  </si>
  <si>
    <t>REG00400</t>
  </si>
  <si>
    <t>REG00400-S1</t>
  </si>
  <si>
    <t>INV00400</t>
  </si>
  <si>
    <t>REG00400-S2</t>
  </si>
  <si>
    <t>REG00400-S3</t>
  </si>
  <si>
    <t>REG00400-S4</t>
  </si>
  <si>
    <t>Sodium, Potassium</t>
  </si>
  <si>
    <t>REG00400-S5</t>
  </si>
  <si>
    <t>REG00401</t>
  </si>
  <si>
    <t>REG00401-S1</t>
  </si>
  <si>
    <t>INV00401</t>
  </si>
  <si>
    <t>012-XXX-505</t>
  </si>
  <si>
    <t>Sulfate, Sodium Hydroxide, Ammonia, Magnesium</t>
  </si>
  <si>
    <t>REG00401-S2</t>
  </si>
  <si>
    <t>Magnesium, Nitrite, Nitrate, Ammonia</t>
  </si>
  <si>
    <t>REG00401-S3</t>
  </si>
  <si>
    <t>Hydrochloric Acid, Chloride, Ammonia, Magnesium</t>
  </si>
  <si>
    <t>REG00401-S4</t>
  </si>
  <si>
    <t>REG00402</t>
  </si>
  <si>
    <t>REG00402-S1</t>
  </si>
  <si>
    <t>INV00402</t>
  </si>
  <si>
    <t>REG00402-S2</t>
  </si>
  <si>
    <t>Sulfate, Nitrate, Calcium, Iron</t>
  </si>
  <si>
    <t>REG00402-S3</t>
  </si>
  <si>
    <t>REG00402-S4</t>
  </si>
  <si>
    <t>REG00402-S5</t>
  </si>
  <si>
    <t>Nitrite, Sulfate, Ammonia</t>
  </si>
  <si>
    <t>REG00403</t>
  </si>
  <si>
    <t>REG00403-S1</t>
  </si>
  <si>
    <t>INV00403</t>
  </si>
  <si>
    <t>012-XXX-517</t>
  </si>
  <si>
    <t>REG00403-S2</t>
  </si>
  <si>
    <t>REG00403-S3</t>
  </si>
  <si>
    <t>Ammonia, Phosphate, Magnesium, Hydrochloric Acid</t>
  </si>
  <si>
    <t>REG00403-S4</t>
  </si>
  <si>
    <t>REG00403-S5</t>
  </si>
  <si>
    <t>REG00404</t>
  </si>
  <si>
    <t>REG00404-S1</t>
  </si>
  <si>
    <t>INV00404</t>
  </si>
  <si>
    <t>012-XXX-942</t>
  </si>
  <si>
    <t>Iron, Phosphate, Sulfuric Acid</t>
  </si>
  <si>
    <t>REG00404-S2</t>
  </si>
  <si>
    <t>Iron, Sodium Hydroxide, Lead, Calcium</t>
  </si>
  <si>
    <t>REG00404-S3</t>
  </si>
  <si>
    <t>Calcium, Sulfate, Chloride</t>
  </si>
  <si>
    <t>REG00404-S4</t>
  </si>
  <si>
    <t>REG00404-S5</t>
  </si>
  <si>
    <t>REG00405</t>
  </si>
  <si>
    <t>REG00405-S1</t>
  </si>
  <si>
    <t>INV00405</t>
  </si>
  <si>
    <t>012-XXX-860</t>
  </si>
  <si>
    <t>Sulfuric Acid, Chloride, Ammonia</t>
  </si>
  <si>
    <t>REG00405-S2</t>
  </si>
  <si>
    <t>REG00406</t>
  </si>
  <si>
    <t>REG00406-S1</t>
  </si>
  <si>
    <t>INV00406</t>
  </si>
  <si>
    <t>012-XXX-263</t>
  </si>
  <si>
    <t>REG00406-S2</t>
  </si>
  <si>
    <t>Calcium, Nitrite, Iron</t>
  </si>
  <si>
    <t>REG00407</t>
  </si>
  <si>
    <t>REG00407-S1</t>
  </si>
  <si>
    <t>INV00407</t>
  </si>
  <si>
    <t>012-XXX-783</t>
  </si>
  <si>
    <t>REG00407-S2</t>
  </si>
  <si>
    <t>REG00408</t>
  </si>
  <si>
    <t>REG00408-S1</t>
  </si>
  <si>
    <t>INV00408</t>
  </si>
  <si>
    <t>012-XXX-485</t>
  </si>
  <si>
    <t>REG00408-S2</t>
  </si>
  <si>
    <t>REG00408-S3</t>
  </si>
  <si>
    <t>REG00408-S4</t>
  </si>
  <si>
    <t>REG00408-S5</t>
  </si>
  <si>
    <t>Nitrate, Calcium</t>
  </si>
  <si>
    <t>REG00409</t>
  </si>
  <si>
    <t>REG00409-S1</t>
  </si>
  <si>
    <t>INV00409</t>
  </si>
  <si>
    <t>012-XXX-902</t>
  </si>
  <si>
    <t>Nitrite, Sodium Hydroxide, Iron</t>
  </si>
  <si>
    <t>REG00410</t>
  </si>
  <si>
    <t>REG00410-S1</t>
  </si>
  <si>
    <t>INV00410</t>
  </si>
  <si>
    <t>012-XXX-135</t>
  </si>
  <si>
    <t>Ammonia, Phosphate, Nitrate, Sulfate</t>
  </si>
  <si>
    <t>REG00410-S2</t>
  </si>
  <si>
    <t>REG00410-S3</t>
  </si>
  <si>
    <t>Chloride, Sodium Hydroxide, Sodium, Iron</t>
  </si>
  <si>
    <t>REG00411</t>
  </si>
  <si>
    <t>REG00411-S1</t>
  </si>
  <si>
    <t>INV00411</t>
  </si>
  <si>
    <t>Sulfate, Calcium, Phosphate, Nitrite</t>
  </si>
  <si>
    <t>REG00411-S2</t>
  </si>
  <si>
    <t>Nitrite, Potassium, Ammonia</t>
  </si>
  <si>
    <t>REG00411-S3</t>
  </si>
  <si>
    <t>REG00412</t>
  </si>
  <si>
    <t>REG00412-S1</t>
  </si>
  <si>
    <t>INV00412</t>
  </si>
  <si>
    <t>012-XXX-859</t>
  </si>
  <si>
    <t>Sulfate, Phosphate, Nitrate, Magnesium</t>
  </si>
  <si>
    <t>REG00412-S2</t>
  </si>
  <si>
    <t>Nitrate, Sulfuric Acid</t>
  </si>
  <si>
    <t>REG00412-S3</t>
  </si>
  <si>
    <t>Iron, Chloride, Nitrate, Magnesium</t>
  </si>
  <si>
    <t>REG00412-S4</t>
  </si>
  <si>
    <t>Sodium Hydroxide, Phosphate, Potassium, Nitrite</t>
  </si>
  <si>
    <t>REG00412-S5</t>
  </si>
  <si>
    <t>Ammonia, Calcium, Nitrate, Sodium</t>
  </si>
  <si>
    <t>REG00413</t>
  </si>
  <si>
    <t>REG00413-S1</t>
  </si>
  <si>
    <t>INV00413</t>
  </si>
  <si>
    <t>012-XXX-320</t>
  </si>
  <si>
    <t>REG00413-S2</t>
  </si>
  <si>
    <t>REG00413-S3</t>
  </si>
  <si>
    <t>REG00413-S4</t>
  </si>
  <si>
    <t>Magnesium, Nitrate, Calcium, Phosphate</t>
  </si>
  <si>
    <t>REG00414</t>
  </si>
  <si>
    <t>REG00414-S1</t>
  </si>
  <si>
    <t>INV00414</t>
  </si>
  <si>
    <t>REG00414-S2</t>
  </si>
  <si>
    <t>REG00414-S3</t>
  </si>
  <si>
    <t>REG00414-S4</t>
  </si>
  <si>
    <t>REG00415</t>
  </si>
  <si>
    <t>REG00415-S1</t>
  </si>
  <si>
    <t>INV00415</t>
  </si>
  <si>
    <t>012-XXX-271</t>
  </si>
  <si>
    <t>Phosphate, Ammonia, Sodium, Sulfuric Acid</t>
  </si>
  <si>
    <t>REG00415-S2</t>
  </si>
  <si>
    <t>Lead, Sulfate, Iron, Nitrate</t>
  </si>
  <si>
    <t>REG00415-S3</t>
  </si>
  <si>
    <t>Chloride, Nitrate</t>
  </si>
  <si>
    <t>REG00415-S4</t>
  </si>
  <si>
    <t>Sulfuric Acid, Hydrochloric Acid, Ammonia, Sulfate</t>
  </si>
  <si>
    <t>REG00416</t>
  </si>
  <si>
    <t>REG00416-S1</t>
  </si>
  <si>
    <t>INV00416</t>
  </si>
  <si>
    <t>REG00416-S2</t>
  </si>
  <si>
    <t>Sodium Hydroxide, Iron, Phosphate, Lead</t>
  </si>
  <si>
    <t>REG00416-S3</t>
  </si>
  <si>
    <t>Calcium, Sulfuric Acid, Nitrate, Magnesium</t>
  </si>
  <si>
    <t>REG00416-S4</t>
  </si>
  <si>
    <t>Sodium Hydroxide, Chloride, Calcium</t>
  </si>
  <si>
    <t>REG00416-S5</t>
  </si>
  <si>
    <t>Hydrochloric Acid, Chloride, Iron, Sulfuric Acid</t>
  </si>
  <si>
    <t>REG00417</t>
  </si>
  <si>
    <t>REG00417-S1</t>
  </si>
  <si>
    <t>INV00417</t>
  </si>
  <si>
    <t>REG00417-S2</t>
  </si>
  <si>
    <t>REG00417-S3</t>
  </si>
  <si>
    <t>Sodium, Sulfate, Chloride, Nitrate</t>
  </si>
  <si>
    <t>REG00417-S4</t>
  </si>
  <si>
    <t>Ammonia, Sulfuric Acid, Sulfate</t>
  </si>
  <si>
    <t>REG00417-S5</t>
  </si>
  <si>
    <t>Nitrite, Chloride, Sulfate</t>
  </si>
  <si>
    <t>REG00418</t>
  </si>
  <si>
    <t>REG00418-S1</t>
  </si>
  <si>
    <t>INV00418</t>
  </si>
  <si>
    <t>012-XXX-166</t>
  </si>
  <si>
    <t>Sodium Hydroxide, Chloride, Ammonia, Calcium</t>
  </si>
  <si>
    <t>REG00418-S2</t>
  </si>
  <si>
    <t>Potassium, Lead, Iron, Hydrochloric Acid</t>
  </si>
  <si>
    <t>REG00418-S3</t>
  </si>
  <si>
    <t>REG00418-S4</t>
  </si>
  <si>
    <t>Calcium, Lead, Sodium, Magnesium</t>
  </si>
  <si>
    <t>REG00419</t>
  </si>
  <si>
    <t>REG00419-S1</t>
  </si>
  <si>
    <t>INV00419</t>
  </si>
  <si>
    <t>Potassium, Phosphate, Ammonia</t>
  </si>
  <si>
    <t>REG00419-S2</t>
  </si>
  <si>
    <t>Hydrochloric Acid, Chloride, Nitrite, Iron</t>
  </si>
  <si>
    <t>REG00419-S3</t>
  </si>
  <si>
    <t>REG00419-S4</t>
  </si>
  <si>
    <t>Lead, Nitrite, Ammonia, Sodium</t>
  </si>
  <si>
    <t>REG00419-S5</t>
  </si>
  <si>
    <t>REG00420</t>
  </si>
  <si>
    <t>REG00420-S1</t>
  </si>
  <si>
    <t>INV00420</t>
  </si>
  <si>
    <t>012-XXX-643</t>
  </si>
  <si>
    <t>REG00421</t>
  </si>
  <si>
    <t>REG00421-S1</t>
  </si>
  <si>
    <t>INV00421</t>
  </si>
  <si>
    <t>012-XXX-385</t>
  </si>
  <si>
    <t>Calcium, Sulfuric Acid, Sulfate</t>
  </si>
  <si>
    <t>REG00421-S2</t>
  </si>
  <si>
    <t>REG00422</t>
  </si>
  <si>
    <t>REG00422-S1</t>
  </si>
  <si>
    <t>INV00422</t>
  </si>
  <si>
    <t>Sulfuric Acid, Chloride, Sulfate, Phosphate</t>
  </si>
  <si>
    <t>REG00422-S2</t>
  </si>
  <si>
    <t>Potassium, Nitrate, Calcium</t>
  </si>
  <si>
    <t>REG00422-S3</t>
  </si>
  <si>
    <t>Hydrochloric Acid, Calcium, Iron</t>
  </si>
  <si>
    <t>REG00422-S4</t>
  </si>
  <si>
    <t>Sulfate, Chloride, Iron</t>
  </si>
  <si>
    <t>REG00422-S5</t>
  </si>
  <si>
    <t>Sulfuric Acid, Calcium, Sulfate, Nitrite</t>
  </si>
  <si>
    <t>REG00423</t>
  </si>
  <si>
    <t>REG00423-S1</t>
  </si>
  <si>
    <t>INV00423</t>
  </si>
  <si>
    <t>012-XXX-573</t>
  </si>
  <si>
    <t>REG00423-S2</t>
  </si>
  <si>
    <t>Ammonia, Sodium, Magnesium, Sodium Hydroxide</t>
  </si>
  <si>
    <t>REG00423-S3</t>
  </si>
  <si>
    <t>Hydrochloric Acid, Magnesium, Sulfate</t>
  </si>
  <si>
    <t>REG00423-S4</t>
  </si>
  <si>
    <t>REG00424</t>
  </si>
  <si>
    <t>REG00424-S1</t>
  </si>
  <si>
    <t>INV00424</t>
  </si>
  <si>
    <t>012-XXX-108</t>
  </si>
  <si>
    <t>REG00424-S2</t>
  </si>
  <si>
    <t>REG00425</t>
  </si>
  <si>
    <t>REG00425-S1</t>
  </si>
  <si>
    <t>INV00425</t>
  </si>
  <si>
    <t>Nitrite, Iron, Hydrochloric Acid</t>
  </si>
  <si>
    <t>REG00425-S2</t>
  </si>
  <si>
    <t>Chloride, Hydrochloric Acid, Lead</t>
  </si>
  <si>
    <t>REG00425-S3</t>
  </si>
  <si>
    <t>REG00425-S4</t>
  </si>
  <si>
    <t>REG00426</t>
  </si>
  <si>
    <t>REG00426-S1</t>
  </si>
  <si>
    <t>INV00426</t>
  </si>
  <si>
    <t>Ammonia, Hydrochloric Acid, Nitrite, Chloride</t>
  </si>
  <si>
    <t>REG00426-S2</t>
  </si>
  <si>
    <t>REG00427</t>
  </si>
  <si>
    <t>REG00427-S1</t>
  </si>
  <si>
    <t>INV00427</t>
  </si>
  <si>
    <t>Sulfate, Potassium, Magnesium, Lead</t>
  </si>
  <si>
    <t>REG00427-S2</t>
  </si>
  <si>
    <t>REG00427-S3</t>
  </si>
  <si>
    <t>REG00427-S4</t>
  </si>
  <si>
    <t>REG00427-S5</t>
  </si>
  <si>
    <t>Potassium, Sulfate, Chloride</t>
  </si>
  <si>
    <t>REG00428</t>
  </si>
  <si>
    <t>REG00428-S1</t>
  </si>
  <si>
    <t>INV00428</t>
  </si>
  <si>
    <t>012-XXX-611</t>
  </si>
  <si>
    <t>Magnesium, Potassium, Phosphate</t>
  </si>
  <si>
    <t>REG00429</t>
  </si>
  <si>
    <t>REG00429-S1</t>
  </si>
  <si>
    <t>INV00429</t>
  </si>
  <si>
    <t>012-XXX-884</t>
  </si>
  <si>
    <t>Hydrochloric Acid, Sulfate, Iron</t>
  </si>
  <si>
    <t>REG00429-S2</t>
  </si>
  <si>
    <t>Potassium, Hydrochloric Acid, Phosphate, Lead</t>
  </si>
  <si>
    <t>REG00430</t>
  </si>
  <si>
    <t>REG00430-S1</t>
  </si>
  <si>
    <t>INV00430</t>
  </si>
  <si>
    <t>Ammonia, Iron</t>
  </si>
  <si>
    <t>REG00430-S2</t>
  </si>
  <si>
    <t>Lead, Chloride, Sulfate, Calcium</t>
  </si>
  <si>
    <t>REG00430-S3</t>
  </si>
  <si>
    <t>REG00430-S4</t>
  </si>
  <si>
    <t>Sulfuric Acid, Nitrate, Nitrite, Calcium</t>
  </si>
  <si>
    <t>REG00431</t>
  </si>
  <si>
    <t>REG00431-S1</t>
  </si>
  <si>
    <t>INV00431</t>
  </si>
  <si>
    <t>Chloride, Calcium, Phosphate, Hydrochloric Acid</t>
  </si>
  <si>
    <t>REG00431-S2</t>
  </si>
  <si>
    <t>REG00431-S3</t>
  </si>
  <si>
    <t>Iron, Sodium Hydroxide, Calcium, Nitrite</t>
  </si>
  <si>
    <t>REG00431-S4</t>
  </si>
  <si>
    <t>Nitrite, Iron</t>
  </si>
  <si>
    <t>REG00432</t>
  </si>
  <si>
    <t>REG00432-S1</t>
  </si>
  <si>
    <t>INV00432</t>
  </si>
  <si>
    <t>REG00433</t>
  </si>
  <si>
    <t>REG00433-S1</t>
  </si>
  <si>
    <t>INV00433</t>
  </si>
  <si>
    <t>012-XXX-820</t>
  </si>
  <si>
    <t>REG00433-S2</t>
  </si>
  <si>
    <t>REG00434</t>
  </si>
  <si>
    <t>REG00434-S1</t>
  </si>
  <si>
    <t>INV00434</t>
  </si>
  <si>
    <t>012-XXX-998</t>
  </si>
  <si>
    <t>Chloride, Sulfate, Nitrite, Sodium Hydroxide</t>
  </si>
  <si>
    <t>REG00435</t>
  </si>
  <si>
    <t>REG00435-S1</t>
  </si>
  <si>
    <t>INV00435</t>
  </si>
  <si>
    <t>REG00435-S2</t>
  </si>
  <si>
    <t>REG00436</t>
  </si>
  <si>
    <t>REG00436-S1</t>
  </si>
  <si>
    <t>INV00436</t>
  </si>
  <si>
    <t>012-XXX-865</t>
  </si>
  <si>
    <t>Ammonia, Sulfuric Acid, Phosphate</t>
  </si>
  <si>
    <t>REG00436-S2</t>
  </si>
  <si>
    <t>Lead, Nitrite, Ammonia, Calcium</t>
  </si>
  <si>
    <t>REG00436-S3</t>
  </si>
  <si>
    <t>REG00437</t>
  </si>
  <si>
    <t>REG00437-S1</t>
  </si>
  <si>
    <t>INV00437</t>
  </si>
  <si>
    <t>012-XXX-945</t>
  </si>
  <si>
    <t>REG00437-S2</t>
  </si>
  <si>
    <t>REG00437-S3</t>
  </si>
  <si>
    <t>REG00437-S4</t>
  </si>
  <si>
    <t>Hydrochloric Acid, Sulfuric Acid, Sodium</t>
  </si>
  <si>
    <t>REG00438</t>
  </si>
  <si>
    <t>REG00438-S1</t>
  </si>
  <si>
    <t>INV00438</t>
  </si>
  <si>
    <t>012-XXX-448</t>
  </si>
  <si>
    <t>REG00438-S2</t>
  </si>
  <si>
    <t>REG00439</t>
  </si>
  <si>
    <t>REG00439-S1</t>
  </si>
  <si>
    <t>INV00439</t>
  </si>
  <si>
    <t>012-XXX-819</t>
  </si>
  <si>
    <t>Sulfate, Chloride, Sulfuric Acid, Magnesium</t>
  </si>
  <si>
    <t>REG00440</t>
  </si>
  <si>
    <t>REG00440-S1</t>
  </si>
  <si>
    <t>INV00440</t>
  </si>
  <si>
    <t>012-XXX-364</t>
  </si>
  <si>
    <t>Sulfuric Acid, Hydrochloric Acid, Phosphate, Ammonia</t>
  </si>
  <si>
    <t>REG00440-S2</t>
  </si>
  <si>
    <t>Hydrochloric Acid, Chloride, Phosphate</t>
  </si>
  <si>
    <t>REG00440-S3</t>
  </si>
  <si>
    <t>REG00441</t>
  </si>
  <si>
    <t>REG00441-S1</t>
  </si>
  <si>
    <t>INV00441</t>
  </si>
  <si>
    <t>012-XXX-745</t>
  </si>
  <si>
    <t>REG00441-S2</t>
  </si>
  <si>
    <t>REG00441-S3</t>
  </si>
  <si>
    <t>REG00441-S4</t>
  </si>
  <si>
    <t>REG00441-S5</t>
  </si>
  <si>
    <t>REG00442</t>
  </si>
  <si>
    <t>REG00442-S1</t>
  </si>
  <si>
    <t>INV00442</t>
  </si>
  <si>
    <t>REG00442-S2</t>
  </si>
  <si>
    <t>Nitrate, Calcium, Hydrochloric Acid, Ammonia</t>
  </si>
  <si>
    <t>REG00442-S3</t>
  </si>
  <si>
    <t>REG00443</t>
  </si>
  <si>
    <t>REG00443-S1</t>
  </si>
  <si>
    <t>INV00443</t>
  </si>
  <si>
    <t>012-XXX-525</t>
  </si>
  <si>
    <t>Sulfate, Lead, Sodium, Hydrochloric Acid</t>
  </si>
  <si>
    <t>REG00443-S2</t>
  </si>
  <si>
    <t>REG00443-S3</t>
  </si>
  <si>
    <t>REG00443-S4</t>
  </si>
  <si>
    <t>REG00444</t>
  </si>
  <si>
    <t>REG00444-S1</t>
  </si>
  <si>
    <t>INV00444</t>
  </si>
  <si>
    <t>012-XXX-157</t>
  </si>
  <si>
    <t>REG00444-S2</t>
  </si>
  <si>
    <t>Phosphate, Nitrate, Sodium, Magnesium</t>
  </si>
  <si>
    <t>REG00444-S3</t>
  </si>
  <si>
    <t>REG00444-S4</t>
  </si>
  <si>
    <t>REG00444-S5</t>
  </si>
  <si>
    <t>REG00445</t>
  </si>
  <si>
    <t>REG00445-S1</t>
  </si>
  <si>
    <t>INV00445</t>
  </si>
  <si>
    <t>012-XXX-185</t>
  </si>
  <si>
    <t>REG00446</t>
  </si>
  <si>
    <t>REG00446-S1</t>
  </si>
  <si>
    <t>INV00446</t>
  </si>
  <si>
    <t>012-XXX-984</t>
  </si>
  <si>
    <t>REG00447</t>
  </si>
  <si>
    <t>REG00447-S1</t>
  </si>
  <si>
    <t>INV00447</t>
  </si>
  <si>
    <t>Sodium Hydroxide, Nitrite, Nitrate</t>
  </si>
  <si>
    <t>REG00447-S2</t>
  </si>
  <si>
    <t>REG00448</t>
  </si>
  <si>
    <t>REG00448-S1</t>
  </si>
  <si>
    <t>INV00448</t>
  </si>
  <si>
    <t>012-XXX-568</t>
  </si>
  <si>
    <t>Sulfuric Acid, Sodium, Lead, Phosphate</t>
  </si>
  <si>
    <t>REG00448-S2</t>
  </si>
  <si>
    <t>Ammonia, Calcium, Chloride, Sodium Hydroxide</t>
  </si>
  <si>
    <t>REG00448-S3</t>
  </si>
  <si>
    <t>Sodium Hydroxide, Ammonia, Iron</t>
  </si>
  <si>
    <t>REG00449</t>
  </si>
  <si>
    <t>REG00449-S1</t>
  </si>
  <si>
    <t>INV00449</t>
  </si>
  <si>
    <t>Chloride, Calcium, Sulfate, Sodium</t>
  </si>
  <si>
    <t>REG00450</t>
  </si>
  <si>
    <t>REG00450-S1</t>
  </si>
  <si>
    <t>INV00450</t>
  </si>
  <si>
    <t>REG00450-S2</t>
  </si>
  <si>
    <t>REG00450-S3</t>
  </si>
  <si>
    <t>REG00451</t>
  </si>
  <si>
    <t>REG00451-S1</t>
  </si>
  <si>
    <t>INV00451</t>
  </si>
  <si>
    <t>Nitrite, Potassium, Sodium, Calcium</t>
  </si>
  <si>
    <t>REG00452</t>
  </si>
  <si>
    <t>REG00452-S1</t>
  </si>
  <si>
    <t>INV00452</t>
  </si>
  <si>
    <t>Ammonia, Iron, Sulfuric Acid, Chloride</t>
  </si>
  <si>
    <t>REG00453</t>
  </si>
  <si>
    <t>REG00453-S1</t>
  </si>
  <si>
    <t>INV00453</t>
  </si>
  <si>
    <t>012-XXX-716</t>
  </si>
  <si>
    <t>REG00453-S2</t>
  </si>
  <si>
    <t>Sodium Hydroxide, Potassium, Sulfuric Acid</t>
  </si>
  <si>
    <t>REG00454</t>
  </si>
  <si>
    <t>REG00454-S1</t>
  </si>
  <si>
    <t>INV00454</t>
  </si>
  <si>
    <t>012-XXX-886</t>
  </si>
  <si>
    <t>REG00454-S2</t>
  </si>
  <si>
    <t>Sulfuric Acid, Hydrochloric Acid, Nitrate, Phosphate</t>
  </si>
  <si>
    <t>REG00454-S3</t>
  </si>
  <si>
    <t>REG00454-S4</t>
  </si>
  <si>
    <t>Lead, Iron, Sodium, Phosphate</t>
  </si>
  <si>
    <t>REG00454-S5</t>
  </si>
  <si>
    <t>Ammonia, Potassium, Chloride</t>
  </si>
  <si>
    <t>REG00455</t>
  </si>
  <si>
    <t>REG00455-S1</t>
  </si>
  <si>
    <t>INV00455</t>
  </si>
  <si>
    <t>012-XXX-145</t>
  </si>
  <si>
    <t>Iron, Nitrate, Hydrochloric Acid</t>
  </si>
  <si>
    <t>REG00455-S2</t>
  </si>
  <si>
    <t>Magnesium, Potassium</t>
  </si>
  <si>
    <t>REG00455-S3</t>
  </si>
  <si>
    <t>Nitrate, Sulfuric Acid, Iron</t>
  </si>
  <si>
    <t>REG00455-S4</t>
  </si>
  <si>
    <t>REG00455-S5</t>
  </si>
  <si>
    <t>Sodium Hydroxide, Ammonia, Sulfate, Sodium</t>
  </si>
  <si>
    <t>REG00456</t>
  </si>
  <si>
    <t>REG00456-S1</t>
  </si>
  <si>
    <t>INV00456</t>
  </si>
  <si>
    <t>Chloride, Calcium</t>
  </si>
  <si>
    <t>REG00457</t>
  </si>
  <si>
    <t>REG00457-S1</t>
  </si>
  <si>
    <t>INV00457</t>
  </si>
  <si>
    <t>012-XXX-535</t>
  </si>
  <si>
    <t>Sulfuric Acid, Nitrite, Sodium Hydroxide, Ammonia</t>
  </si>
  <si>
    <t>REG00457-S2</t>
  </si>
  <si>
    <t>REG00457-S3</t>
  </si>
  <si>
    <t>Calcium, Ammonia, Iron, Sulfate</t>
  </si>
  <si>
    <t>REG00457-S4</t>
  </si>
  <si>
    <t>Potassium, Sulfuric Acid, Iron, Lead</t>
  </si>
  <si>
    <t>REG00457-S5</t>
  </si>
  <si>
    <t>Lead, Sulfuric Acid, Phosphate, Nitrate</t>
  </si>
  <si>
    <t>REG00458</t>
  </si>
  <si>
    <t>REG00458-S1</t>
  </si>
  <si>
    <t>INV00458</t>
  </si>
  <si>
    <t>012-XXX-969</t>
  </si>
  <si>
    <t>Ammonia, Iron, Sodium Hydroxide, Magnesium</t>
  </si>
  <si>
    <t>REG00458-S2</t>
  </si>
  <si>
    <t>Phosphate, Magnesium, Iron</t>
  </si>
  <si>
    <t>REG00458-S3</t>
  </si>
  <si>
    <t>Iron, Chloride</t>
  </si>
  <si>
    <t>REG00459</t>
  </si>
  <si>
    <t>REG00459-S1</t>
  </si>
  <si>
    <t>INV00459</t>
  </si>
  <si>
    <t>REG00459-S2</t>
  </si>
  <si>
    <t>REG00459-S3</t>
  </si>
  <si>
    <t>Ammonia, Magnesium, Phosphate, Sulfuric Acid</t>
  </si>
  <si>
    <t>REG00459-S4</t>
  </si>
  <si>
    <t>Ammonia, Sodium Hydroxide, Phosphate, Sulfate</t>
  </si>
  <si>
    <t>REG00459-S5</t>
  </si>
  <si>
    <t>REG00460</t>
  </si>
  <si>
    <t>REG00460-S1</t>
  </si>
  <si>
    <t>INV00460</t>
  </si>
  <si>
    <t>012-XXX-795</t>
  </si>
  <si>
    <t>REG00460-S2</t>
  </si>
  <si>
    <t>REG00460-S3</t>
  </si>
  <si>
    <t>REG00460-S4</t>
  </si>
  <si>
    <t>REG00460-S5</t>
  </si>
  <si>
    <t>REG00461</t>
  </si>
  <si>
    <t>REG00461-S1</t>
  </si>
  <si>
    <t>INV00461</t>
  </si>
  <si>
    <t>012-XXX-965</t>
  </si>
  <si>
    <t>Ammonia, Nitrate, Lead, Sodium Hydroxide</t>
  </si>
  <si>
    <t>REG00461-S2</t>
  </si>
  <si>
    <t>Iron, Nitrite, Potassium, Ammonia</t>
  </si>
  <si>
    <t>REG00461-S3</t>
  </si>
  <si>
    <t>REG00461-S4</t>
  </si>
  <si>
    <t>Sulfate, Magnesium, Nitrate, Sodium Hydroxide</t>
  </si>
  <si>
    <t>REG00462</t>
  </si>
  <si>
    <t>REG00462-S1</t>
  </si>
  <si>
    <t>INV00462</t>
  </si>
  <si>
    <t>012-XXX-539</t>
  </si>
  <si>
    <t>Lead, Ammonia, Hydrochloric Acid</t>
  </si>
  <si>
    <t>REG00462-S2</t>
  </si>
  <si>
    <t>Sodium Hydroxide, Nitrite</t>
  </si>
  <si>
    <t>REG00462-S3</t>
  </si>
  <si>
    <t>Hydrochloric Acid, Sodium Hydroxide, Sodium</t>
  </si>
  <si>
    <t>REG00462-S4</t>
  </si>
  <si>
    <t>REG00463</t>
  </si>
  <si>
    <t>REG00463-S1</t>
  </si>
  <si>
    <t>INV00463</t>
  </si>
  <si>
    <t>012-XXX-518</t>
  </si>
  <si>
    <t>Chloride, Phosphate, Sodium, Hydrochloric Acid</t>
  </si>
  <si>
    <t>REG00464</t>
  </si>
  <si>
    <t>REG00464-S1</t>
  </si>
  <si>
    <t>INV00464</t>
  </si>
  <si>
    <t>REG00465</t>
  </si>
  <si>
    <t>REG00465-S1</t>
  </si>
  <si>
    <t>INV00465</t>
  </si>
  <si>
    <t>Nitrate, Sulfuric Acid, Nitrite, Iron</t>
  </si>
  <si>
    <t>REG00465-S2</t>
  </si>
  <si>
    <t>REG00465-S3</t>
  </si>
  <si>
    <t>REG00465-S4</t>
  </si>
  <si>
    <t>Nitrite, Phosphate, Sulfuric Acid, Hydrochloric Acid</t>
  </si>
  <si>
    <t>REG00465-S5</t>
  </si>
  <si>
    <t>Phosphate, Potassium</t>
  </si>
  <si>
    <t>REG00466</t>
  </si>
  <si>
    <t>REG00466-S1</t>
  </si>
  <si>
    <t>INV00466</t>
  </si>
  <si>
    <t>Calcium, Potassium</t>
  </si>
  <si>
    <t>REG00466-S2</t>
  </si>
  <si>
    <t>Lead, Sodium Hydroxide, Sulfate</t>
  </si>
  <si>
    <t>REG00466-S3</t>
  </si>
  <si>
    <t>REG00467</t>
  </si>
  <si>
    <t>REG00467-S1</t>
  </si>
  <si>
    <t>INV00467</t>
  </si>
  <si>
    <t>012-XXX-706</t>
  </si>
  <si>
    <t>REG00467-S2</t>
  </si>
  <si>
    <t>REG00468</t>
  </si>
  <si>
    <t>REG00468-S1</t>
  </si>
  <si>
    <t>INV00468</t>
  </si>
  <si>
    <t>Ammonia, Potassium, Lead</t>
  </si>
  <si>
    <t>REG00469</t>
  </si>
  <si>
    <t>REG00469-S1</t>
  </si>
  <si>
    <t>INV00469</t>
  </si>
  <si>
    <t>012-XXX-315</t>
  </si>
  <si>
    <t>Iron, Nitrate</t>
  </si>
  <si>
    <t>REG00469-S2</t>
  </si>
  <si>
    <t>Sulfuric Acid, Calcium</t>
  </si>
  <si>
    <t>REG00469-S3</t>
  </si>
  <si>
    <t>REG00469-S4</t>
  </si>
  <si>
    <t>Nitrate, Sulfuric Acid, Sulfate, Calcium</t>
  </si>
  <si>
    <t>REG00469-S5</t>
  </si>
  <si>
    <t>Potassium, Sodium Hydroxide, Nitrite</t>
  </si>
  <si>
    <t>REG00470</t>
  </si>
  <si>
    <t>REG00470-S1</t>
  </si>
  <si>
    <t>INV00470</t>
  </si>
  <si>
    <t>REG00470-S2</t>
  </si>
  <si>
    <t>Magnesium, Nitrite, Chloride, Phosphate</t>
  </si>
  <si>
    <t>REG00470-S3</t>
  </si>
  <si>
    <t>REG00471</t>
  </si>
  <si>
    <t>REG00471-S1</t>
  </si>
  <si>
    <t>INV00471</t>
  </si>
  <si>
    <t>012-XXX-529</t>
  </si>
  <si>
    <t>REG00472</t>
  </si>
  <si>
    <t>REG00472-S1</t>
  </si>
  <si>
    <t>INV00472</t>
  </si>
  <si>
    <t>012-XXX-352</t>
  </si>
  <si>
    <t>REG00472-S2</t>
  </si>
  <si>
    <t>REG00472-S3</t>
  </si>
  <si>
    <t>Iron, Nitrate, Calcium</t>
  </si>
  <si>
    <t>REG00473</t>
  </si>
  <si>
    <t>REG00473-S1</t>
  </si>
  <si>
    <t>INV00473</t>
  </si>
  <si>
    <t>012-XXX-924</t>
  </si>
  <si>
    <t>REG00473-S2</t>
  </si>
  <si>
    <t>REG00473-S3</t>
  </si>
  <si>
    <t>Potassium, Hydrochloric Acid, Sodium Hydroxide, Iron</t>
  </si>
  <si>
    <t>REG00473-S4</t>
  </si>
  <si>
    <t>REG00474</t>
  </si>
  <si>
    <t>REG00474-S1</t>
  </si>
  <si>
    <t>INV00474</t>
  </si>
  <si>
    <t>012-XXX-353</t>
  </si>
  <si>
    <t>Calcium, Magnesium, Phosphate, Hydrochloric Acid</t>
  </si>
  <si>
    <t>REG00475</t>
  </si>
  <si>
    <t>REG00475-S1</t>
  </si>
  <si>
    <t>INV00475</t>
  </si>
  <si>
    <t>REG00476</t>
  </si>
  <si>
    <t>REG00476-S1</t>
  </si>
  <si>
    <t>INV00476</t>
  </si>
  <si>
    <t>REG00477</t>
  </si>
  <si>
    <t>REG00477-S1</t>
  </si>
  <si>
    <t>INV00477</t>
  </si>
  <si>
    <t>Magnesium, Hydrochloric Acid, Sodium, Ammonia</t>
  </si>
  <si>
    <t>REG00477-S2</t>
  </si>
  <si>
    <t>Nitrite, Lead, Hydrochloric Acid, Sulfuric Acid</t>
  </si>
  <si>
    <t>REG00478</t>
  </si>
  <si>
    <t>REG00478-S1</t>
  </si>
  <si>
    <t>INV00478</t>
  </si>
  <si>
    <t>012-XXX-101</t>
  </si>
  <si>
    <t>Lead, Hydrochloric Acid, Sodium Hydroxide, Sodium</t>
  </si>
  <si>
    <t>REG00478-S2</t>
  </si>
  <si>
    <t>Potassium, Lead, Sodium, Phosphate</t>
  </si>
  <si>
    <t>REG00478-S3</t>
  </si>
  <si>
    <t>Hydrochloric Acid, Calcium, Sodium, Nitrite</t>
  </si>
  <si>
    <t>REG00478-S4</t>
  </si>
  <si>
    <t>REG00478-S5</t>
  </si>
  <si>
    <t>REG00479</t>
  </si>
  <si>
    <t>REG00479-S1</t>
  </si>
  <si>
    <t>INV00479</t>
  </si>
  <si>
    <t>REG00480</t>
  </si>
  <si>
    <t>REG00480-S1</t>
  </si>
  <si>
    <t>INV00480</t>
  </si>
  <si>
    <t>Nitrate, Sulfate, Potassium, Ammonia</t>
  </si>
  <si>
    <t>REG00480-S2</t>
  </si>
  <si>
    <t>Hydrochloric Acid, Lead, Phosphate</t>
  </si>
  <si>
    <t>REG00480-S3</t>
  </si>
  <si>
    <t>Chloride, Hydrochloric Acid, Calcium, Ammonia</t>
  </si>
  <si>
    <t>REG00481</t>
  </si>
  <si>
    <t>REG00481-S1</t>
  </si>
  <si>
    <t>INV00481</t>
  </si>
  <si>
    <t>012-XXX-342</t>
  </si>
  <si>
    <t>Calcium, Phosphate, Potassium</t>
  </si>
  <si>
    <t>REG00481-S2</t>
  </si>
  <si>
    <t>REG00481-S3</t>
  </si>
  <si>
    <t>REG00482</t>
  </si>
  <si>
    <t>REG00482-S1</t>
  </si>
  <si>
    <t>INV00482</t>
  </si>
  <si>
    <t>012-XXX-864</t>
  </si>
  <si>
    <t>REG00482-S2</t>
  </si>
  <si>
    <t>REG00482-S3</t>
  </si>
  <si>
    <t>Iron, Sodium Hydroxide, Sulfuric Acid</t>
  </si>
  <si>
    <t>REG00482-S4</t>
  </si>
  <si>
    <t>Sodium Hydroxide, Nitrate, Sulfuric Acid</t>
  </si>
  <si>
    <t>REG00482-S5</t>
  </si>
  <si>
    <t>REG00483</t>
  </si>
  <si>
    <t>REG00483-S1</t>
  </si>
  <si>
    <t>INV00483</t>
  </si>
  <si>
    <t>REG00484</t>
  </si>
  <si>
    <t>REG00484-S1</t>
  </si>
  <si>
    <t>INV00484</t>
  </si>
  <si>
    <t>Magnesium, Nitrite, Sulfuric Acid, Potassium</t>
  </si>
  <si>
    <t>REG00485</t>
  </si>
  <si>
    <t>REG00485-S1</t>
  </si>
  <si>
    <t>INV00485</t>
  </si>
  <si>
    <t>012-XXX-199</t>
  </si>
  <si>
    <t>Nitrate, Magnesium, Nitrite</t>
  </si>
  <si>
    <t>REG00485-S2</t>
  </si>
  <si>
    <t>REG00486</t>
  </si>
  <si>
    <t>REG00486-S1</t>
  </si>
  <si>
    <t>INV00486</t>
  </si>
  <si>
    <t>012-XXX-734</t>
  </si>
  <si>
    <t>REG00486-S2</t>
  </si>
  <si>
    <t>Iron, Ammonia, Nitrate</t>
  </si>
  <si>
    <t>REG00486-S3</t>
  </si>
  <si>
    <t>REG00487</t>
  </si>
  <si>
    <t>REG00487-S1</t>
  </si>
  <si>
    <t>INV00487</t>
  </si>
  <si>
    <t>012-XXX-978</t>
  </si>
  <si>
    <t>Ammonia, Lead, Nitrite, Magnesium</t>
  </si>
  <si>
    <t>REG00487-S2</t>
  </si>
  <si>
    <t>Nitrite, Potassium, Magnesium</t>
  </si>
  <si>
    <t>REG00487-S3</t>
  </si>
  <si>
    <t>Sulfate, Iron, Ammonia, Calcium</t>
  </si>
  <si>
    <t>REG00487-S4</t>
  </si>
  <si>
    <t>Calcium, Nitrite</t>
  </si>
  <si>
    <t>REG00488</t>
  </si>
  <si>
    <t>REG00488-S1</t>
  </si>
  <si>
    <t>INV00488</t>
  </si>
  <si>
    <t>012-XXX-569</t>
  </si>
  <si>
    <t>Nitrite, Nitrate, Sodium Hydroxide, Magnesium</t>
  </si>
  <si>
    <t>REG00489</t>
  </si>
  <si>
    <t>REG00489-S1</t>
  </si>
  <si>
    <t>INV00489</t>
  </si>
  <si>
    <t>012-XXX-958</t>
  </si>
  <si>
    <t>Phosphate, Sodium Hydroxide, Potassium</t>
  </si>
  <si>
    <t>REG00489-S2</t>
  </si>
  <si>
    <t>REG00489-S3</t>
  </si>
  <si>
    <t>REG00489-S4</t>
  </si>
  <si>
    <t>REG00490</t>
  </si>
  <si>
    <t>REG00490-S1</t>
  </si>
  <si>
    <t>INV00490</t>
  </si>
  <si>
    <t>012-XXX-630</t>
  </si>
  <si>
    <t>REG00490-S2</t>
  </si>
  <si>
    <t>Phosphate, Sulfuric Acid, Iron</t>
  </si>
  <si>
    <t>REG00490-S3</t>
  </si>
  <si>
    <t>Iron, Sodium, Potassium, Calcium</t>
  </si>
  <si>
    <t>REG00490-S4</t>
  </si>
  <si>
    <t>Chloride, Iron, Nitrite</t>
  </si>
  <si>
    <t>REG00491</t>
  </si>
  <si>
    <t>REG00491-S1</t>
  </si>
  <si>
    <t>INV00491</t>
  </si>
  <si>
    <t>REG00491-S2</t>
  </si>
  <si>
    <t>Lead, Potassium</t>
  </si>
  <si>
    <t>REG00491-S3</t>
  </si>
  <si>
    <t>Phosphate, Iron, Hydrochloric Acid</t>
  </si>
  <si>
    <t>REG00491-S4</t>
  </si>
  <si>
    <t>Phosphate, Chloride, Sulfate, Sulfuric Acid</t>
  </si>
  <si>
    <t>REG00491-S5</t>
  </si>
  <si>
    <t>Nitrite, Phosphate, Potassium, Lead</t>
  </si>
  <si>
    <t>REG00492</t>
  </si>
  <si>
    <t>REG00492-S1</t>
  </si>
  <si>
    <t>INV00492</t>
  </si>
  <si>
    <t>012-XXX-555</t>
  </si>
  <si>
    <t>REG00492-S2</t>
  </si>
  <si>
    <t>REG00493</t>
  </si>
  <si>
    <t>REG00493-S1</t>
  </si>
  <si>
    <t>INV00493</t>
  </si>
  <si>
    <t>012-XXX-438</t>
  </si>
  <si>
    <t>Calcium, Iron, Hydrochloric Acid</t>
  </si>
  <si>
    <t>REG00493-S2</t>
  </si>
  <si>
    <t>REG00493-S3</t>
  </si>
  <si>
    <t>REG00493-S4</t>
  </si>
  <si>
    <t>REG00494</t>
  </si>
  <si>
    <t>REG00494-S1</t>
  </si>
  <si>
    <t>INV00494</t>
  </si>
  <si>
    <t>012-XXX-378</t>
  </si>
  <si>
    <t>REG00494-S2</t>
  </si>
  <si>
    <t>REG00494-S3</t>
  </si>
  <si>
    <t>Nitrate, Iron, Lead, Sulfate</t>
  </si>
  <si>
    <t>REG00495</t>
  </si>
  <si>
    <t>REG00495-S1</t>
  </si>
  <si>
    <t>INV00495</t>
  </si>
  <si>
    <t>Phosphate, Calcium, Sodium Hydroxide, Chloride</t>
  </si>
  <si>
    <t>REG00496</t>
  </si>
  <si>
    <t>REG00496-S1</t>
  </si>
  <si>
    <t>INV00496</t>
  </si>
  <si>
    <t>Sodium, Nitrite, Calcium, Iron</t>
  </si>
  <si>
    <t>REG00496-S2</t>
  </si>
  <si>
    <t>REG00496-S3</t>
  </si>
  <si>
    <t>Magnesium, Sodium Hydroxide</t>
  </si>
  <si>
    <t>REG00497</t>
  </si>
  <si>
    <t>REG00497-S1</t>
  </si>
  <si>
    <t>INV00497</t>
  </si>
  <si>
    <t>012-XXX-678</t>
  </si>
  <si>
    <t>Iron, Ammonia, Nitrite, Chloride</t>
  </si>
  <si>
    <t>REG00498</t>
  </si>
  <si>
    <t>REG00498-S1</t>
  </si>
  <si>
    <t>INV00498</t>
  </si>
  <si>
    <t>Ammonia, Lead, Nitrite</t>
  </si>
  <si>
    <t>REG00499</t>
  </si>
  <si>
    <t>REG00499-S1</t>
  </si>
  <si>
    <t>INV00499</t>
  </si>
  <si>
    <t>REG00499-S2</t>
  </si>
  <si>
    <t>REG00499-S3</t>
  </si>
  <si>
    <t>Potassium, Sodium Hydroxide, Sulfuric Acid, Phosphate</t>
  </si>
  <si>
    <t>REG00499-S4</t>
  </si>
  <si>
    <t>REG00499-S5</t>
  </si>
  <si>
    <t>Chloride, Phosphate, Ammonia</t>
  </si>
  <si>
    <t>REG00500</t>
  </si>
  <si>
    <t>REG00500-S1</t>
  </si>
  <si>
    <t>INV00500</t>
  </si>
  <si>
    <t>012-XXX-106</t>
  </si>
  <si>
    <t>Lead, Sodium, Sulfate</t>
  </si>
  <si>
    <t>REG00501</t>
  </si>
  <si>
    <t>REG00501-S1</t>
  </si>
  <si>
    <t>INV00501</t>
  </si>
  <si>
    <t>Potassium, Calcium, Magnesium, Phosphate</t>
  </si>
  <si>
    <t>REG00501-S2</t>
  </si>
  <si>
    <t>Sulfate, Sodium, Sodium Hydroxide, Nitrate</t>
  </si>
  <si>
    <t>REG00501-S3</t>
  </si>
  <si>
    <t>REG00501-S4</t>
  </si>
  <si>
    <t>Sodium, Calcium, Nitrite, Sulfuric Acid</t>
  </si>
  <si>
    <t>REG00502</t>
  </si>
  <si>
    <t>REG00502-S1</t>
  </si>
  <si>
    <t>INV00502</t>
  </si>
  <si>
    <t>012-XXX-544</t>
  </si>
  <si>
    <t>Potassium, Sulfuric Acid, Nitrate, Ammonia</t>
  </si>
  <si>
    <t>REG00503</t>
  </si>
  <si>
    <t>REG00503-S1</t>
  </si>
  <si>
    <t>INV00503</t>
  </si>
  <si>
    <t>REG00503-S2</t>
  </si>
  <si>
    <t>REG00503-S3</t>
  </si>
  <si>
    <t>REG00503-S4</t>
  </si>
  <si>
    <t>Calcium, Sodium Hydroxide, Magnesium</t>
  </si>
  <si>
    <t>REG00503-S5</t>
  </si>
  <si>
    <t>Potassium, Sulfate, Magnesium, Sulfuric Acid</t>
  </si>
  <si>
    <t>REG00504</t>
  </si>
  <si>
    <t>REG00504-S1</t>
  </si>
  <si>
    <t>INV00504</t>
  </si>
  <si>
    <t>012-XXX-742</t>
  </si>
  <si>
    <t>Iron, Nitrate, Sulfate, Phosphate</t>
  </si>
  <si>
    <t>REG00504-S2</t>
  </si>
  <si>
    <t>REG00504-S3</t>
  </si>
  <si>
    <t>Potassium, Sulfate, Sodium Hydroxide, Chloride</t>
  </si>
  <si>
    <t>REG00505</t>
  </si>
  <si>
    <t>REG00505-S1</t>
  </si>
  <si>
    <t>INV00505</t>
  </si>
  <si>
    <t>012-XXX-713</t>
  </si>
  <si>
    <t>REG00506</t>
  </si>
  <si>
    <t>REG00506-S1</t>
  </si>
  <si>
    <t>INV00506</t>
  </si>
  <si>
    <t>Sodium, Phosphate</t>
  </si>
  <si>
    <t>REG00506-S2</t>
  </si>
  <si>
    <t>REG00506-S3</t>
  </si>
  <si>
    <t>Sodium, Iron, Sulfuric Acid, Hydrochloric Acid</t>
  </si>
  <si>
    <t>REG00507</t>
  </si>
  <si>
    <t>REG00507-S1</t>
  </si>
  <si>
    <t>INV00507</t>
  </si>
  <si>
    <t>Sodium, Phosphate, Iron</t>
  </si>
  <si>
    <t>REG00508</t>
  </si>
  <si>
    <t>REG00508-S1</t>
  </si>
  <si>
    <t>INV00508</t>
  </si>
  <si>
    <t>012-XXX-626</t>
  </si>
  <si>
    <t>REG00508-S2</t>
  </si>
  <si>
    <t>Sulfate, Nitrate, Sulfuric Acid, Calcium</t>
  </si>
  <si>
    <t>REG00508-S3</t>
  </si>
  <si>
    <t>Phosphate, Lead, Magnesium, Iron</t>
  </si>
  <si>
    <t>REG00508-S4</t>
  </si>
  <si>
    <t>Sulfuric Acid, Magnesium, Chloride</t>
  </si>
  <si>
    <t>REG00509</t>
  </si>
  <si>
    <t>REG00509-S1</t>
  </si>
  <si>
    <t>INV00509</t>
  </si>
  <si>
    <t>REG00509-S2</t>
  </si>
  <si>
    <t>REG00510</t>
  </si>
  <si>
    <t>REG00510-S1</t>
  </si>
  <si>
    <t>INV00510</t>
  </si>
  <si>
    <t>012-XXX-514</t>
  </si>
  <si>
    <t>REG00510-S2</t>
  </si>
  <si>
    <t>Iron, Ammonia, Sulfate</t>
  </si>
  <si>
    <t>REG00510-S3</t>
  </si>
  <si>
    <t>Hydrochloric Acid, Calcium, Nitrate</t>
  </si>
  <si>
    <t>REG00511</t>
  </si>
  <si>
    <t>REG00511-S1</t>
  </si>
  <si>
    <t>INV00511</t>
  </si>
  <si>
    <t>Nitrate, Potassium, Sodium Hydroxide</t>
  </si>
  <si>
    <t>REG00511-S2</t>
  </si>
  <si>
    <t>REG00511-S3</t>
  </si>
  <si>
    <t>REG00511-S4</t>
  </si>
  <si>
    <t>REG00511-S5</t>
  </si>
  <si>
    <t>REG00512</t>
  </si>
  <si>
    <t>REG00512-S1</t>
  </si>
  <si>
    <t>INV00512</t>
  </si>
  <si>
    <t>012-XXX-479</t>
  </si>
  <si>
    <t>REG00512-S2</t>
  </si>
  <si>
    <t>REG00512-S3</t>
  </si>
  <si>
    <t>Sulfate, Sodium Hydroxide, Hydrochloric Acid, Magnesium</t>
  </si>
  <si>
    <t>REG00512-S4</t>
  </si>
  <si>
    <t>Ammonia, Iron, Lead</t>
  </si>
  <si>
    <t>REG00512-S5</t>
  </si>
  <si>
    <t>REG00513</t>
  </si>
  <si>
    <t>REG00513-S1</t>
  </si>
  <si>
    <t>INV00513</t>
  </si>
  <si>
    <t>Nitrite, Sulfate</t>
  </si>
  <si>
    <t>REG00513-S2</t>
  </si>
  <si>
    <t>REG00513-S3</t>
  </si>
  <si>
    <t>Iron, Chloride, Magnesium, Hydrochloric Acid</t>
  </si>
  <si>
    <t>REG00514</t>
  </si>
  <si>
    <t>REG00514-S1</t>
  </si>
  <si>
    <t>INV00514</t>
  </si>
  <si>
    <t>012-XXX-411</t>
  </si>
  <si>
    <t>REG00514-S2</t>
  </si>
  <si>
    <t>REG00514-S3</t>
  </si>
  <si>
    <t>Hydrochloric Acid, Sodium</t>
  </si>
  <si>
    <t>REG00514-S4</t>
  </si>
  <si>
    <t>REG00515</t>
  </si>
  <si>
    <t>REG00515-S1</t>
  </si>
  <si>
    <t>INV00515</t>
  </si>
  <si>
    <t>Lead, Nitrate, Ammonia, Chloride</t>
  </si>
  <si>
    <t>REG00515-S2</t>
  </si>
  <si>
    <t>REG00516</t>
  </si>
  <si>
    <t>REG00516-S1</t>
  </si>
  <si>
    <t>INV00516</t>
  </si>
  <si>
    <t>012-XXX-282</t>
  </si>
  <si>
    <t>REG00517</t>
  </si>
  <si>
    <t>REG00517-S1</t>
  </si>
  <si>
    <t>INV00517</t>
  </si>
  <si>
    <t>REG00517-S2</t>
  </si>
  <si>
    <t>REG00517-S3</t>
  </si>
  <si>
    <t>Hydrochloric Acid, Calcium, Magnesium, Nitrite</t>
  </si>
  <si>
    <t>REG00517-S4</t>
  </si>
  <si>
    <t>Lead, Iron, Chloride</t>
  </si>
  <si>
    <t>REG00517-S5</t>
  </si>
  <si>
    <t>Iron, Sodium, Lead</t>
  </si>
  <si>
    <t>REG00518</t>
  </si>
  <si>
    <t>REG00518-S1</t>
  </si>
  <si>
    <t>INV00518</t>
  </si>
  <si>
    <t>Potassium, Sulfuric Acid</t>
  </si>
  <si>
    <t>REG00518-S2</t>
  </si>
  <si>
    <t>Sodium Hydroxide, Phosphate, Nitrite</t>
  </si>
  <si>
    <t>REG00518-S3</t>
  </si>
  <si>
    <t>REG00518-S4</t>
  </si>
  <si>
    <t>Chloride, Sodium Hydroxide, Phosphate, Ammonia</t>
  </si>
  <si>
    <t>REG00518-S5</t>
  </si>
  <si>
    <t>REG00519</t>
  </si>
  <si>
    <t>REG00519-S1</t>
  </si>
  <si>
    <t>INV00519</t>
  </si>
  <si>
    <t>012-XXX-209</t>
  </si>
  <si>
    <t>REG00519-S2</t>
  </si>
  <si>
    <t>REG00519-S3</t>
  </si>
  <si>
    <t>Lead, Potassium, Sodium Hydroxide, Sulfate</t>
  </si>
  <si>
    <t>REG00520</t>
  </si>
  <si>
    <t>REG00520-S1</t>
  </si>
  <si>
    <t>INV00520</t>
  </si>
  <si>
    <t>REG00520-S2</t>
  </si>
  <si>
    <t>REG00521</t>
  </si>
  <si>
    <t>REG00521-S1</t>
  </si>
  <si>
    <t>INV00521</t>
  </si>
  <si>
    <t>012-XXX-114</t>
  </si>
  <si>
    <t>REG00521-S2</t>
  </si>
  <si>
    <t>Sulfate, Nitrite, Lead, Iron</t>
  </si>
  <si>
    <t>REG00521-S3</t>
  </si>
  <si>
    <t>REG00521-S4</t>
  </si>
  <si>
    <t>Iron, Phosphate, Sodium</t>
  </si>
  <si>
    <t>REG00522</t>
  </si>
  <si>
    <t>REG00522-S1</t>
  </si>
  <si>
    <t>INV00522</t>
  </si>
  <si>
    <t>REG00522-S2</t>
  </si>
  <si>
    <t>Nitrate, Potassium, Magnesium, Phosphate</t>
  </si>
  <si>
    <t>REG00522-S3</t>
  </si>
  <si>
    <t>REG00523</t>
  </si>
  <si>
    <t>REG00523-S1</t>
  </si>
  <si>
    <t>INV00523</t>
  </si>
  <si>
    <t>012-XXX-823</t>
  </si>
  <si>
    <t>Iron, Chloride, Sulfate</t>
  </si>
  <si>
    <t>REG00523-S2</t>
  </si>
  <si>
    <t>Ammonia, Chloride, Nitrate, Iron</t>
  </si>
  <si>
    <t>REG00524</t>
  </si>
  <si>
    <t>REG00524-S1</t>
  </si>
  <si>
    <t>INV00524</t>
  </si>
  <si>
    <t>Sulfate, Calcium, Ammonia, Hydrochloric Acid</t>
  </si>
  <si>
    <t>REG00524-S2</t>
  </si>
  <si>
    <t>Sodium Hydroxide, Lead, Phosphate, Potassium</t>
  </si>
  <si>
    <t>REG00524-S3</t>
  </si>
  <si>
    <t>REG00524-S4</t>
  </si>
  <si>
    <t>Iron, Lead, Sulfate, Potassium</t>
  </si>
  <si>
    <t>REG00524-S5</t>
  </si>
  <si>
    <t>REG00525</t>
  </si>
  <si>
    <t>REG00525-S1</t>
  </si>
  <si>
    <t>INV00525</t>
  </si>
  <si>
    <t>012-XXX-258</t>
  </si>
  <si>
    <t>Chloride, Ammonia, Phosphate, Nitrite</t>
  </si>
  <si>
    <t>REG00525-S2</t>
  </si>
  <si>
    <t>REG00526</t>
  </si>
  <si>
    <t>REG00526-S1</t>
  </si>
  <si>
    <t>INV00526</t>
  </si>
  <si>
    <t>012-XXX-193</t>
  </si>
  <si>
    <t>Lead, Sodium, Magnesium, Sulfuric Acid</t>
  </si>
  <si>
    <t>REG00526-S2</t>
  </si>
  <si>
    <t>REG00526-S3</t>
  </si>
  <si>
    <t>Sodium, Sulfate, Chloride, Lead</t>
  </si>
  <si>
    <t>REG00526-S4</t>
  </si>
  <si>
    <t>Hydrochloric Acid, Iron, Potassium, Nitrite</t>
  </si>
  <si>
    <t>REG00526-S5</t>
  </si>
  <si>
    <t>Hydrochloric Acid, Nitrate, Lead, Calcium</t>
  </si>
  <si>
    <t>REG00527</t>
  </si>
  <si>
    <t>REG00527-S1</t>
  </si>
  <si>
    <t>INV00527</t>
  </si>
  <si>
    <t>012-XXX-735</t>
  </si>
  <si>
    <t>Hydrochloric Acid, Sodium Hydroxide, Chloride, Nitrite</t>
  </si>
  <si>
    <t>REG00527-S2</t>
  </si>
  <si>
    <t>Sulfuric Acid, Nitrate, Calcium</t>
  </si>
  <si>
    <t>REG00528</t>
  </si>
  <si>
    <t>REG00528-S1</t>
  </si>
  <si>
    <t>INV00528</t>
  </si>
  <si>
    <t>012-XXX-585</t>
  </si>
  <si>
    <t>Calcium, Sulfuric Acid</t>
  </si>
  <si>
    <t>REG00528-S2</t>
  </si>
  <si>
    <t>REG00528-S3</t>
  </si>
  <si>
    <t>Nitrate, Calcium, Hydrochloric Acid</t>
  </si>
  <si>
    <t>REG00529</t>
  </si>
  <si>
    <t>REG00529-S1</t>
  </si>
  <si>
    <t>INV00529</t>
  </si>
  <si>
    <t>Sodium, Iron, Lead, Magnesium</t>
  </si>
  <si>
    <t>REG00529-S2</t>
  </si>
  <si>
    <t>Nitrate, Magnesium, Chloride, Calcium</t>
  </si>
  <si>
    <t>REG00530</t>
  </si>
  <si>
    <t>REG00530-S1</t>
  </si>
  <si>
    <t>INV00530</t>
  </si>
  <si>
    <t>012-XXX-918</t>
  </si>
  <si>
    <t>Magnesium, Hydrochloric Acid, Ammonia, Nitrite</t>
  </si>
  <si>
    <t>REG00531</t>
  </si>
  <si>
    <t>REG00531-S1</t>
  </si>
  <si>
    <t>INV00531</t>
  </si>
  <si>
    <t>012-XXX-743</t>
  </si>
  <si>
    <t>Sodium, Nitrite, Sodium Hydroxide</t>
  </si>
  <si>
    <t>REG00531-S2</t>
  </si>
  <si>
    <t>Hydrochloric Acid, Chloride, Sodium Hydroxide, Nitrite</t>
  </si>
  <si>
    <t>REG00531-S3</t>
  </si>
  <si>
    <t>REG00531-S4</t>
  </si>
  <si>
    <t>REG00531-S5</t>
  </si>
  <si>
    <t>Ammonia, Lead, Nitrate, Sulfate</t>
  </si>
  <si>
    <t>REG00532</t>
  </si>
  <si>
    <t>REG00532-S1</t>
  </si>
  <si>
    <t>INV00532</t>
  </si>
  <si>
    <t>012-XXX-913</t>
  </si>
  <si>
    <t>REG00533</t>
  </si>
  <si>
    <t>REG00533-S1</t>
  </si>
  <si>
    <t>INV00533</t>
  </si>
  <si>
    <t>Sulfuric Acid, Lead, Sulfate, Chloride</t>
  </si>
  <si>
    <t>REG00533-S2</t>
  </si>
  <si>
    <t>REG00534</t>
  </si>
  <si>
    <t>REG00534-S1</t>
  </si>
  <si>
    <t>INV00534</t>
  </si>
  <si>
    <t>012-XXX-817</t>
  </si>
  <si>
    <t>REG00534-S2</t>
  </si>
  <si>
    <t>Calcium, Nitrite, Sodium Hydroxide</t>
  </si>
  <si>
    <t>REG00534-S3</t>
  </si>
  <si>
    <t>Hydrochloric Acid, Sulfate, Magnesium</t>
  </si>
  <si>
    <t>REG00534-S4</t>
  </si>
  <si>
    <t>REG00535</t>
  </si>
  <si>
    <t>REG00535-S1</t>
  </si>
  <si>
    <t>INV00535</t>
  </si>
  <si>
    <t>Sodium Hydroxide, Chloride, Sulfate</t>
  </si>
  <si>
    <t>REG00535-S2</t>
  </si>
  <si>
    <t>REG00535-S3</t>
  </si>
  <si>
    <t>Chloride, Calcium, Ammonia</t>
  </si>
  <si>
    <t>REG00536</t>
  </si>
  <si>
    <t>REG00536-S1</t>
  </si>
  <si>
    <t>INV00536</t>
  </si>
  <si>
    <t>012-XXX-601</t>
  </si>
  <si>
    <t>REG00536-S2</t>
  </si>
  <si>
    <t>Sulfuric Acid, Sodium, Phosphate</t>
  </si>
  <si>
    <t>REG00536-S3</t>
  </si>
  <si>
    <t>Lead, Iron, Nitrate</t>
  </si>
  <si>
    <t>REG00536-S4</t>
  </si>
  <si>
    <t>Hydrochloric Acid, Phosphate, Sulfuric Acid</t>
  </si>
  <si>
    <t>REG00537</t>
  </si>
  <si>
    <t>REG00537-S1</t>
  </si>
  <si>
    <t>INV00537</t>
  </si>
  <si>
    <t>012-XXX-427</t>
  </si>
  <si>
    <t>Lead, Sodium, Calcium</t>
  </si>
  <si>
    <t>REG00537-S2</t>
  </si>
  <si>
    <t>Ammonia, Phosphate, Nitrite, Sulfuric Acid</t>
  </si>
  <si>
    <t>REG00538</t>
  </si>
  <si>
    <t>REG00538-S1</t>
  </si>
  <si>
    <t>INV00538</t>
  </si>
  <si>
    <t>012-XXX-250</t>
  </si>
  <si>
    <t>REG00538-S2</t>
  </si>
  <si>
    <t>REG00538-S3</t>
  </si>
  <si>
    <t>REG00539</t>
  </si>
  <si>
    <t>REG00539-S1</t>
  </si>
  <si>
    <t>INV00539</t>
  </si>
  <si>
    <t>012-XXX-273</t>
  </si>
  <si>
    <t>Sodium, Phosphate, Ammonia, Chloride</t>
  </si>
  <si>
    <t>REG00539-S2</t>
  </si>
  <si>
    <t>REG00539-S3</t>
  </si>
  <si>
    <t>REG00539-S4</t>
  </si>
  <si>
    <t>REG00539-S5</t>
  </si>
  <si>
    <t>REG00540</t>
  </si>
  <si>
    <t>REG00540-S1</t>
  </si>
  <si>
    <t>INV00540</t>
  </si>
  <si>
    <t>012-XXX-472</t>
  </si>
  <si>
    <t>REG00540-S2</t>
  </si>
  <si>
    <t>Ammonia, Sulfuric Acid</t>
  </si>
  <si>
    <t>REG00540-S3</t>
  </si>
  <si>
    <t>REG00540-S4</t>
  </si>
  <si>
    <t>REG00541</t>
  </si>
  <si>
    <t>REG00541-S1</t>
  </si>
  <si>
    <t>INV00541</t>
  </si>
  <si>
    <t>REG00541-S2</t>
  </si>
  <si>
    <t>REG00541-S3</t>
  </si>
  <si>
    <t>REG00541-S4</t>
  </si>
  <si>
    <t>Nitrite, Chloride, Magnesium</t>
  </si>
  <si>
    <t>REG00541-S5</t>
  </si>
  <si>
    <t>Lead, Sulfate, Sulfuric Acid</t>
  </si>
  <si>
    <t>REG00542</t>
  </si>
  <si>
    <t>REG00542-S1</t>
  </si>
  <si>
    <t>INV00542</t>
  </si>
  <si>
    <t>REG00542-S2</t>
  </si>
  <si>
    <t>REG00542-S3</t>
  </si>
  <si>
    <t>REG00542-S4</t>
  </si>
  <si>
    <t>REG00543</t>
  </si>
  <si>
    <t>REG00543-S1</t>
  </si>
  <si>
    <t>INV00543</t>
  </si>
  <si>
    <t>Sodium, Iron, Hydrochloric Acid, Lead</t>
  </si>
  <si>
    <t>REG00543-S2</t>
  </si>
  <si>
    <t>REG00543-S3</t>
  </si>
  <si>
    <t>Potassium, Iron, Sulfate</t>
  </si>
  <si>
    <t>REG00543-S4</t>
  </si>
  <si>
    <t>Sodium Hydroxide, Chloride, Iron, Nitrite</t>
  </si>
  <si>
    <t>REG00543-S5</t>
  </si>
  <si>
    <t>REG00544</t>
  </si>
  <si>
    <t>REG00544-S1</t>
  </si>
  <si>
    <t>INV00544</t>
  </si>
  <si>
    <t>REG00545</t>
  </si>
  <si>
    <t>REG00545-S1</t>
  </si>
  <si>
    <t>INV00545</t>
  </si>
  <si>
    <t>012-XXX-318</t>
  </si>
  <si>
    <t>REG00546</t>
  </si>
  <si>
    <t>REG00546-S1</t>
  </si>
  <si>
    <t>INV00546</t>
  </si>
  <si>
    <t>Phosphate, Nitrate, Calcium, Ammonia</t>
  </si>
  <si>
    <t>REG00547</t>
  </si>
  <si>
    <t>REG00547-S1</t>
  </si>
  <si>
    <t>INV00547</t>
  </si>
  <si>
    <t>012-XXX-873</t>
  </si>
  <si>
    <t>REG00547-S2</t>
  </si>
  <si>
    <t>REG00547-S3</t>
  </si>
  <si>
    <t>Lead, Nitrate, Magnesium</t>
  </si>
  <si>
    <t>REG00547-S4</t>
  </si>
  <si>
    <t>Ammonia, Sodium, Sodium Hydroxide, Calcium</t>
  </si>
  <si>
    <t>REG00547-S5</t>
  </si>
  <si>
    <t>REG00548</t>
  </si>
  <si>
    <t>REG00548-S1</t>
  </si>
  <si>
    <t>INV00548</t>
  </si>
  <si>
    <t>012-XXX-331</t>
  </si>
  <si>
    <t>REG00548-S2</t>
  </si>
  <si>
    <t>Sulfuric Acid, Iron, Sodium</t>
  </si>
  <si>
    <t>REG00548-S3</t>
  </si>
  <si>
    <t>Ammonia, Phosphate, Sulfate, Lead</t>
  </si>
  <si>
    <t>REG00548-S4</t>
  </si>
  <si>
    <t>REG00549</t>
  </si>
  <si>
    <t>REG00549-S1</t>
  </si>
  <si>
    <t>INV00549</t>
  </si>
  <si>
    <t>012-XXX-214</t>
  </si>
  <si>
    <t>REG00549-S2</t>
  </si>
  <si>
    <t>Sulfate, Nitrite, Sulfuric Acid, Calcium</t>
  </si>
  <si>
    <t>REG00549-S3</t>
  </si>
  <si>
    <t>REG00550</t>
  </si>
  <si>
    <t>REG00550-S1</t>
  </si>
  <si>
    <t>INV00550</t>
  </si>
  <si>
    <t>012-XXX-878</t>
  </si>
  <si>
    <t>Hydrochloric Acid, Calcium, Sodium, Ammonia</t>
  </si>
  <si>
    <t>REG00550-S2</t>
  </si>
  <si>
    <t>Chloride, Sodium, Nitrate, Sulfate</t>
  </si>
  <si>
    <t>REG00550-S3</t>
  </si>
  <si>
    <t>Calcium, Phosphate, Sulfate, Sulfuric Acid</t>
  </si>
  <si>
    <t>REG00550-S4</t>
  </si>
  <si>
    <t>REG00551</t>
  </si>
  <si>
    <t>REG00551-S1</t>
  </si>
  <si>
    <t>INV00551</t>
  </si>
  <si>
    <t>012-XXX-287</t>
  </si>
  <si>
    <t>REG00551-S2</t>
  </si>
  <si>
    <t>Sulfuric Acid, Iron, Hydrochloric Acid, Sodium</t>
  </si>
  <si>
    <t>REG00551-S3</t>
  </si>
  <si>
    <t>Hydrochloric Acid, Sodium, Sodium Hydroxide</t>
  </si>
  <si>
    <t>REG00551-S4</t>
  </si>
  <si>
    <t>Magnesium, Phosphate, Nitrite</t>
  </si>
  <si>
    <t>REG00551-S5</t>
  </si>
  <si>
    <t>Nitrite, Hydrochloric Acid, Calcium</t>
  </si>
  <si>
    <t>REG00552</t>
  </si>
  <si>
    <t>REG00552-S1</t>
  </si>
  <si>
    <t>INV00552</t>
  </si>
  <si>
    <t>012-XXX-776</t>
  </si>
  <si>
    <t>REG00552-S2</t>
  </si>
  <si>
    <t>Potassium, Sulfuric Acid, Sodium</t>
  </si>
  <si>
    <t>REG00552-S3</t>
  </si>
  <si>
    <t>REG00552-S4</t>
  </si>
  <si>
    <t>Nitrate, Sulfuric Acid, Phosphate, Iron</t>
  </si>
  <si>
    <t>REG00552-S5</t>
  </si>
  <si>
    <t>Sulfate, Lead, Sulfuric Acid, Sodium</t>
  </si>
  <si>
    <t>REG00553</t>
  </si>
  <si>
    <t>REG00553-S1</t>
  </si>
  <si>
    <t>INV00553</t>
  </si>
  <si>
    <t>REG00553-S2</t>
  </si>
  <si>
    <t>Potassium, Sodium Hydroxide, Phosphate, Nitrite</t>
  </si>
  <si>
    <t>REG00553-S3</t>
  </si>
  <si>
    <t>Magnesium, Sodium Hydroxide, Ammonia, Potassium</t>
  </si>
  <si>
    <t>REG00553-S4</t>
  </si>
  <si>
    <t>REG00553-S5</t>
  </si>
  <si>
    <t>Sodium, Sodium Hydroxide, Potassium</t>
  </si>
  <si>
    <t>REG00554</t>
  </si>
  <si>
    <t>REG00554-S1</t>
  </si>
  <si>
    <t>INV00554</t>
  </si>
  <si>
    <t>012-XXX-911</t>
  </si>
  <si>
    <t>REG00554-S2</t>
  </si>
  <si>
    <t>Iron, Ammonia, Nitrate, Hydrochloric Acid</t>
  </si>
  <si>
    <t>REG00555</t>
  </si>
  <si>
    <t>REG00555-S1</t>
  </si>
  <si>
    <t>INV00555</t>
  </si>
  <si>
    <t>REG00555-S2</t>
  </si>
  <si>
    <t>REG00555-S3</t>
  </si>
  <si>
    <t>REG00555-S4</t>
  </si>
  <si>
    <t>REG00556</t>
  </si>
  <si>
    <t>REG00556-S1</t>
  </si>
  <si>
    <t>INV00556</t>
  </si>
  <si>
    <t>REG00556-S2</t>
  </si>
  <si>
    <t>REG00556-S3</t>
  </si>
  <si>
    <t>REG00556-S4</t>
  </si>
  <si>
    <t>Nitrate, Sulfuric Acid, Iron, Phosphate</t>
  </si>
  <si>
    <t>REG00557</t>
  </si>
  <si>
    <t>REG00557-S1</t>
  </si>
  <si>
    <t>INV00557</t>
  </si>
  <si>
    <t>012-XXX-784</t>
  </si>
  <si>
    <t>Nitrite, Sulfuric Acid, Potassium</t>
  </si>
  <si>
    <t>REG00557-S2</t>
  </si>
  <si>
    <t>Hydrochloric Acid, Sodium Hydroxide, Sulfuric Acid, Iron</t>
  </si>
  <si>
    <t>REG00557-S3</t>
  </si>
  <si>
    <t>Phosphate, Iron, Lead</t>
  </si>
  <si>
    <t>REG00557-S4</t>
  </si>
  <si>
    <t>REG00557-S5</t>
  </si>
  <si>
    <t>Sodium, Ammonia, Potassium</t>
  </si>
  <si>
    <t>REG00558</t>
  </si>
  <si>
    <t>REG00558-S1</t>
  </si>
  <si>
    <t>INV00558</t>
  </si>
  <si>
    <t>012-XXX-519</t>
  </si>
  <si>
    <t>REG00558-S2</t>
  </si>
  <si>
    <t>REG00558-S3</t>
  </si>
  <si>
    <t>Potassium, Lead, Chloride</t>
  </si>
  <si>
    <t>REG00558-S4</t>
  </si>
  <si>
    <t>Lead, Potassium, Sodium</t>
  </si>
  <si>
    <t>REG00558-S5</t>
  </si>
  <si>
    <t>Potassium, Calcium, Nitrate, Ammonia</t>
  </si>
  <si>
    <t>REG00559</t>
  </si>
  <si>
    <t>REG00559-S1</t>
  </si>
  <si>
    <t>INV00559</t>
  </si>
  <si>
    <t>Nitrate, Ammonia, Hydrochloric Acid, Sodium Hydroxide</t>
  </si>
  <si>
    <t>REG00559-S2</t>
  </si>
  <si>
    <t>Potassium, Sulfate, Sodium Hydroxide</t>
  </si>
  <si>
    <t>REG00559-S3</t>
  </si>
  <si>
    <t>Magnesium, Sodium, Sulfuric Acid</t>
  </si>
  <si>
    <t>REG00560</t>
  </si>
  <si>
    <t>REG00560-S1</t>
  </si>
  <si>
    <t>INV00560</t>
  </si>
  <si>
    <t>REG00561</t>
  </si>
  <si>
    <t>REG00561-S1</t>
  </si>
  <si>
    <t>INV00561</t>
  </si>
  <si>
    <t>012-XXX-495</t>
  </si>
  <si>
    <t>Chloride, Sulfate, Magnesium</t>
  </si>
  <si>
    <t>REG00562</t>
  </si>
  <si>
    <t>REG00562-S1</t>
  </si>
  <si>
    <t>INV00562</t>
  </si>
  <si>
    <t>012-XXX-990</t>
  </si>
  <si>
    <t>REG00562-S2</t>
  </si>
  <si>
    <t>REG00562-S3</t>
  </si>
  <si>
    <t>Calcium, Sulfuric Acid, Sodium, Lead</t>
  </si>
  <si>
    <t>REG00562-S4</t>
  </si>
  <si>
    <t>REG00562-S5</t>
  </si>
  <si>
    <t>Lead, Sulfuric Acid, Nitrate, Chloride</t>
  </si>
  <si>
    <t>REG00563</t>
  </si>
  <si>
    <t>REG00563-S1</t>
  </si>
  <si>
    <t>INV00563</t>
  </si>
  <si>
    <t>012-XXX-705</t>
  </si>
  <si>
    <t>REG00564</t>
  </si>
  <si>
    <t>REG00564-S1</t>
  </si>
  <si>
    <t>INV00564</t>
  </si>
  <si>
    <t>Iron, Chloride, Nitrite, Hydrochloric Acid</t>
  </si>
  <si>
    <t>REG00564-S2</t>
  </si>
  <si>
    <t>REG00564-S3</t>
  </si>
  <si>
    <t>Lead, Sulfuric Acid, Sulfate, Nitrate</t>
  </si>
  <si>
    <t>REG00565</t>
  </si>
  <si>
    <t>REG00565-S1</t>
  </si>
  <si>
    <t>INV00565</t>
  </si>
  <si>
    <t>Sodium, Potassium, Lead</t>
  </si>
  <si>
    <t>REG00565-S2</t>
  </si>
  <si>
    <t>Lead, Sulfate, Hydrochloric Acid, Chloride</t>
  </si>
  <si>
    <t>REG00565-S3</t>
  </si>
  <si>
    <t>REG00565-S4</t>
  </si>
  <si>
    <t>Ammonia, Sodium Hydroxide, Nitrate, Potassium</t>
  </si>
  <si>
    <t>REG00565-S5</t>
  </si>
  <si>
    <t>Ammonia, Magnesium, Iron, Chloride</t>
  </si>
  <si>
    <t>REG00566</t>
  </si>
  <si>
    <t>REG00566-S1</t>
  </si>
  <si>
    <t>INV00566</t>
  </si>
  <si>
    <t>012-XXX-616</t>
  </si>
  <si>
    <t>Nitrite, Potassium, Chloride, Ammonia</t>
  </si>
  <si>
    <t>REG00566-S2</t>
  </si>
  <si>
    <t>Lead, Sodium, Hydrochloric Acid</t>
  </si>
  <si>
    <t>REG00566-S3</t>
  </si>
  <si>
    <t>Sulfuric Acid, Phosphate</t>
  </si>
  <si>
    <t>REG00567</t>
  </si>
  <si>
    <t>REG00567-S1</t>
  </si>
  <si>
    <t>INV00567</t>
  </si>
  <si>
    <t>REG00567-S2</t>
  </si>
  <si>
    <t>REG00567-S3</t>
  </si>
  <si>
    <t>REG00567-S4</t>
  </si>
  <si>
    <t>Calcium, Sodium Hydroxide, Potassium, Chloride</t>
  </si>
  <si>
    <t>REG00567-S5</t>
  </si>
  <si>
    <t>Nitrite, Calcium, Sodium Hydroxide</t>
  </si>
  <si>
    <t>REG00568</t>
  </si>
  <si>
    <t>REG00568-S1</t>
  </si>
  <si>
    <t>INV00568</t>
  </si>
  <si>
    <t>012-XXX-834</t>
  </si>
  <si>
    <t>REG00569</t>
  </si>
  <si>
    <t>REG00569-S1</t>
  </si>
  <si>
    <t>INV00569</t>
  </si>
  <si>
    <t>REG00569-S2</t>
  </si>
  <si>
    <t>Iron, Hydrochloric Acid, Lead, Chloride</t>
  </si>
  <si>
    <t>REG00569-S3</t>
  </si>
  <si>
    <t>REG00569-S4</t>
  </si>
  <si>
    <t>REG00570</t>
  </si>
  <si>
    <t>REG00570-S1</t>
  </si>
  <si>
    <t>INV00570</t>
  </si>
  <si>
    <t>Sodium Hydroxide, Calcium, Hydrochloric Acid</t>
  </si>
  <si>
    <t>REG00570-S2</t>
  </si>
  <si>
    <t>Lead, Nitrate, Chloride</t>
  </si>
  <si>
    <t>REG00570-S3</t>
  </si>
  <si>
    <t>Chloride, Hydrochloric Acid, Potassium, Ammonia</t>
  </si>
  <si>
    <t>REG00570-S4</t>
  </si>
  <si>
    <t>REG00570-S5</t>
  </si>
  <si>
    <t>Hydrochloric Acid, Calcium, Sodium, Nitrate</t>
  </si>
  <si>
    <t>REG00571</t>
  </si>
  <si>
    <t>REG00571-S1</t>
  </si>
  <si>
    <t>INV00571</t>
  </si>
  <si>
    <t>REG00571-S2</t>
  </si>
  <si>
    <t>Chloride, Magnesium, Ammonia</t>
  </si>
  <si>
    <t>REG00571-S3</t>
  </si>
  <si>
    <t>Phosphate, Chloride</t>
  </si>
  <si>
    <t>REG00571-S4</t>
  </si>
  <si>
    <t>Iron, Sulfuric Acid, Potassium</t>
  </si>
  <si>
    <t>REG00571-S5</t>
  </si>
  <si>
    <t>Lead, Nitrite, Magnesium, Phosphate</t>
  </si>
  <si>
    <t>REG00572</t>
  </si>
  <si>
    <t>REG00572-S1</t>
  </si>
  <si>
    <t>INV00572</t>
  </si>
  <si>
    <t>Sulfuric Acid, Lead, Magnesium, Calcium</t>
  </si>
  <si>
    <t>REG00573</t>
  </si>
  <si>
    <t>REG00573-S1</t>
  </si>
  <si>
    <t>INV00573</t>
  </si>
  <si>
    <t>012-XXX-546</t>
  </si>
  <si>
    <t>REG00573-S2</t>
  </si>
  <si>
    <t>REG00574</t>
  </si>
  <si>
    <t>REG00574-S1</t>
  </si>
  <si>
    <t>INV00574</t>
  </si>
  <si>
    <t>012-XXX-943</t>
  </si>
  <si>
    <t>REG00574-S2</t>
  </si>
  <si>
    <t>REG00574-S3</t>
  </si>
  <si>
    <t>REG00574-S4</t>
  </si>
  <si>
    <t>Nitrite, Iron, Sodium, Potassium</t>
  </si>
  <si>
    <t>REG00574-S5</t>
  </si>
  <si>
    <t>Phosphate, Nitrate, Lead</t>
  </si>
  <si>
    <t>REG00575</t>
  </si>
  <si>
    <t>REG00575-S1</t>
  </si>
  <si>
    <t>INV00575</t>
  </si>
  <si>
    <t>REG00575-S2</t>
  </si>
  <si>
    <t>REG00576</t>
  </si>
  <si>
    <t>REG00576-S1</t>
  </si>
  <si>
    <t>INV00576</t>
  </si>
  <si>
    <t>012-XXX-100</t>
  </si>
  <si>
    <t>Sodium, Nitrate, Potassium</t>
  </si>
  <si>
    <t>REG00576-S2</t>
  </si>
  <si>
    <t>REG00576-S3</t>
  </si>
  <si>
    <t>Magnesium, Calcium, Nitrate</t>
  </si>
  <si>
    <t>REG00576-S4</t>
  </si>
  <si>
    <t>Iron, Nitrite, Sulfuric Acid, Sulfate</t>
  </si>
  <si>
    <t>REG00576-S5</t>
  </si>
  <si>
    <t>REG00577</t>
  </si>
  <si>
    <t>REG00577-S1</t>
  </si>
  <si>
    <t>INV00577</t>
  </si>
  <si>
    <t>Potassium, Sodium, Iron, Hydrochloric Acid</t>
  </si>
  <si>
    <t>REG00577-S2</t>
  </si>
  <si>
    <t>REG00577-S3</t>
  </si>
  <si>
    <t>REG00577-S4</t>
  </si>
  <si>
    <t>REG00578</t>
  </si>
  <si>
    <t>REG00578-S1</t>
  </si>
  <si>
    <t>INV00578</t>
  </si>
  <si>
    <t>012-XXX-721</t>
  </si>
  <si>
    <t>REG00578-S2</t>
  </si>
  <si>
    <t>Lead, Potassium, Magnesium, Nitrite</t>
  </si>
  <si>
    <t>REG00578-S3</t>
  </si>
  <si>
    <t>REG00578-S4</t>
  </si>
  <si>
    <t>REG00578-S5</t>
  </si>
  <si>
    <t>REG00579</t>
  </si>
  <si>
    <t>REG00579-S1</t>
  </si>
  <si>
    <t>INV00579</t>
  </si>
  <si>
    <t>Iron, Sulfate, Ammonia, Chloride</t>
  </si>
  <si>
    <t>REG00579-S2</t>
  </si>
  <si>
    <t>REG00579-S3</t>
  </si>
  <si>
    <t>REG00579-S4</t>
  </si>
  <si>
    <t>Iron, Lead, Sulfate</t>
  </si>
  <si>
    <t>REG00580</t>
  </si>
  <si>
    <t>REG00580-S1</t>
  </si>
  <si>
    <t>INV00580</t>
  </si>
  <si>
    <t>012-XXX-112</t>
  </si>
  <si>
    <t>Magnesium, Lead, Sulfuric Acid</t>
  </si>
  <si>
    <t>REG00580-S2</t>
  </si>
  <si>
    <t>REG00580-S3</t>
  </si>
  <si>
    <t>REG00580-S4</t>
  </si>
  <si>
    <t>Sodium, Magnesium, Lead, Calcium</t>
  </si>
  <si>
    <t>REG00580-S5</t>
  </si>
  <si>
    <t>Calcium, Sodium, Iron, Lead</t>
  </si>
  <si>
    <t>REG00581</t>
  </si>
  <si>
    <t>REG00581-S1</t>
  </si>
  <si>
    <t>INV00581</t>
  </si>
  <si>
    <t>REG00581-S2</t>
  </si>
  <si>
    <t>Hydrochloric Acid, Chloride, Ammonia, Calcium</t>
  </si>
  <si>
    <t>REG00581-S3</t>
  </si>
  <si>
    <t>Chloride, Iron, Sodium Hydroxide</t>
  </si>
  <si>
    <t>REG00582</t>
  </si>
  <si>
    <t>REG00582-S1</t>
  </si>
  <si>
    <t>INV00582</t>
  </si>
  <si>
    <t>Potassium, Chloride, Sulfuric Acid, Magnesium</t>
  </si>
  <si>
    <t>REG00582-S2</t>
  </si>
  <si>
    <t>REG00583</t>
  </si>
  <si>
    <t>REG00583-S1</t>
  </si>
  <si>
    <t>INV00583</t>
  </si>
  <si>
    <t>REG00583-S2</t>
  </si>
  <si>
    <t>REG00583-S3</t>
  </si>
  <si>
    <t>Magnesium, Phosphate, Sulfate, Iron</t>
  </si>
  <si>
    <t>REG00583-S4</t>
  </si>
  <si>
    <t>Chloride, Magnesium, Calcium, Lead</t>
  </si>
  <si>
    <t>REG00583-S5</t>
  </si>
  <si>
    <t>Sodium, Nitrate, Magnesium</t>
  </si>
  <si>
    <t>REG00584</t>
  </si>
  <si>
    <t>REG00584-S1</t>
  </si>
  <si>
    <t>INV00584</t>
  </si>
  <si>
    <t>Ammonia, Magnesium, Nitrate</t>
  </si>
  <si>
    <t>REG00584-S2</t>
  </si>
  <si>
    <t>REG00584-S3</t>
  </si>
  <si>
    <t>REG00584-S4</t>
  </si>
  <si>
    <t>Sulfuric Acid, Chloride, Potassium, Phosphate</t>
  </si>
  <si>
    <t>REG00584-S5</t>
  </si>
  <si>
    <t>Sodium Hydroxide, Sulfate, Potassium, Lead</t>
  </si>
  <si>
    <t>REG00585</t>
  </si>
  <si>
    <t>REG00585-S1</t>
  </si>
  <si>
    <t>INV00585</t>
  </si>
  <si>
    <t>012-XXX-751</t>
  </si>
  <si>
    <t>REG00585-S2</t>
  </si>
  <si>
    <t>REG00585-S3</t>
  </si>
  <si>
    <t>Chloride, Hydrochloric Acid, Nitrate, Sodium Hydroxide</t>
  </si>
  <si>
    <t>REG00585-S4</t>
  </si>
  <si>
    <t>Nitrite, Magnesium, Lead, Potassium</t>
  </si>
  <si>
    <t>REG00586</t>
  </si>
  <si>
    <t>REG00586-S1</t>
  </si>
  <si>
    <t>INV00586</t>
  </si>
  <si>
    <t>Nitrite, Iron, Magnesium, Sulfate</t>
  </si>
  <si>
    <t>REG00586-S2</t>
  </si>
  <si>
    <t>Magnesium, Hydrochloric Acid, Lead</t>
  </si>
  <si>
    <t>REG00587</t>
  </si>
  <si>
    <t>REG00587-S1</t>
  </si>
  <si>
    <t>INV00587</t>
  </si>
  <si>
    <t>REG00587-S2</t>
  </si>
  <si>
    <t>REG00588</t>
  </si>
  <si>
    <t>REG00588-S1</t>
  </si>
  <si>
    <t>INV00588</t>
  </si>
  <si>
    <t>Iron, Chloride, Lead</t>
  </si>
  <si>
    <t>REG00588-S2</t>
  </si>
  <si>
    <t>REG00588-S3</t>
  </si>
  <si>
    <t>Lead, Phosphate, Iron</t>
  </si>
  <si>
    <t>REG00588-S4</t>
  </si>
  <si>
    <t>Hydrochloric Acid, Chloride, Nitrite</t>
  </si>
  <si>
    <t>REG00589</t>
  </si>
  <si>
    <t>REG00589-S1</t>
  </si>
  <si>
    <t>INV00589</t>
  </si>
  <si>
    <t>012-XXX-303</t>
  </si>
  <si>
    <t>REG00590</t>
  </si>
  <si>
    <t>REG00590-S1</t>
  </si>
  <si>
    <t>INV00590</t>
  </si>
  <si>
    <t>012-XXX-566</t>
  </si>
  <si>
    <t>REG00591</t>
  </si>
  <si>
    <t>REG00591-S1</t>
  </si>
  <si>
    <t>INV00591</t>
  </si>
  <si>
    <t>012-XXX-424</t>
  </si>
  <si>
    <t>REG00591-S2</t>
  </si>
  <si>
    <t>REG00592</t>
  </si>
  <si>
    <t>REG00592-S1</t>
  </si>
  <si>
    <t>INV00592</t>
  </si>
  <si>
    <t>012-XXX-832</t>
  </si>
  <si>
    <t>REG00592-S2</t>
  </si>
  <si>
    <t>Sulfuric Acid, Chloride, Potassium, Sodium</t>
  </si>
  <si>
    <t>REG00592-S3</t>
  </si>
  <si>
    <t>REG00593</t>
  </si>
  <si>
    <t>REG00593-S1</t>
  </si>
  <si>
    <t>INV00593</t>
  </si>
  <si>
    <t>Nitrate, Iron, Sulfate, Calcium</t>
  </si>
  <si>
    <t>REG00593-S2</t>
  </si>
  <si>
    <t>REG00594</t>
  </si>
  <si>
    <t>REG00594-S1</t>
  </si>
  <si>
    <t>INV00594</t>
  </si>
  <si>
    <t>012-XXX-281</t>
  </si>
  <si>
    <t>REG00594-S2</t>
  </si>
  <si>
    <t>REG00594-S3</t>
  </si>
  <si>
    <t>REG00595</t>
  </si>
  <si>
    <t>REG00595-S1</t>
  </si>
  <si>
    <t>INV00595</t>
  </si>
  <si>
    <t>012-XXX-477</t>
  </si>
  <si>
    <t>REG00595-S2</t>
  </si>
  <si>
    <t>REG00596</t>
  </si>
  <si>
    <t>REG00596-S1</t>
  </si>
  <si>
    <t>INV00596</t>
  </si>
  <si>
    <t>REG00596-S2</t>
  </si>
  <si>
    <t>Nitrate, Chloride, Iron, Calcium</t>
  </si>
  <si>
    <t>REG00596-S3</t>
  </si>
  <si>
    <t>REG00596-S4</t>
  </si>
  <si>
    <t>Calcium, Chloride, Nitrite</t>
  </si>
  <si>
    <t>REG00596-S5</t>
  </si>
  <si>
    <t>Potassium, Lead, Iron</t>
  </si>
  <si>
    <t>REG00597</t>
  </si>
  <si>
    <t>REG00597-S1</t>
  </si>
  <si>
    <t>INV00597</t>
  </si>
  <si>
    <t>Ammonia, Potassium, Sodium Hydroxide</t>
  </si>
  <si>
    <t>REG00597-S2</t>
  </si>
  <si>
    <t>Hydrochloric Acid, Nitrate, Lead</t>
  </si>
  <si>
    <t>REG00597-S3</t>
  </si>
  <si>
    <t>REG00598</t>
  </si>
  <si>
    <t>REG00598-S1</t>
  </si>
  <si>
    <t>INV00598</t>
  </si>
  <si>
    <t>REG00598-S2</t>
  </si>
  <si>
    <t>REG00598-S3</t>
  </si>
  <si>
    <t>REG00599</t>
  </si>
  <si>
    <t>REG00599-S1</t>
  </si>
  <si>
    <t>INV00599</t>
  </si>
  <si>
    <t>012-XXX-736</t>
  </si>
  <si>
    <t>REG00599-S2</t>
  </si>
  <si>
    <t>REG00599-S3</t>
  </si>
  <si>
    <t>Sulfuric Acid, Iron, Sodium, Lead</t>
  </si>
  <si>
    <t>REG00599-S4</t>
  </si>
  <si>
    <t>REG00600</t>
  </si>
  <si>
    <t>REG00600-S1</t>
  </si>
  <si>
    <t>INV00600</t>
  </si>
  <si>
    <t>012-XXX-960</t>
  </si>
  <si>
    <t>REG00600-S2</t>
  </si>
  <si>
    <t>REG00600-S3</t>
  </si>
  <si>
    <t>REG00600-S4</t>
  </si>
  <si>
    <t>REG00601</t>
  </si>
  <si>
    <t>REG00601-S1</t>
  </si>
  <si>
    <t>INV00601</t>
  </si>
  <si>
    <t>Phosphate, Potassium, Chloride</t>
  </si>
  <si>
    <t>REG00601-S2</t>
  </si>
  <si>
    <t>REG00601-S3</t>
  </si>
  <si>
    <t>REG00602</t>
  </si>
  <si>
    <t>REG00602-S1</t>
  </si>
  <si>
    <t>INV00602</t>
  </si>
  <si>
    <t>Nitrite, Hydrochloric Acid, Iron</t>
  </si>
  <si>
    <t>REG00602-S2</t>
  </si>
  <si>
    <t>REG00603</t>
  </si>
  <si>
    <t>REG00603-S1</t>
  </si>
  <si>
    <t>INV00603</t>
  </si>
  <si>
    <t>012-XXX-188</t>
  </si>
  <si>
    <t>Sodium, Ammonia, Sodium Hydroxide, Calcium</t>
  </si>
  <si>
    <t>REG00604</t>
  </si>
  <si>
    <t>REG00604-S1</t>
  </si>
  <si>
    <t>INV00604</t>
  </si>
  <si>
    <t>012-XXX-169</t>
  </si>
  <si>
    <t>Hydrochloric Acid, Nitrite, Sulfate, Iron</t>
  </si>
  <si>
    <t>REG00604-S2</t>
  </si>
  <si>
    <t>REG00604-S3</t>
  </si>
  <si>
    <t>REG00605</t>
  </si>
  <si>
    <t>REG00605-S1</t>
  </si>
  <si>
    <t>INV00605</t>
  </si>
  <si>
    <t>Nitrate, Magnesium, Lead, Calcium</t>
  </si>
  <si>
    <t>REG00605-S2</t>
  </si>
  <si>
    <t>REG00605-S3</t>
  </si>
  <si>
    <t>REG00605-S4</t>
  </si>
  <si>
    <t>Sodium, Iron, Potassium, Sodium Hydroxide</t>
  </si>
  <si>
    <t>REG00605-S5</t>
  </si>
  <si>
    <t>REG00606</t>
  </si>
  <si>
    <t>REG00606-S1</t>
  </si>
  <si>
    <t>INV00606</t>
  </si>
  <si>
    <t>Nitrite, Sulfuric Acid, Sulfate</t>
  </si>
  <si>
    <t>REG00607</t>
  </si>
  <si>
    <t>REG00607-S1</t>
  </si>
  <si>
    <t>INV00607</t>
  </si>
  <si>
    <t>REG00607-S2</t>
  </si>
  <si>
    <t>REG00607-S3</t>
  </si>
  <si>
    <t>REG00607-S4</t>
  </si>
  <si>
    <t>Sulfuric Acid, Hydrochloric Acid, Iron</t>
  </si>
  <si>
    <t>REG00607-S5</t>
  </si>
  <si>
    <t>Lead, Ammonia, Chloride, Phosphate</t>
  </si>
  <si>
    <t>REG00608</t>
  </si>
  <si>
    <t>REG00608-S1</t>
  </si>
  <si>
    <t>INV00608</t>
  </si>
  <si>
    <t>012-XXX-102</t>
  </si>
  <si>
    <t>Ammonia, Lead, Sodium Hydroxide, Chloride</t>
  </si>
  <si>
    <t>REG00609</t>
  </si>
  <si>
    <t>REG00609-S1</t>
  </si>
  <si>
    <t>INV00609</t>
  </si>
  <si>
    <t>REG00610</t>
  </si>
  <si>
    <t>REG00610-S1</t>
  </si>
  <si>
    <t>INV00610</t>
  </si>
  <si>
    <t>Potassium, Chloride</t>
  </si>
  <si>
    <t>REG00610-S2</t>
  </si>
  <si>
    <t>REG00610-S3</t>
  </si>
  <si>
    <t>Sodium, Sulfate, Ammonia</t>
  </si>
  <si>
    <t>REG00610-S4</t>
  </si>
  <si>
    <t>Nitrate, Lead, Phosphate</t>
  </si>
  <si>
    <t>REG00610-S5</t>
  </si>
  <si>
    <t>Nitrite, Lead, Sodium</t>
  </si>
  <si>
    <t>REG00611</t>
  </si>
  <si>
    <t>REG00611-S1</t>
  </si>
  <si>
    <t>INV00611</t>
  </si>
  <si>
    <t>012-XXX-437</t>
  </si>
  <si>
    <t>Sodium, Magnesium, Iron</t>
  </si>
  <si>
    <t>REG00612</t>
  </si>
  <si>
    <t>REG00612-S1</t>
  </si>
  <si>
    <t>INV00612</t>
  </si>
  <si>
    <t>REG00612-S2</t>
  </si>
  <si>
    <t>Phosphate, Potassium, Nitrate, Sulfuric Acid</t>
  </si>
  <si>
    <t>REG00612-S3</t>
  </si>
  <si>
    <t>Calcium, Sulfate, Magnesium, Sulfuric Acid</t>
  </si>
  <si>
    <t>REG00612-S4</t>
  </si>
  <si>
    <t>Hydrochloric Acid, Sodium, Sulfuric Acid</t>
  </si>
  <si>
    <t>REG00613</t>
  </si>
  <si>
    <t>REG00613-S1</t>
  </si>
  <si>
    <t>INV00613</t>
  </si>
  <si>
    <t>REG00613-S2</t>
  </si>
  <si>
    <t>REG00613-S3</t>
  </si>
  <si>
    <t>REG00613-S4</t>
  </si>
  <si>
    <t>REG00614</t>
  </si>
  <si>
    <t>REG00614-S1</t>
  </si>
  <si>
    <t>INV00614</t>
  </si>
  <si>
    <t>012-XXX-323</t>
  </si>
  <si>
    <t>REG00614-S2</t>
  </si>
  <si>
    <t>REG00614-S3</t>
  </si>
  <si>
    <t>Nitrate, Chloride, Calcium, Lead</t>
  </si>
  <si>
    <t>REG00614-S4</t>
  </si>
  <si>
    <t>Nitrate, Sulfate, Magnesium, Iron</t>
  </si>
  <si>
    <t>REG00614-S5</t>
  </si>
  <si>
    <t>REG00615</t>
  </si>
  <si>
    <t>REG00615-S1</t>
  </si>
  <si>
    <t>INV00615</t>
  </si>
  <si>
    <t>012-XXX-651</t>
  </si>
  <si>
    <t>REG00615-S2</t>
  </si>
  <si>
    <t>REG00615-S3</t>
  </si>
  <si>
    <t>Nitrate, Hydrochloric Acid, Sulfate</t>
  </si>
  <si>
    <t>REG00615-S4</t>
  </si>
  <si>
    <t>Chloride, Magnesium, Sodium, Phosphate</t>
  </si>
  <si>
    <t>REG00616</t>
  </si>
  <si>
    <t>REG00616-S1</t>
  </si>
  <si>
    <t>INV00616</t>
  </si>
  <si>
    <t>REG00616-S2</t>
  </si>
  <si>
    <t>REG00616-S3</t>
  </si>
  <si>
    <t>REG00616-S4</t>
  </si>
  <si>
    <t>REG00616-S5</t>
  </si>
  <si>
    <t>Ammonia, Chloride</t>
  </si>
  <si>
    <t>REG00617</t>
  </si>
  <si>
    <t>REG00617-S1</t>
  </si>
  <si>
    <t>INV00617</t>
  </si>
  <si>
    <t>012-XXX-397</t>
  </si>
  <si>
    <t>Ammonia, Chloride, Sulfuric Acid, Sodium</t>
  </si>
  <si>
    <t>REG00617-S2</t>
  </si>
  <si>
    <t>Hydrochloric Acid, Lead</t>
  </si>
  <si>
    <t>REG00617-S3</t>
  </si>
  <si>
    <t>REG00617-S4</t>
  </si>
  <si>
    <t>Sodium Hydroxide, Sulfuric Acid, Ammonia, Iron</t>
  </si>
  <si>
    <t>REG00617-S5</t>
  </si>
  <si>
    <t>Lead, Sulfuric Acid</t>
  </si>
  <si>
    <t>REG00618</t>
  </si>
  <si>
    <t>REG00618-S1</t>
  </si>
  <si>
    <t>INV00618</t>
  </si>
  <si>
    <t>Sodium, Sodium Hydroxide, Sulfate, Chloride</t>
  </si>
  <si>
    <t>REG00618-S2</t>
  </si>
  <si>
    <t>REG00618-S3</t>
  </si>
  <si>
    <t>REG00618-S4</t>
  </si>
  <si>
    <t>Calcium, Hydrochloric Acid, Sulfuric Acid</t>
  </si>
  <si>
    <t>REG00619</t>
  </si>
  <si>
    <t>REG00619-S1</t>
  </si>
  <si>
    <t>INV00619</t>
  </si>
  <si>
    <t>REG00620</t>
  </si>
  <si>
    <t>REG00620-S1</t>
  </si>
  <si>
    <t>INV00620</t>
  </si>
  <si>
    <t>012-XXX-659</t>
  </si>
  <si>
    <t>REG00620-S2</t>
  </si>
  <si>
    <t>Sodium Hydroxide, Hydrochloric Acid, Calcium</t>
  </si>
  <si>
    <t>REG00620-S3</t>
  </si>
  <si>
    <t>REG00620-S4</t>
  </si>
  <si>
    <t>REG00621</t>
  </si>
  <si>
    <t>REG00621-S1</t>
  </si>
  <si>
    <t>INV00621</t>
  </si>
  <si>
    <t>Nitrite, Calcium, Magnesium</t>
  </si>
  <si>
    <t>REG00622</t>
  </si>
  <si>
    <t>REG00622-S1</t>
  </si>
  <si>
    <t>INV00622</t>
  </si>
  <si>
    <t>012-XXX-426</t>
  </si>
  <si>
    <t>REG00622-S2</t>
  </si>
  <si>
    <t>Lead, Magnesium, Nitrate, Potassium</t>
  </si>
  <si>
    <t>REG00622-S3</t>
  </si>
  <si>
    <t>REG00623</t>
  </si>
  <si>
    <t>REG00623-S1</t>
  </si>
  <si>
    <t>INV00623</t>
  </si>
  <si>
    <t>012-XXX-986</t>
  </si>
  <si>
    <t>REG00623-S2</t>
  </si>
  <si>
    <t>Iron, Hydrochloric Acid</t>
  </si>
  <si>
    <t>REG00623-S3</t>
  </si>
  <si>
    <t>Magnesium, Phosphate, Hydrochloric Acid, Ammonia</t>
  </si>
  <si>
    <t>REG00624</t>
  </si>
  <si>
    <t>REG00624-S1</t>
  </si>
  <si>
    <t>INV00624</t>
  </si>
  <si>
    <t>Sulfuric Acid, Nitrite, Calcium</t>
  </si>
  <si>
    <t>REG00624-S2</t>
  </si>
  <si>
    <t>REG00624-S3</t>
  </si>
  <si>
    <t>Phosphate, Sulfuric Acid, Lead, Sodium</t>
  </si>
  <si>
    <t>REG00625</t>
  </si>
  <si>
    <t>REG00625-S1</t>
  </si>
  <si>
    <t>INV00625</t>
  </si>
  <si>
    <t>REG00625-S2</t>
  </si>
  <si>
    <t>Lead, Iron, Sodium Hydroxide, Phosphate</t>
  </si>
  <si>
    <t>REG00625-S3</t>
  </si>
  <si>
    <t>REG00626</t>
  </si>
  <si>
    <t>REG00626-S1</t>
  </si>
  <si>
    <t>INV00626</t>
  </si>
  <si>
    <t>012-XXX-900</t>
  </si>
  <si>
    <t>Nitrite, Lead, Nitrate, Sulfate</t>
  </si>
  <si>
    <t>REG00626-S2</t>
  </si>
  <si>
    <t>Phosphate, Chloride, Nitrate, Calcium</t>
  </si>
  <si>
    <t>REG00626-S3</t>
  </si>
  <si>
    <t>REG00626-S4</t>
  </si>
  <si>
    <t>REG00626-S5</t>
  </si>
  <si>
    <t>REG00627</t>
  </si>
  <si>
    <t>REG00627-S1</t>
  </si>
  <si>
    <t>INV00627</t>
  </si>
  <si>
    <t>REG00627-S2</t>
  </si>
  <si>
    <t>REG00628</t>
  </si>
  <si>
    <t>REG00628-S1</t>
  </si>
  <si>
    <t>INV00628</t>
  </si>
  <si>
    <t>012-XXX-799</t>
  </si>
  <si>
    <t>Calcium, Nitrate, Chloride, Sodium Hydroxide</t>
  </si>
  <si>
    <t>REG00628-S2</t>
  </si>
  <si>
    <t>REG00629</t>
  </si>
  <si>
    <t>REG00629-S1</t>
  </si>
  <si>
    <t>INV00629</t>
  </si>
  <si>
    <t>012-XXX-367</t>
  </si>
  <si>
    <t>Lead, Chloride, Ammonia, Calcium</t>
  </si>
  <si>
    <t>REG00629-S2</t>
  </si>
  <si>
    <t>Phosphate, Lead, Magnesium</t>
  </si>
  <si>
    <t>REG00630</t>
  </si>
  <si>
    <t>REG00630-S1</t>
  </si>
  <si>
    <t>INV00630</t>
  </si>
  <si>
    <t>REG00630-S2</t>
  </si>
  <si>
    <t>Nitrate, Sulfate, Phosphate, Sodium Hydroxide</t>
  </si>
  <si>
    <t>REG00630-S3</t>
  </si>
  <si>
    <t>REG00630-S4</t>
  </si>
  <si>
    <t>Sulfuric Acid, Potassium, Magnesium, Phosphate</t>
  </si>
  <si>
    <t>REG00630-S5</t>
  </si>
  <si>
    <t>Sodium Hydroxide, Iron, Nitrate, Sulfuric Acid</t>
  </si>
  <si>
    <t>REG00631</t>
  </si>
  <si>
    <t>REG00631-S1</t>
  </si>
  <si>
    <t>INV00631</t>
  </si>
  <si>
    <t>012-XXX-818</t>
  </si>
  <si>
    <t>REG00632</t>
  </si>
  <si>
    <t>REG00632-S1</t>
  </si>
  <si>
    <t>INV00632</t>
  </si>
  <si>
    <t>012-XXX-972</t>
  </si>
  <si>
    <t>REG00632-S2</t>
  </si>
  <si>
    <t>Lead, Sulfuric Acid, Ammonia</t>
  </si>
  <si>
    <t>REG00632-S3</t>
  </si>
  <si>
    <t>REG00632-S4</t>
  </si>
  <si>
    <t>REG00632-S5</t>
  </si>
  <si>
    <t>REG00633</t>
  </si>
  <si>
    <t>REG00633-S1</t>
  </si>
  <si>
    <t>INV00633</t>
  </si>
  <si>
    <t>012-XXX-521</t>
  </si>
  <si>
    <t>REG00633-S2</t>
  </si>
  <si>
    <t>Ammonia, Iron, Nitrite, Magnesium</t>
  </si>
  <si>
    <t>REG00633-S3</t>
  </si>
  <si>
    <t>REG00634</t>
  </si>
  <si>
    <t>REG00634-S1</t>
  </si>
  <si>
    <t>INV00634</t>
  </si>
  <si>
    <t>012-XXX-770</t>
  </si>
  <si>
    <t>REG00634-S2</t>
  </si>
  <si>
    <t>REG00634-S3</t>
  </si>
  <si>
    <t>Calcium, Nitrate, Lead</t>
  </si>
  <si>
    <t>REG00635</t>
  </si>
  <si>
    <t>REG00635-S1</t>
  </si>
  <si>
    <t>INV00635</t>
  </si>
  <si>
    <t>Hydrochloric Acid, Magnesium</t>
  </si>
  <si>
    <t>REG00635-S2</t>
  </si>
  <si>
    <t>REG00635-S3</t>
  </si>
  <si>
    <t>Sulfate, Nitrite, Phosphate, Potassium</t>
  </si>
  <si>
    <t>REG00636</t>
  </si>
  <si>
    <t>REG00636-S1</t>
  </si>
  <si>
    <t>INV00636</t>
  </si>
  <si>
    <t>012-XXX-351</t>
  </si>
  <si>
    <t>REG00636-S2</t>
  </si>
  <si>
    <t>REG00636-S3</t>
  </si>
  <si>
    <t>Sulfuric Acid, Nitrate, Magnesium, Ammonia</t>
  </si>
  <si>
    <t>REG00637</t>
  </si>
  <si>
    <t>REG00637-S1</t>
  </si>
  <si>
    <t>INV00637</t>
  </si>
  <si>
    <t>Hydrochloric Acid, Sodium Hydroxide, Lead</t>
  </si>
  <si>
    <t>REG00638</t>
  </si>
  <si>
    <t>REG00638-S1</t>
  </si>
  <si>
    <t>INV00638</t>
  </si>
  <si>
    <t>012-XXX-486</t>
  </si>
  <si>
    <t>REG00638-S2</t>
  </si>
  <si>
    <t>Phosphate, Sodium Hydroxide, Potassium, Sodium</t>
  </si>
  <si>
    <t>2025-01-11</t>
  </si>
  <si>
    <t>REG00638-S3</t>
  </si>
  <si>
    <t>REG00639</t>
  </si>
  <si>
    <t>REG00639-S1</t>
  </si>
  <si>
    <t>INV00639</t>
  </si>
  <si>
    <t>REG00639-S2</t>
  </si>
  <si>
    <t>REG00639-S3</t>
  </si>
  <si>
    <t>REG00639-S4</t>
  </si>
  <si>
    <t>REG00640</t>
  </si>
  <si>
    <t>REG00640-S1</t>
  </si>
  <si>
    <t>INV00640</t>
  </si>
  <si>
    <t>REG00640-S2</t>
  </si>
  <si>
    <t>REG00640-S3</t>
  </si>
  <si>
    <t>REG00640-S4</t>
  </si>
  <si>
    <t>Phosphate, Magnesium, Nitrate, Chloride</t>
  </si>
  <si>
    <t>REG00641</t>
  </si>
  <si>
    <t>REG00641-S1</t>
  </si>
  <si>
    <t>INV00641</t>
  </si>
  <si>
    <t>REG00641-S2</t>
  </si>
  <si>
    <t>REG00641-S3</t>
  </si>
  <si>
    <t>Sodium, Chloride, Calcium</t>
  </si>
  <si>
    <t>REG00642</t>
  </si>
  <si>
    <t>REG00642-S1</t>
  </si>
  <si>
    <t>INV00642</t>
  </si>
  <si>
    <t>012-XXX-775</t>
  </si>
  <si>
    <t>REG00642-S2</t>
  </si>
  <si>
    <t>REG00643</t>
  </si>
  <si>
    <t>REG00643-S1</t>
  </si>
  <si>
    <t>INV00643</t>
  </si>
  <si>
    <t>012-XXX-879</t>
  </si>
  <si>
    <t>REG00644</t>
  </si>
  <si>
    <t>REG00644-S1</t>
  </si>
  <si>
    <t>INV00644</t>
  </si>
  <si>
    <t>Sulfuric Acid, Phosphate, Nitrate, Ammonia</t>
  </si>
  <si>
    <t>REG00645</t>
  </si>
  <si>
    <t>REG00645-S1</t>
  </si>
  <si>
    <t>INV00645</t>
  </si>
  <si>
    <t>012-XXX-132</t>
  </si>
  <si>
    <t>Phosphate, Calcium, Lead, Nitrite</t>
  </si>
  <si>
    <t>REG00645-S2</t>
  </si>
  <si>
    <t>REG00645-S3</t>
  </si>
  <si>
    <t>REG00645-S4</t>
  </si>
  <si>
    <t>Calcium, Hydrochloric Acid, Sodium Hydroxide, Sodium</t>
  </si>
  <si>
    <t>REG00645-S5</t>
  </si>
  <si>
    <t>Chloride, Potassium, Lead, Nitrite</t>
  </si>
  <si>
    <t>REG00646</t>
  </si>
  <si>
    <t>REG00646-S1</t>
  </si>
  <si>
    <t>INV00646</t>
  </si>
  <si>
    <t>Chloride, Sulfate, Potassium, Sulfuric Acid</t>
  </si>
  <si>
    <t>REG00646-S2</t>
  </si>
  <si>
    <t>REG00646-S3</t>
  </si>
  <si>
    <t>REG00646-S4</t>
  </si>
  <si>
    <t>REG00647</t>
  </si>
  <si>
    <t>REG00647-S1</t>
  </si>
  <si>
    <t>INV00647</t>
  </si>
  <si>
    <t>Potassium, Phosphate, Sulfate, Magnesium</t>
  </si>
  <si>
    <t>REG00647-S2</t>
  </si>
  <si>
    <t>Sulfate, Nitrite, Nitrate, Calcium</t>
  </si>
  <si>
    <t>REG00647-S3</t>
  </si>
  <si>
    <t>REG00648</t>
  </si>
  <si>
    <t>REG00648-S1</t>
  </si>
  <si>
    <t>INV00648</t>
  </si>
  <si>
    <t>012-XXX-803</t>
  </si>
  <si>
    <t>REG00648-S2</t>
  </si>
  <si>
    <t>REG00648-S3</t>
  </si>
  <si>
    <t>Iron, Phosphate, Potassium</t>
  </si>
  <si>
    <t>REG00649</t>
  </si>
  <si>
    <t>REG00649-S1</t>
  </si>
  <si>
    <t>INV00649</t>
  </si>
  <si>
    <t>REG00649-S2</t>
  </si>
  <si>
    <t>Calcium, Potassium, Hydrochloric Acid</t>
  </si>
  <si>
    <t>REG00649-S3</t>
  </si>
  <si>
    <t>Nitrate, Sodium Hydroxide, Sulfuric Acid</t>
  </si>
  <si>
    <t>REG00649-S4</t>
  </si>
  <si>
    <t>REG00650</t>
  </si>
  <si>
    <t>REG00650-S1</t>
  </si>
  <si>
    <t>INV00650</t>
  </si>
  <si>
    <t>012-XXX-355</t>
  </si>
  <si>
    <t>Sodium Hydroxide, Sulfate, Lead, Phosphate</t>
  </si>
  <si>
    <t>REG00651</t>
  </si>
  <si>
    <t>REG00651-S1</t>
  </si>
  <si>
    <t>INV00651</t>
  </si>
  <si>
    <t>REG00651-S2</t>
  </si>
  <si>
    <t>REG00651-S3</t>
  </si>
  <si>
    <t>REG00651-S4</t>
  </si>
  <si>
    <t>Sulfate, Sulfuric Acid, Potassium</t>
  </si>
  <si>
    <t>REG00652</t>
  </si>
  <si>
    <t>REG00652-S1</t>
  </si>
  <si>
    <t>INV00652</t>
  </si>
  <si>
    <t>REG00653</t>
  </si>
  <si>
    <t>REG00653-S1</t>
  </si>
  <si>
    <t>INV00653</t>
  </si>
  <si>
    <t>012-XXX-941</t>
  </si>
  <si>
    <t>REG00654</t>
  </si>
  <si>
    <t>REG00654-S1</t>
  </si>
  <si>
    <t>INV00654</t>
  </si>
  <si>
    <t>Phosphate, Sodium Hydroxide, Lead</t>
  </si>
  <si>
    <t>REG00655</t>
  </si>
  <si>
    <t>REG00655-S1</t>
  </si>
  <si>
    <t>INV00655</t>
  </si>
  <si>
    <t>REG00656</t>
  </si>
  <si>
    <t>REG00656-S1</t>
  </si>
  <si>
    <t>INV00656</t>
  </si>
  <si>
    <t>REG00657</t>
  </si>
  <si>
    <t>REG00657-S1</t>
  </si>
  <si>
    <t>INV00657</t>
  </si>
  <si>
    <t>Magnesium, Nitrite</t>
  </si>
  <si>
    <t>REG00657-S2</t>
  </si>
  <si>
    <t>Chloride, Ammonia, Sodium Hydroxide</t>
  </si>
  <si>
    <t>REG00657-S3</t>
  </si>
  <si>
    <t>Hydrochloric Acid, Chloride, Nitrite, Nitrate</t>
  </si>
  <si>
    <t>REG00657-S4</t>
  </si>
  <si>
    <t>REG00658</t>
  </si>
  <si>
    <t>REG00658-S1</t>
  </si>
  <si>
    <t>INV00658</t>
  </si>
  <si>
    <t>REG00658-S2</t>
  </si>
  <si>
    <t>Sulfate, Potassium, Lead, Calcium</t>
  </si>
  <si>
    <t>Testing Estimtae</t>
  </si>
  <si>
    <t>On time/Late</t>
  </si>
  <si>
    <t>Active/Inactive</t>
  </si>
  <si>
    <t>MBL</t>
  </si>
  <si>
    <t>GDA</t>
  </si>
  <si>
    <t>Clean Water</t>
  </si>
  <si>
    <t>Regulation</t>
  </si>
  <si>
    <t>GIZ-ICONE</t>
  </si>
  <si>
    <t>Business Owner</t>
  </si>
  <si>
    <t>Other Government Institutions</t>
  </si>
  <si>
    <t>Factory</t>
  </si>
  <si>
    <t>WCS</t>
  </si>
  <si>
    <t>Department</t>
  </si>
  <si>
    <t>MME</t>
  </si>
  <si>
    <t>Non-Business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</si>
</sst>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8</v>
      </c>
    </row>
    <row r="3" spans="1:3" x14ac:dyDescent="0.2">
      <c r="A3" t="s">
        <v>5</v>
      </c>
      <c r="B3" t="s">
        <v>6</v>
      </c>
      <c r="C3">
        <v>7.5</v>
      </c>
    </row>
    <row r="4" spans="1:3" x14ac:dyDescent="0.2">
      <c r="A4" t="s">
        <v>7</v>
      </c>
      <c r="B4" t="s">
        <v>8</v>
      </c>
      <c r="C4">
        <v>9</v>
      </c>
    </row>
    <row r="5" spans="1:3" x14ac:dyDescent="0.2">
      <c r="A5" t="s">
        <v>9</v>
      </c>
      <c r="B5" t="s">
        <v>10</v>
      </c>
      <c r="C5">
        <v>10</v>
      </c>
    </row>
    <row r="6" spans="1:3" x14ac:dyDescent="0.2">
      <c r="A6" t="s">
        <v>11</v>
      </c>
      <c r="B6" t="s">
        <v>12</v>
      </c>
      <c r="C6">
        <v>9.5</v>
      </c>
    </row>
    <row r="7" spans="1:3" x14ac:dyDescent="0.2">
      <c r="A7" t="s">
        <v>13</v>
      </c>
      <c r="B7" t="s">
        <v>14</v>
      </c>
      <c r="C7">
        <v>9.5</v>
      </c>
    </row>
    <row r="8" spans="1:3" x14ac:dyDescent="0.2">
      <c r="A8" t="s">
        <v>15</v>
      </c>
      <c r="B8" t="s">
        <v>16</v>
      </c>
      <c r="C8">
        <v>11</v>
      </c>
    </row>
    <row r="9" spans="1:3" x14ac:dyDescent="0.2">
      <c r="A9" t="s">
        <v>17</v>
      </c>
      <c r="B9" t="s">
        <v>18</v>
      </c>
      <c r="C9">
        <v>8.5</v>
      </c>
    </row>
    <row r="10" spans="1:3" x14ac:dyDescent="0.2">
      <c r="A10" t="s">
        <v>19</v>
      </c>
      <c r="B10" t="s">
        <v>20</v>
      </c>
      <c r="C10">
        <v>10.5</v>
      </c>
    </row>
    <row r="11" spans="1:3" x14ac:dyDescent="0.2">
      <c r="A11" t="s">
        <v>21</v>
      </c>
      <c r="B11" t="s">
        <v>22</v>
      </c>
      <c r="C11">
        <v>8</v>
      </c>
    </row>
    <row r="12" spans="1:3" x14ac:dyDescent="0.2">
      <c r="A12" t="s">
        <v>23</v>
      </c>
      <c r="B12" t="s">
        <v>24</v>
      </c>
      <c r="C12">
        <v>8</v>
      </c>
    </row>
    <row r="13" spans="1:3" x14ac:dyDescent="0.2">
      <c r="A13" t="s">
        <v>25</v>
      </c>
      <c r="B13" t="s">
        <v>26</v>
      </c>
      <c r="C13">
        <v>9</v>
      </c>
    </row>
    <row r="14" spans="1:3" x14ac:dyDescent="0.2">
      <c r="A14" t="s">
        <v>27</v>
      </c>
      <c r="B14" t="s">
        <v>28</v>
      </c>
      <c r="C14">
        <v>9</v>
      </c>
    </row>
    <row r="15" spans="1:3" x14ac:dyDescent="0.2">
      <c r="A15" t="s">
        <v>29</v>
      </c>
      <c r="B15" t="s">
        <v>30</v>
      </c>
      <c r="C15">
        <v>12</v>
      </c>
    </row>
    <row r="16" spans="1:3" x14ac:dyDescent="0.2">
      <c r="A16" t="s">
        <v>31</v>
      </c>
      <c r="B16" t="s">
        <v>32</v>
      </c>
      <c r="C16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01"/>
  <sheetViews>
    <sheetView tabSelected="1" topLeftCell="C1987" zoomScale="234" workbookViewId="0">
      <selection activeCell="G3" sqref="G3"/>
    </sheetView>
  </sheetViews>
  <sheetFormatPr baseColWidth="10" defaultColWidth="8.83203125" defaultRowHeight="15" x14ac:dyDescent="0.2"/>
  <cols>
    <col min="3" max="3" width="17.33203125" customWidth="1"/>
    <col min="4" max="4" width="15.1640625" style="1" customWidth="1"/>
    <col min="6" max="6" width="17.33203125" customWidth="1"/>
    <col min="7" max="7" width="15.1640625" customWidth="1"/>
    <col min="8" max="8" width="13.1640625" customWidth="1"/>
    <col min="9" max="9" width="12.5" customWidth="1"/>
    <col min="11" max="11" width="26.33203125" customWidth="1"/>
    <col min="13" max="13" width="14.83203125" customWidth="1"/>
    <col min="14" max="14" width="17.33203125" customWidth="1"/>
    <col min="15" max="15" width="13.33203125" customWidth="1"/>
    <col min="16" max="16" width="22.33203125" style="1" customWidth="1"/>
    <col min="17" max="17" width="19.5" style="2" customWidth="1"/>
    <col min="18" max="18" width="15.5" customWidth="1"/>
    <col min="19" max="19" width="12.6640625" customWidth="1"/>
    <col min="22" max="22" width="15.6640625" customWidth="1"/>
    <col min="23" max="23" width="12.1640625" customWidth="1"/>
  </cols>
  <sheetData>
    <row r="1" spans="1:25" x14ac:dyDescent="0.2">
      <c r="A1" t="s">
        <v>33</v>
      </c>
      <c r="B1" t="s">
        <v>34</v>
      </c>
      <c r="C1" t="s">
        <v>35</v>
      </c>
      <c r="D1" s="1" t="s">
        <v>36</v>
      </c>
      <c r="E1" t="s">
        <v>37</v>
      </c>
      <c r="F1" t="s">
        <v>38</v>
      </c>
      <c r="G1" s="4" t="s">
        <v>39</v>
      </c>
      <c r="H1" t="s">
        <v>40</v>
      </c>
      <c r="I1" t="s">
        <v>41</v>
      </c>
      <c r="J1" s="4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s="1" t="s">
        <v>5414</v>
      </c>
      <c r="Q1" s="3" t="s">
        <v>48</v>
      </c>
      <c r="R1" t="s">
        <v>5415</v>
      </c>
      <c r="S1" t="s">
        <v>49</v>
      </c>
      <c r="T1" t="s">
        <v>50</v>
      </c>
      <c r="U1" t="s">
        <v>51</v>
      </c>
      <c r="V1" t="s">
        <v>52</v>
      </c>
      <c r="W1" t="s">
        <v>5416</v>
      </c>
    </row>
    <row r="2" spans="1:25" x14ac:dyDescent="0.2">
      <c r="A2">
        <v>928</v>
      </c>
      <c r="B2" t="s">
        <v>2885</v>
      </c>
      <c r="C2" t="s">
        <v>2886</v>
      </c>
      <c r="D2" s="1" t="s">
        <v>2887</v>
      </c>
      <c r="E2" t="s">
        <v>2888</v>
      </c>
      <c r="F2" t="s">
        <v>1154</v>
      </c>
      <c r="G2" s="4" t="s">
        <v>5418</v>
      </c>
      <c r="H2" t="s">
        <v>2889</v>
      </c>
      <c r="I2" t="s">
        <v>59</v>
      </c>
      <c r="J2" s="4" t="s">
        <v>60</v>
      </c>
      <c r="K2" t="s">
        <v>438</v>
      </c>
      <c r="L2">
        <v>2</v>
      </c>
      <c r="M2" t="s">
        <v>1683</v>
      </c>
      <c r="N2" t="s">
        <v>1683</v>
      </c>
      <c r="O2" t="s">
        <v>1688</v>
      </c>
      <c r="P2" s="2" t="str">
        <f t="shared" ref="P2:P65" si="0">IF(ISBLANK(M2), "", TEXT(WORKDAY(M2, 7), "dd/mm/yyyy") &amp; " to " &amp; TEXT(WORKDAY(M2, 10), "dd/mm/yyyy"))</f>
        <v>14/01/2025 to 17/01/2025</v>
      </c>
      <c r="Q2" s="3">
        <v>45671</v>
      </c>
      <c r="R2" t="str">
        <f t="shared" ref="R2:R65" si="1">IF(Q2="","In Progress",
IF(AND(--Q2&gt;=DATEVALUE(LEFT(P2,10)),
       --Q2&lt;=DATEVALUE(TRIM(MID(P2,FIND("to",P2)+3,10)))),
   "On-Time","Late"))</f>
        <v>On-Time</v>
      </c>
      <c r="S2" t="s">
        <v>1158</v>
      </c>
      <c r="T2">
        <v>21</v>
      </c>
      <c r="U2" t="s">
        <v>79</v>
      </c>
      <c r="V2" t="s">
        <v>72</v>
      </c>
      <c r="W2" t="str">
        <f ca="1">IF(D2="","",
IF(TODAY()-D2&lt;=120,"Active",
IF(TODAY()-D2&lt;=210,"At Risk",
IF(TODAY()-D2&lt;=395,"Dormant",
IF(TODAY()-D2&lt;=730,"Inactive","Archived")))))</f>
        <v>Inactive</v>
      </c>
      <c r="Y2" s="1"/>
    </row>
    <row r="3" spans="1:25" x14ac:dyDescent="0.2">
      <c r="A3">
        <v>929</v>
      </c>
      <c r="B3" t="s">
        <v>2885</v>
      </c>
      <c r="C3" t="s">
        <v>2890</v>
      </c>
      <c r="D3" s="1" t="s">
        <v>2887</v>
      </c>
      <c r="E3" t="s">
        <v>2888</v>
      </c>
      <c r="F3" t="s">
        <v>1154</v>
      </c>
      <c r="G3" s="4" t="s">
        <v>5419</v>
      </c>
      <c r="H3" t="s">
        <v>2889</v>
      </c>
      <c r="I3" t="s">
        <v>59</v>
      </c>
      <c r="J3" s="4" t="s">
        <v>60</v>
      </c>
      <c r="K3" t="s">
        <v>16</v>
      </c>
      <c r="L3">
        <v>1</v>
      </c>
      <c r="M3" t="s">
        <v>1683</v>
      </c>
      <c r="N3" t="s">
        <v>1687</v>
      </c>
      <c r="O3" t="s">
        <v>1687</v>
      </c>
      <c r="P3" s="2" t="str">
        <f t="shared" si="0"/>
        <v>14/01/2025 to 17/01/2025</v>
      </c>
      <c r="Q3" s="3">
        <v>45674</v>
      </c>
      <c r="R3" t="str">
        <f t="shared" si="1"/>
        <v>On-Time</v>
      </c>
      <c r="S3" t="s">
        <v>1165</v>
      </c>
      <c r="T3">
        <v>11</v>
      </c>
      <c r="U3" t="s">
        <v>79</v>
      </c>
      <c r="V3" t="s">
        <v>72</v>
      </c>
      <c r="W3" t="str">
        <f t="shared" ref="W3:W66" ca="1" si="2">IF(D3="","",
IF(TODAY()-D3&lt;=120,"Active",
IF(TODAY()-D3&lt;=210,"At Risk",
IF(TODAY()-D3&lt;=395,"Dormant",
IF(TODAY()-D3&lt;=730,"Inactive","Archived")))))</f>
        <v>Inactive</v>
      </c>
    </row>
    <row r="4" spans="1:25" x14ac:dyDescent="0.2">
      <c r="A4">
        <v>930</v>
      </c>
      <c r="B4" t="s">
        <v>2885</v>
      </c>
      <c r="C4" t="s">
        <v>2891</v>
      </c>
      <c r="D4" s="1" t="s">
        <v>2887</v>
      </c>
      <c r="E4" t="s">
        <v>2888</v>
      </c>
      <c r="F4" t="s">
        <v>1154</v>
      </c>
      <c r="G4" s="4" t="s">
        <v>5420</v>
      </c>
      <c r="H4" t="s">
        <v>2889</v>
      </c>
      <c r="I4" t="s">
        <v>59</v>
      </c>
      <c r="J4" s="4" t="s">
        <v>60</v>
      </c>
      <c r="K4" t="s">
        <v>2892</v>
      </c>
      <c r="L4">
        <v>2</v>
      </c>
      <c r="M4" t="s">
        <v>2887</v>
      </c>
      <c r="N4" t="s">
        <v>2893</v>
      </c>
      <c r="O4" t="s">
        <v>1683</v>
      </c>
      <c r="P4" s="2" t="str">
        <f t="shared" si="0"/>
        <v>10/01/2025 to 15/01/2025</v>
      </c>
      <c r="Q4" s="3">
        <v>45667</v>
      </c>
      <c r="R4" t="str">
        <f t="shared" si="1"/>
        <v>On-Time</v>
      </c>
      <c r="S4" t="s">
        <v>1605</v>
      </c>
      <c r="T4">
        <v>16.5</v>
      </c>
      <c r="U4" t="s">
        <v>79</v>
      </c>
      <c r="V4" t="s">
        <v>72</v>
      </c>
      <c r="W4" t="str">
        <f t="shared" ca="1" si="2"/>
        <v>Inactive</v>
      </c>
    </row>
    <row r="5" spans="1:25" x14ac:dyDescent="0.2">
      <c r="A5">
        <v>931</v>
      </c>
      <c r="B5" t="s">
        <v>2885</v>
      </c>
      <c r="C5" t="s">
        <v>2894</v>
      </c>
      <c r="D5" s="1" t="s">
        <v>2887</v>
      </c>
      <c r="E5" t="s">
        <v>2888</v>
      </c>
      <c r="F5" t="s">
        <v>1154</v>
      </c>
      <c r="G5" s="4" t="s">
        <v>38</v>
      </c>
      <c r="H5" t="s">
        <v>2889</v>
      </c>
      <c r="I5" t="s">
        <v>59</v>
      </c>
      <c r="J5" s="4" t="s">
        <v>68</v>
      </c>
      <c r="K5" t="s">
        <v>2895</v>
      </c>
      <c r="L5">
        <v>3</v>
      </c>
      <c r="M5" t="s">
        <v>2893</v>
      </c>
      <c r="N5" t="s">
        <v>1688</v>
      </c>
      <c r="O5" t="s">
        <v>1688</v>
      </c>
      <c r="P5" s="2" t="str">
        <f t="shared" si="0"/>
        <v>13/01/2025 to 16/01/2025</v>
      </c>
      <c r="Q5" s="3">
        <v>45669</v>
      </c>
      <c r="R5" t="str">
        <f t="shared" si="1"/>
        <v>Late</v>
      </c>
      <c r="S5" t="s">
        <v>1347</v>
      </c>
      <c r="T5">
        <v>31.5</v>
      </c>
      <c r="U5" t="s">
        <v>79</v>
      </c>
      <c r="V5" t="s">
        <v>66</v>
      </c>
      <c r="W5" t="str">
        <f t="shared" ca="1" si="2"/>
        <v>Inactive</v>
      </c>
    </row>
    <row r="6" spans="1:25" x14ac:dyDescent="0.2">
      <c r="A6">
        <v>453</v>
      </c>
      <c r="B6" t="s">
        <v>1681</v>
      </c>
      <c r="C6" t="s">
        <v>1682</v>
      </c>
      <c r="D6" s="1" t="s">
        <v>1683</v>
      </c>
      <c r="E6" t="s">
        <v>1684</v>
      </c>
      <c r="F6" t="s">
        <v>872</v>
      </c>
      <c r="G6" s="4" t="s">
        <v>5421</v>
      </c>
      <c r="H6" t="s">
        <v>1685</v>
      </c>
      <c r="I6" t="s">
        <v>59</v>
      </c>
      <c r="J6" s="4" t="s">
        <v>60</v>
      </c>
      <c r="K6" t="s">
        <v>1686</v>
      </c>
      <c r="L6">
        <v>4</v>
      </c>
      <c r="M6" t="s">
        <v>1683</v>
      </c>
      <c r="N6" t="s">
        <v>1687</v>
      </c>
      <c r="O6" t="s">
        <v>1688</v>
      </c>
      <c r="P6" s="2" t="str">
        <f t="shared" si="0"/>
        <v>14/01/2025 to 17/01/2025</v>
      </c>
      <c r="Q6" s="3">
        <v>45672</v>
      </c>
      <c r="R6" t="str">
        <f t="shared" si="1"/>
        <v>On-Time</v>
      </c>
      <c r="S6" t="s">
        <v>1165</v>
      </c>
      <c r="T6">
        <v>43.5</v>
      </c>
      <c r="U6" t="s">
        <v>65</v>
      </c>
      <c r="V6" t="s">
        <v>66</v>
      </c>
      <c r="W6" t="str">
        <f t="shared" ca="1" si="2"/>
        <v>Inactive</v>
      </c>
    </row>
    <row r="7" spans="1:25" x14ac:dyDescent="0.2">
      <c r="A7">
        <v>1575</v>
      </c>
      <c r="B7" t="s">
        <v>4444</v>
      </c>
      <c r="C7" t="s">
        <v>4445</v>
      </c>
      <c r="D7" s="1" t="s">
        <v>1683</v>
      </c>
      <c r="E7" t="s">
        <v>4446</v>
      </c>
      <c r="F7" t="s">
        <v>1036</v>
      </c>
      <c r="G7" s="4" t="s">
        <v>5420</v>
      </c>
      <c r="H7" t="s">
        <v>1734</v>
      </c>
      <c r="I7" t="s">
        <v>93</v>
      </c>
      <c r="J7" s="4" t="s">
        <v>74</v>
      </c>
      <c r="K7" t="s">
        <v>30</v>
      </c>
      <c r="L7">
        <v>1</v>
      </c>
      <c r="M7" t="s">
        <v>1687</v>
      </c>
      <c r="N7" t="s">
        <v>1608</v>
      </c>
      <c r="O7" t="s">
        <v>1687</v>
      </c>
      <c r="P7" s="2" t="str">
        <f t="shared" si="0"/>
        <v>14/01/2025 to 17/01/2025</v>
      </c>
      <c r="Q7" s="3">
        <v>45671</v>
      </c>
      <c r="R7" t="str">
        <f t="shared" si="1"/>
        <v>On-Time</v>
      </c>
      <c r="S7" t="s">
        <v>1347</v>
      </c>
      <c r="T7">
        <v>12</v>
      </c>
      <c r="U7" t="s">
        <v>79</v>
      </c>
      <c r="V7" t="s">
        <v>66</v>
      </c>
      <c r="W7" t="str">
        <f t="shared" ca="1" si="2"/>
        <v>Inactive</v>
      </c>
    </row>
    <row r="8" spans="1:25" x14ac:dyDescent="0.2">
      <c r="A8">
        <v>1576</v>
      </c>
      <c r="B8" t="s">
        <v>4444</v>
      </c>
      <c r="C8" t="s">
        <v>4447</v>
      </c>
      <c r="D8" s="1" t="s">
        <v>1683</v>
      </c>
      <c r="E8" t="s">
        <v>4446</v>
      </c>
      <c r="F8" t="s">
        <v>1036</v>
      </c>
      <c r="G8" s="4" t="s">
        <v>38</v>
      </c>
      <c r="H8" t="s">
        <v>1734</v>
      </c>
      <c r="I8" t="s">
        <v>93</v>
      </c>
      <c r="J8" s="4" t="s">
        <v>60</v>
      </c>
      <c r="K8" t="s">
        <v>4448</v>
      </c>
      <c r="L8">
        <v>4</v>
      </c>
      <c r="M8" t="s">
        <v>1688</v>
      </c>
      <c r="N8" t="s">
        <v>1688</v>
      </c>
      <c r="O8" t="s">
        <v>1687</v>
      </c>
      <c r="P8" s="2" t="str">
        <f t="shared" si="0"/>
        <v>14/01/2025 to 17/01/2025</v>
      </c>
      <c r="Q8" s="3">
        <v>45675</v>
      </c>
      <c r="R8" t="str">
        <f t="shared" si="1"/>
        <v>Late</v>
      </c>
      <c r="S8" t="s">
        <v>1162</v>
      </c>
      <c r="T8">
        <v>37.5</v>
      </c>
      <c r="U8" t="s">
        <v>65</v>
      </c>
      <c r="V8" t="s">
        <v>66</v>
      </c>
      <c r="W8" t="str">
        <f t="shared" ca="1" si="2"/>
        <v>Inactive</v>
      </c>
    </row>
    <row r="9" spans="1:25" x14ac:dyDescent="0.2">
      <c r="A9">
        <v>1577</v>
      </c>
      <c r="B9" t="s">
        <v>4444</v>
      </c>
      <c r="C9" t="s">
        <v>4449</v>
      </c>
      <c r="D9" s="1" t="s">
        <v>1683</v>
      </c>
      <c r="E9" t="s">
        <v>4446</v>
      </c>
      <c r="F9" t="s">
        <v>1036</v>
      </c>
      <c r="G9" s="4" t="s">
        <v>5422</v>
      </c>
      <c r="H9" t="s">
        <v>1734</v>
      </c>
      <c r="I9" t="s">
        <v>93</v>
      </c>
      <c r="J9" s="4" t="s">
        <v>74</v>
      </c>
      <c r="K9" t="s">
        <v>1356</v>
      </c>
      <c r="L9">
        <v>2</v>
      </c>
      <c r="M9" t="s">
        <v>1687</v>
      </c>
      <c r="N9" t="s">
        <v>1687</v>
      </c>
      <c r="O9" t="s">
        <v>1600</v>
      </c>
      <c r="P9" s="2" t="str">
        <f t="shared" si="0"/>
        <v>14/01/2025 to 17/01/2025</v>
      </c>
      <c r="Q9" s="3">
        <v>45674</v>
      </c>
      <c r="R9" t="str">
        <f t="shared" si="1"/>
        <v>On-Time</v>
      </c>
      <c r="S9" t="s">
        <v>1165</v>
      </c>
      <c r="T9">
        <v>18.5</v>
      </c>
      <c r="U9" t="s">
        <v>79</v>
      </c>
      <c r="V9" t="s">
        <v>80</v>
      </c>
      <c r="W9" t="str">
        <f t="shared" ca="1" si="2"/>
        <v>Inactive</v>
      </c>
    </row>
    <row r="10" spans="1:25" x14ac:dyDescent="0.2">
      <c r="A10">
        <v>1810</v>
      </c>
      <c r="B10" t="s">
        <v>4982</v>
      </c>
      <c r="C10" t="s">
        <v>4983</v>
      </c>
      <c r="D10" s="1" t="s">
        <v>1683</v>
      </c>
      <c r="E10" t="s">
        <v>4984</v>
      </c>
      <c r="F10" t="s">
        <v>179</v>
      </c>
      <c r="G10" s="4" t="s">
        <v>5423</v>
      </c>
      <c r="H10" t="s">
        <v>974</v>
      </c>
      <c r="I10" t="s">
        <v>136</v>
      </c>
      <c r="J10" s="4" t="s">
        <v>74</v>
      </c>
      <c r="K10" t="s">
        <v>4985</v>
      </c>
      <c r="L10">
        <v>4</v>
      </c>
      <c r="M10" t="s">
        <v>1683</v>
      </c>
      <c r="N10" t="s">
        <v>1688</v>
      </c>
      <c r="O10" t="s">
        <v>1687</v>
      </c>
      <c r="P10" s="2" t="str">
        <f t="shared" si="0"/>
        <v>14/01/2025 to 17/01/2025</v>
      </c>
      <c r="Q10" s="3">
        <v>45674</v>
      </c>
      <c r="R10" t="str">
        <f t="shared" si="1"/>
        <v>On-Time</v>
      </c>
      <c r="S10" t="s">
        <v>1165</v>
      </c>
      <c r="T10">
        <v>40</v>
      </c>
      <c r="U10" t="s">
        <v>65</v>
      </c>
      <c r="V10" t="s">
        <v>66</v>
      </c>
      <c r="W10" t="str">
        <f t="shared" ca="1" si="2"/>
        <v>Inactive</v>
      </c>
    </row>
    <row r="11" spans="1:25" x14ac:dyDescent="0.2">
      <c r="A11">
        <v>1811</v>
      </c>
      <c r="B11" t="s">
        <v>4982</v>
      </c>
      <c r="C11" t="s">
        <v>4986</v>
      </c>
      <c r="D11" s="1" t="s">
        <v>1683</v>
      </c>
      <c r="E11" t="s">
        <v>4984</v>
      </c>
      <c r="F11" t="s">
        <v>179</v>
      </c>
      <c r="G11" s="4" t="s">
        <v>5424</v>
      </c>
      <c r="H11" t="s">
        <v>974</v>
      </c>
      <c r="I11" t="s">
        <v>136</v>
      </c>
      <c r="J11" s="4" t="s">
        <v>68</v>
      </c>
      <c r="K11" t="s">
        <v>1073</v>
      </c>
      <c r="L11">
        <v>2</v>
      </c>
      <c r="M11" t="s">
        <v>1688</v>
      </c>
      <c r="N11" t="s">
        <v>1688</v>
      </c>
      <c r="O11" t="s">
        <v>1600</v>
      </c>
      <c r="P11" s="2" t="str">
        <f t="shared" si="0"/>
        <v>14/01/2025 to 17/01/2025</v>
      </c>
      <c r="Q11" s="3">
        <v>45676</v>
      </c>
      <c r="R11" t="str">
        <f t="shared" si="1"/>
        <v>Late</v>
      </c>
      <c r="S11" t="s">
        <v>1142</v>
      </c>
      <c r="T11">
        <v>19</v>
      </c>
      <c r="U11" t="s">
        <v>65</v>
      </c>
      <c r="V11" t="s">
        <v>66</v>
      </c>
      <c r="W11" t="str">
        <f t="shared" ca="1" si="2"/>
        <v>Inactive</v>
      </c>
    </row>
    <row r="12" spans="1:25" x14ac:dyDescent="0.2">
      <c r="A12">
        <v>422</v>
      </c>
      <c r="B12" t="s">
        <v>1598</v>
      </c>
      <c r="C12" t="s">
        <v>1599</v>
      </c>
      <c r="D12" s="1" t="s">
        <v>1600</v>
      </c>
      <c r="E12" t="s">
        <v>1601</v>
      </c>
      <c r="F12" t="s">
        <v>406</v>
      </c>
      <c r="G12" s="4" t="s">
        <v>5418</v>
      </c>
      <c r="H12" t="s">
        <v>1602</v>
      </c>
      <c r="I12" t="s">
        <v>59</v>
      </c>
      <c r="J12" s="4" t="s">
        <v>5417</v>
      </c>
      <c r="K12" t="s">
        <v>1603</v>
      </c>
      <c r="L12">
        <v>4</v>
      </c>
      <c r="M12" t="s">
        <v>1604</v>
      </c>
      <c r="N12" t="s">
        <v>1604</v>
      </c>
      <c r="O12" t="s">
        <v>1605</v>
      </c>
      <c r="P12" s="2" t="str">
        <f t="shared" si="0"/>
        <v>17/01/2025 to 22/01/2025</v>
      </c>
      <c r="Q12" s="3">
        <v>45678</v>
      </c>
      <c r="R12" t="str">
        <f t="shared" si="1"/>
        <v>On-Time</v>
      </c>
      <c r="S12" t="s">
        <v>1142</v>
      </c>
      <c r="T12">
        <v>37.5</v>
      </c>
      <c r="U12" t="s">
        <v>79</v>
      </c>
      <c r="V12" t="s">
        <v>66</v>
      </c>
      <c r="W12" t="str">
        <f t="shared" ca="1" si="2"/>
        <v>Inactive</v>
      </c>
    </row>
    <row r="13" spans="1:25" x14ac:dyDescent="0.2">
      <c r="A13">
        <v>423</v>
      </c>
      <c r="B13" t="s">
        <v>1598</v>
      </c>
      <c r="C13" t="s">
        <v>1606</v>
      </c>
      <c r="D13" s="1" t="s">
        <v>1600</v>
      </c>
      <c r="E13" t="s">
        <v>1601</v>
      </c>
      <c r="F13" t="s">
        <v>406</v>
      </c>
      <c r="G13" s="4" t="s">
        <v>5420</v>
      </c>
      <c r="H13" t="s">
        <v>1602</v>
      </c>
      <c r="I13" t="s">
        <v>59</v>
      </c>
      <c r="J13" s="4" t="s">
        <v>5417</v>
      </c>
      <c r="K13" t="s">
        <v>1607</v>
      </c>
      <c r="L13">
        <v>3</v>
      </c>
      <c r="M13" t="s">
        <v>1600</v>
      </c>
      <c r="N13" t="s">
        <v>1600</v>
      </c>
      <c r="O13" t="s">
        <v>1608</v>
      </c>
      <c r="P13" s="2" t="str">
        <f t="shared" si="0"/>
        <v>15/01/2025 to 20/01/2025</v>
      </c>
      <c r="Q13" s="3">
        <v>45676</v>
      </c>
      <c r="R13" t="str">
        <f t="shared" si="1"/>
        <v>On-Time</v>
      </c>
      <c r="S13" t="s">
        <v>1148</v>
      </c>
      <c r="T13">
        <v>27</v>
      </c>
      <c r="U13" t="s">
        <v>65</v>
      </c>
      <c r="V13" t="s">
        <v>80</v>
      </c>
      <c r="W13" t="str">
        <f t="shared" ca="1" si="2"/>
        <v>Inactive</v>
      </c>
    </row>
    <row r="14" spans="1:25" x14ac:dyDescent="0.2">
      <c r="A14">
        <v>424</v>
      </c>
      <c r="B14" t="s">
        <v>1598</v>
      </c>
      <c r="C14" t="s">
        <v>1609</v>
      </c>
      <c r="D14" s="1" t="s">
        <v>1600</v>
      </c>
      <c r="E14" t="s">
        <v>1601</v>
      </c>
      <c r="F14" t="s">
        <v>406</v>
      </c>
      <c r="G14" s="4" t="s">
        <v>5425</v>
      </c>
      <c r="H14" t="s">
        <v>1602</v>
      </c>
      <c r="I14" t="s">
        <v>59</v>
      </c>
      <c r="J14" s="4" t="s">
        <v>5417</v>
      </c>
      <c r="K14" t="s">
        <v>1610</v>
      </c>
      <c r="L14">
        <v>2</v>
      </c>
      <c r="M14" t="s">
        <v>1608</v>
      </c>
      <c r="N14" t="s">
        <v>1608</v>
      </c>
      <c r="O14" t="s">
        <v>1608</v>
      </c>
      <c r="P14" s="2" t="str">
        <f t="shared" si="0"/>
        <v>16/01/2025 to 21/01/2025</v>
      </c>
      <c r="Q14" s="3">
        <v>45676</v>
      </c>
      <c r="R14" t="str">
        <f t="shared" si="1"/>
        <v>On-Time</v>
      </c>
      <c r="S14" t="s">
        <v>1148</v>
      </c>
      <c r="T14">
        <v>21.5</v>
      </c>
      <c r="U14" t="s">
        <v>65</v>
      </c>
      <c r="V14" t="s">
        <v>72</v>
      </c>
      <c r="W14" t="str">
        <f t="shared" ca="1" si="2"/>
        <v>Inactive</v>
      </c>
    </row>
    <row r="15" spans="1:25" x14ac:dyDescent="0.2">
      <c r="A15">
        <v>425</v>
      </c>
      <c r="B15" t="s">
        <v>1598</v>
      </c>
      <c r="C15" t="s">
        <v>1611</v>
      </c>
      <c r="D15" s="1" t="s">
        <v>1600</v>
      </c>
      <c r="E15" t="s">
        <v>1601</v>
      </c>
      <c r="F15" t="s">
        <v>406</v>
      </c>
      <c r="G15" s="4" t="s">
        <v>5425</v>
      </c>
      <c r="H15" t="s">
        <v>1602</v>
      </c>
      <c r="I15" t="s">
        <v>59</v>
      </c>
      <c r="J15" s="4" t="s">
        <v>68</v>
      </c>
      <c r="K15" t="s">
        <v>1612</v>
      </c>
      <c r="L15">
        <v>3</v>
      </c>
      <c r="M15" t="s">
        <v>1604</v>
      </c>
      <c r="N15" t="s">
        <v>1613</v>
      </c>
      <c r="O15" t="s">
        <v>1605</v>
      </c>
      <c r="P15" s="2" t="str">
        <f t="shared" si="0"/>
        <v>17/01/2025 to 22/01/2025</v>
      </c>
      <c r="Q15" s="3">
        <v>45676</v>
      </c>
      <c r="R15" t="str">
        <f t="shared" si="1"/>
        <v>On-Time</v>
      </c>
      <c r="S15" t="s">
        <v>1148</v>
      </c>
      <c r="T15">
        <v>24.5</v>
      </c>
      <c r="U15" t="s">
        <v>65</v>
      </c>
      <c r="V15" t="s">
        <v>72</v>
      </c>
      <c r="W15" t="str">
        <f t="shared" ca="1" si="2"/>
        <v>Inactive</v>
      </c>
    </row>
    <row r="16" spans="1:25" x14ac:dyDescent="0.2">
      <c r="A16">
        <v>905</v>
      </c>
      <c r="B16" t="s">
        <v>2827</v>
      </c>
      <c r="C16" t="s">
        <v>2828</v>
      </c>
      <c r="D16" s="1" t="s">
        <v>1608</v>
      </c>
      <c r="E16" t="s">
        <v>2829</v>
      </c>
      <c r="F16" t="s">
        <v>579</v>
      </c>
      <c r="G16" s="4" t="s">
        <v>5419</v>
      </c>
      <c r="H16" t="s">
        <v>2830</v>
      </c>
      <c r="I16" t="s">
        <v>136</v>
      </c>
      <c r="J16" s="4" t="s">
        <v>5417</v>
      </c>
      <c r="K16" t="s">
        <v>1948</v>
      </c>
      <c r="L16">
        <v>2</v>
      </c>
      <c r="M16" t="s">
        <v>1604</v>
      </c>
      <c r="N16" t="s">
        <v>1613</v>
      </c>
      <c r="O16" t="s">
        <v>1613</v>
      </c>
      <c r="P16" s="2" t="str">
        <f t="shared" si="0"/>
        <v>17/01/2025 to 22/01/2025</v>
      </c>
      <c r="Q16" s="3">
        <v>45678</v>
      </c>
      <c r="R16" t="str">
        <f t="shared" si="1"/>
        <v>On-Time</v>
      </c>
      <c r="S16" t="s">
        <v>1142</v>
      </c>
      <c r="T16">
        <v>17.5</v>
      </c>
      <c r="U16" t="s">
        <v>79</v>
      </c>
      <c r="V16" t="s">
        <v>72</v>
      </c>
      <c r="W16" t="str">
        <f t="shared" ca="1" si="2"/>
        <v>Inactive</v>
      </c>
    </row>
    <row r="17" spans="1:23" x14ac:dyDescent="0.2">
      <c r="A17">
        <v>906</v>
      </c>
      <c r="B17" t="s">
        <v>2827</v>
      </c>
      <c r="C17" t="s">
        <v>2831</v>
      </c>
      <c r="D17" s="1" t="s">
        <v>1608</v>
      </c>
      <c r="E17" t="s">
        <v>2829</v>
      </c>
      <c r="F17" t="s">
        <v>579</v>
      </c>
      <c r="G17" s="4" t="s">
        <v>5426</v>
      </c>
      <c r="H17" t="s">
        <v>2830</v>
      </c>
      <c r="I17" t="s">
        <v>136</v>
      </c>
      <c r="J17" s="4" t="s">
        <v>60</v>
      </c>
      <c r="K17" t="s">
        <v>10</v>
      </c>
      <c r="L17">
        <v>1</v>
      </c>
      <c r="M17" t="s">
        <v>1608</v>
      </c>
      <c r="N17" t="s">
        <v>1604</v>
      </c>
      <c r="O17" t="s">
        <v>1608</v>
      </c>
      <c r="P17" s="2" t="str">
        <f t="shared" si="0"/>
        <v>16/01/2025 to 21/01/2025</v>
      </c>
      <c r="Q17" s="3">
        <v>45672</v>
      </c>
      <c r="R17" t="str">
        <f t="shared" si="1"/>
        <v>Late</v>
      </c>
      <c r="S17" t="s">
        <v>1357</v>
      </c>
      <c r="T17">
        <v>10</v>
      </c>
      <c r="U17" t="s">
        <v>65</v>
      </c>
      <c r="V17" t="s">
        <v>80</v>
      </c>
      <c r="W17" t="str">
        <f t="shared" ca="1" si="2"/>
        <v>Inactive</v>
      </c>
    </row>
    <row r="18" spans="1:23" x14ac:dyDescent="0.2">
      <c r="A18">
        <v>907</v>
      </c>
      <c r="B18" t="s">
        <v>2827</v>
      </c>
      <c r="C18" t="s">
        <v>2832</v>
      </c>
      <c r="D18" s="1" t="s">
        <v>1608</v>
      </c>
      <c r="E18" t="s">
        <v>2829</v>
      </c>
      <c r="F18" t="s">
        <v>579</v>
      </c>
      <c r="G18" s="4" t="s">
        <v>5419</v>
      </c>
      <c r="H18" t="s">
        <v>2830</v>
      </c>
      <c r="I18" t="s">
        <v>136</v>
      </c>
      <c r="J18" s="4" t="s">
        <v>68</v>
      </c>
      <c r="K18" t="s">
        <v>2833</v>
      </c>
      <c r="L18">
        <v>3</v>
      </c>
      <c r="M18" t="s">
        <v>1608</v>
      </c>
      <c r="N18" t="s">
        <v>1604</v>
      </c>
      <c r="O18" t="s">
        <v>1604</v>
      </c>
      <c r="P18" s="2" t="str">
        <f t="shared" si="0"/>
        <v>16/01/2025 to 21/01/2025</v>
      </c>
      <c r="Q18" s="3">
        <v>45676</v>
      </c>
      <c r="R18" t="str">
        <f t="shared" si="1"/>
        <v>On-Time</v>
      </c>
      <c r="S18" t="s">
        <v>1148</v>
      </c>
      <c r="T18">
        <v>27</v>
      </c>
      <c r="U18" t="s">
        <v>79</v>
      </c>
      <c r="V18" t="s">
        <v>80</v>
      </c>
      <c r="W18" t="str">
        <f t="shared" ca="1" si="2"/>
        <v>Inactive</v>
      </c>
    </row>
    <row r="19" spans="1:23" x14ac:dyDescent="0.2">
      <c r="A19">
        <v>908</v>
      </c>
      <c r="B19" t="s">
        <v>2827</v>
      </c>
      <c r="C19" t="s">
        <v>2834</v>
      </c>
      <c r="D19" s="1" t="s">
        <v>1608</v>
      </c>
      <c r="E19" t="s">
        <v>2829</v>
      </c>
      <c r="F19" t="s">
        <v>579</v>
      </c>
      <c r="G19" s="4" t="s">
        <v>5425</v>
      </c>
      <c r="H19" t="s">
        <v>2830</v>
      </c>
      <c r="I19" t="s">
        <v>136</v>
      </c>
      <c r="J19" s="4" t="s">
        <v>68</v>
      </c>
      <c r="K19" t="s">
        <v>2835</v>
      </c>
      <c r="L19">
        <v>4</v>
      </c>
      <c r="M19" t="s">
        <v>1608</v>
      </c>
      <c r="N19" t="s">
        <v>1604</v>
      </c>
      <c r="O19" t="s">
        <v>1608</v>
      </c>
      <c r="P19" s="2" t="str">
        <f t="shared" si="0"/>
        <v>16/01/2025 to 21/01/2025</v>
      </c>
      <c r="Q19" s="3">
        <v>45673</v>
      </c>
      <c r="R19" t="str">
        <f t="shared" si="1"/>
        <v>On-Time</v>
      </c>
      <c r="S19" t="s">
        <v>1158</v>
      </c>
      <c r="T19">
        <v>37.5</v>
      </c>
      <c r="U19" t="s">
        <v>79</v>
      </c>
      <c r="V19" t="s">
        <v>66</v>
      </c>
      <c r="W19" t="str">
        <f t="shared" ca="1" si="2"/>
        <v>Inactive</v>
      </c>
    </row>
    <row r="20" spans="1:23" x14ac:dyDescent="0.2">
      <c r="A20">
        <v>1781</v>
      </c>
      <c r="B20" t="s">
        <v>4914</v>
      </c>
      <c r="C20" t="s">
        <v>4915</v>
      </c>
      <c r="D20" s="1" t="s">
        <v>1608</v>
      </c>
      <c r="E20" t="s">
        <v>4916</v>
      </c>
      <c r="F20" t="s">
        <v>803</v>
      </c>
      <c r="G20" s="4" t="s">
        <v>38</v>
      </c>
      <c r="H20" t="s">
        <v>4753</v>
      </c>
      <c r="I20" t="s">
        <v>59</v>
      </c>
      <c r="J20" s="4" t="s">
        <v>60</v>
      </c>
      <c r="K20" t="s">
        <v>1586</v>
      </c>
      <c r="L20">
        <v>3</v>
      </c>
      <c r="M20" t="s">
        <v>1604</v>
      </c>
      <c r="N20" t="s">
        <v>1613</v>
      </c>
      <c r="O20" t="s">
        <v>1604</v>
      </c>
      <c r="P20" s="2" t="str">
        <f t="shared" si="0"/>
        <v>17/01/2025 to 22/01/2025</v>
      </c>
      <c r="Q20" s="3">
        <v>45672</v>
      </c>
      <c r="R20" t="str">
        <f t="shared" si="1"/>
        <v>Late</v>
      </c>
      <c r="S20" t="s">
        <v>1165</v>
      </c>
      <c r="T20">
        <v>31</v>
      </c>
      <c r="U20" t="s">
        <v>79</v>
      </c>
      <c r="V20" t="s">
        <v>80</v>
      </c>
      <c r="W20" t="str">
        <f t="shared" ca="1" si="2"/>
        <v>Inactive</v>
      </c>
    </row>
    <row r="21" spans="1:23" x14ac:dyDescent="0.2">
      <c r="A21">
        <v>1782</v>
      </c>
      <c r="B21" t="s">
        <v>4914</v>
      </c>
      <c r="C21" t="s">
        <v>4917</v>
      </c>
      <c r="D21" s="1" t="s">
        <v>1608</v>
      </c>
      <c r="E21" t="s">
        <v>4916</v>
      </c>
      <c r="F21" t="s">
        <v>803</v>
      </c>
      <c r="G21" s="4" t="s">
        <v>5419</v>
      </c>
      <c r="H21" t="s">
        <v>4753</v>
      </c>
      <c r="I21" t="s">
        <v>59</v>
      </c>
      <c r="J21" s="4" t="s">
        <v>60</v>
      </c>
      <c r="K21" t="s">
        <v>1041</v>
      </c>
      <c r="L21">
        <v>2</v>
      </c>
      <c r="M21" t="s">
        <v>1608</v>
      </c>
      <c r="N21" t="s">
        <v>1608</v>
      </c>
      <c r="O21" t="s">
        <v>1604</v>
      </c>
      <c r="P21" s="2" t="str">
        <f t="shared" si="0"/>
        <v>16/01/2025 to 21/01/2025</v>
      </c>
      <c r="Q21" s="3">
        <v>45676</v>
      </c>
      <c r="R21" t="str">
        <f t="shared" si="1"/>
        <v>On-Time</v>
      </c>
      <c r="S21" t="s">
        <v>1148</v>
      </c>
      <c r="T21">
        <v>16</v>
      </c>
      <c r="U21" t="s">
        <v>65</v>
      </c>
      <c r="V21" t="s">
        <v>80</v>
      </c>
      <c r="W21" t="str">
        <f t="shared" ca="1" si="2"/>
        <v>Inactive</v>
      </c>
    </row>
    <row r="22" spans="1:23" x14ac:dyDescent="0.2">
      <c r="A22">
        <v>1783</v>
      </c>
      <c r="B22" t="s">
        <v>4914</v>
      </c>
      <c r="C22" t="s">
        <v>4918</v>
      </c>
      <c r="D22" s="1" t="s">
        <v>1608</v>
      </c>
      <c r="E22" t="s">
        <v>4916</v>
      </c>
      <c r="F22" t="s">
        <v>803</v>
      </c>
      <c r="G22" s="4" t="s">
        <v>5424</v>
      </c>
      <c r="H22" t="s">
        <v>4753</v>
      </c>
      <c r="I22" t="s">
        <v>59</v>
      </c>
      <c r="J22" s="4" t="s">
        <v>5417</v>
      </c>
      <c r="K22" t="s">
        <v>4919</v>
      </c>
      <c r="L22">
        <v>4</v>
      </c>
      <c r="M22" t="s">
        <v>1604</v>
      </c>
      <c r="N22" t="s">
        <v>1605</v>
      </c>
      <c r="O22" t="s">
        <v>1605</v>
      </c>
      <c r="P22" s="2" t="str">
        <f t="shared" si="0"/>
        <v>17/01/2025 to 22/01/2025</v>
      </c>
      <c r="Q22" s="3">
        <v>45674</v>
      </c>
      <c r="R22" t="str">
        <f t="shared" si="1"/>
        <v>On-Time</v>
      </c>
      <c r="S22" t="s">
        <v>1165</v>
      </c>
      <c r="T22">
        <v>41.5</v>
      </c>
      <c r="U22" t="s">
        <v>65</v>
      </c>
      <c r="V22" t="s">
        <v>80</v>
      </c>
      <c r="W22" t="str">
        <f t="shared" ca="1" si="2"/>
        <v>Inactive</v>
      </c>
    </row>
    <row r="23" spans="1:23" x14ac:dyDescent="0.2">
      <c r="A23">
        <v>1784</v>
      </c>
      <c r="B23" t="s">
        <v>4914</v>
      </c>
      <c r="C23" t="s">
        <v>4920</v>
      </c>
      <c r="D23" s="1" t="s">
        <v>1608</v>
      </c>
      <c r="E23" t="s">
        <v>4916</v>
      </c>
      <c r="F23" t="s">
        <v>803</v>
      </c>
      <c r="G23" s="4" t="s">
        <v>5418</v>
      </c>
      <c r="H23" t="s">
        <v>4753</v>
      </c>
      <c r="I23" t="s">
        <v>59</v>
      </c>
      <c r="J23" s="4" t="s">
        <v>60</v>
      </c>
      <c r="K23" t="s">
        <v>4921</v>
      </c>
      <c r="L23">
        <v>4</v>
      </c>
      <c r="M23" t="s">
        <v>1604</v>
      </c>
      <c r="N23" t="s">
        <v>1613</v>
      </c>
      <c r="O23" t="s">
        <v>1613</v>
      </c>
      <c r="P23" s="2" t="str">
        <f t="shared" si="0"/>
        <v>17/01/2025 to 22/01/2025</v>
      </c>
      <c r="Q23" s="3">
        <v>45677</v>
      </c>
      <c r="R23" t="str">
        <f t="shared" si="1"/>
        <v>On-Time</v>
      </c>
      <c r="S23" t="s">
        <v>1148</v>
      </c>
      <c r="T23">
        <v>38.5</v>
      </c>
      <c r="U23" t="s">
        <v>79</v>
      </c>
      <c r="V23" t="s">
        <v>66</v>
      </c>
      <c r="W23" t="str">
        <f t="shared" ca="1" si="2"/>
        <v>Inactive</v>
      </c>
    </row>
    <row r="24" spans="1:23" x14ac:dyDescent="0.2">
      <c r="A24">
        <v>1785</v>
      </c>
      <c r="B24" t="s">
        <v>4914</v>
      </c>
      <c r="C24" t="s">
        <v>4922</v>
      </c>
      <c r="D24" s="1" t="s">
        <v>1608</v>
      </c>
      <c r="E24" t="s">
        <v>4916</v>
      </c>
      <c r="F24" t="s">
        <v>803</v>
      </c>
      <c r="G24" s="4" t="s">
        <v>5422</v>
      </c>
      <c r="H24" t="s">
        <v>4753</v>
      </c>
      <c r="I24" t="s">
        <v>59</v>
      </c>
      <c r="J24" s="4" t="s">
        <v>5417</v>
      </c>
      <c r="K24" t="s">
        <v>4923</v>
      </c>
      <c r="L24">
        <v>3</v>
      </c>
      <c r="M24" t="s">
        <v>1608</v>
      </c>
      <c r="N24" t="s">
        <v>1604</v>
      </c>
      <c r="O24" t="s">
        <v>1608</v>
      </c>
      <c r="P24" s="2" t="str">
        <f t="shared" si="0"/>
        <v>16/01/2025 to 21/01/2025</v>
      </c>
      <c r="Q24" s="3">
        <v>45674</v>
      </c>
      <c r="R24" t="str">
        <f t="shared" si="1"/>
        <v>On-Time</v>
      </c>
      <c r="S24" t="s">
        <v>1162</v>
      </c>
      <c r="T24">
        <v>26.5</v>
      </c>
      <c r="U24" t="s">
        <v>79</v>
      </c>
      <c r="V24" t="s">
        <v>72</v>
      </c>
      <c r="W24" t="str">
        <f t="shared" ca="1" si="2"/>
        <v>Inactive</v>
      </c>
    </row>
    <row r="25" spans="1:23" x14ac:dyDescent="0.2">
      <c r="A25">
        <v>630</v>
      </c>
      <c r="B25" t="s">
        <v>2157</v>
      </c>
      <c r="C25" t="s">
        <v>2158</v>
      </c>
      <c r="D25" s="1" t="s">
        <v>1604</v>
      </c>
      <c r="E25" t="s">
        <v>2159</v>
      </c>
      <c r="F25" t="s">
        <v>607</v>
      </c>
      <c r="G25" s="4" t="s">
        <v>5427</v>
      </c>
      <c r="H25" t="s">
        <v>2160</v>
      </c>
      <c r="I25" t="s">
        <v>112</v>
      </c>
      <c r="J25" s="4" t="s">
        <v>68</v>
      </c>
      <c r="K25" t="s">
        <v>2161</v>
      </c>
      <c r="L25">
        <v>4</v>
      </c>
      <c r="M25" t="s">
        <v>1605</v>
      </c>
      <c r="N25" t="s">
        <v>1605</v>
      </c>
      <c r="O25" t="s">
        <v>2162</v>
      </c>
      <c r="P25" s="2" t="str">
        <f t="shared" si="0"/>
        <v>21/01/2025 to 24/01/2025</v>
      </c>
      <c r="Q25" s="3">
        <v>45681</v>
      </c>
      <c r="R25" t="str">
        <f t="shared" si="1"/>
        <v>On-Time</v>
      </c>
      <c r="S25" t="s">
        <v>577</v>
      </c>
      <c r="T25">
        <v>38</v>
      </c>
      <c r="U25" t="s">
        <v>65</v>
      </c>
      <c r="V25" t="s">
        <v>80</v>
      </c>
      <c r="W25" t="str">
        <f t="shared" ca="1" si="2"/>
        <v>Inactive</v>
      </c>
    </row>
    <row r="26" spans="1:23" x14ac:dyDescent="0.2">
      <c r="A26">
        <v>631</v>
      </c>
      <c r="B26" t="s">
        <v>2157</v>
      </c>
      <c r="C26" t="s">
        <v>2163</v>
      </c>
      <c r="D26" s="1" t="s">
        <v>1604</v>
      </c>
      <c r="E26" t="s">
        <v>2159</v>
      </c>
      <c r="F26" t="s">
        <v>607</v>
      </c>
      <c r="G26" s="4" t="s">
        <v>5425</v>
      </c>
      <c r="H26" t="s">
        <v>2160</v>
      </c>
      <c r="I26" t="s">
        <v>112</v>
      </c>
      <c r="J26" s="4" t="s">
        <v>5417</v>
      </c>
      <c r="K26" t="s">
        <v>2164</v>
      </c>
      <c r="L26">
        <v>4</v>
      </c>
      <c r="M26" t="s">
        <v>1604</v>
      </c>
      <c r="N26" t="s">
        <v>1613</v>
      </c>
      <c r="O26" t="s">
        <v>1604</v>
      </c>
      <c r="P26" s="2" t="str">
        <f t="shared" si="0"/>
        <v>17/01/2025 to 22/01/2025</v>
      </c>
      <c r="Q26" s="3">
        <v>45675</v>
      </c>
      <c r="R26" t="str">
        <f t="shared" si="1"/>
        <v>On-Time</v>
      </c>
      <c r="S26" t="s">
        <v>1137</v>
      </c>
      <c r="T26">
        <v>34.5</v>
      </c>
      <c r="U26" t="s">
        <v>65</v>
      </c>
      <c r="V26" t="s">
        <v>66</v>
      </c>
      <c r="W26" t="str">
        <f t="shared" ca="1" si="2"/>
        <v>Inactive</v>
      </c>
    </row>
    <row r="27" spans="1:23" x14ac:dyDescent="0.2">
      <c r="A27">
        <v>1442</v>
      </c>
      <c r="B27" t="s">
        <v>4124</v>
      </c>
      <c r="C27" t="s">
        <v>4125</v>
      </c>
      <c r="D27" s="1" t="s">
        <v>1604</v>
      </c>
      <c r="E27" t="s">
        <v>4126</v>
      </c>
      <c r="F27" t="s">
        <v>668</v>
      </c>
      <c r="G27" s="4" t="s">
        <v>5425</v>
      </c>
      <c r="H27" t="s">
        <v>2720</v>
      </c>
      <c r="I27" t="s">
        <v>201</v>
      </c>
      <c r="J27" s="4" t="s">
        <v>5417</v>
      </c>
      <c r="K27" t="s">
        <v>755</v>
      </c>
      <c r="L27">
        <v>2</v>
      </c>
      <c r="M27" t="s">
        <v>1604</v>
      </c>
      <c r="N27" t="s">
        <v>1613</v>
      </c>
      <c r="O27" t="s">
        <v>1604</v>
      </c>
      <c r="P27" s="2" t="str">
        <f t="shared" si="0"/>
        <v>17/01/2025 to 22/01/2025</v>
      </c>
      <c r="Q27" s="3">
        <v>45674</v>
      </c>
      <c r="R27" t="str">
        <f t="shared" si="1"/>
        <v>On-Time</v>
      </c>
      <c r="S27" t="s">
        <v>1165</v>
      </c>
      <c r="T27">
        <v>23.5</v>
      </c>
      <c r="U27" t="s">
        <v>79</v>
      </c>
      <c r="V27" t="s">
        <v>66</v>
      </c>
      <c r="W27" t="str">
        <f t="shared" ca="1" si="2"/>
        <v>Inactive</v>
      </c>
    </row>
    <row r="28" spans="1:23" x14ac:dyDescent="0.2">
      <c r="A28">
        <v>1850</v>
      </c>
      <c r="B28" t="s">
        <v>5067</v>
      </c>
      <c r="C28" t="s">
        <v>5068</v>
      </c>
      <c r="D28" s="1" t="s">
        <v>1604</v>
      </c>
      <c r="E28" t="s">
        <v>5069</v>
      </c>
      <c r="F28" t="s">
        <v>600</v>
      </c>
      <c r="G28" s="4" t="s">
        <v>5418</v>
      </c>
      <c r="H28" t="s">
        <v>819</v>
      </c>
      <c r="I28" t="s">
        <v>136</v>
      </c>
      <c r="J28" s="4" t="s">
        <v>68</v>
      </c>
      <c r="K28" t="s">
        <v>5070</v>
      </c>
      <c r="L28">
        <v>3</v>
      </c>
      <c r="M28" t="s">
        <v>1604</v>
      </c>
      <c r="N28" t="s">
        <v>1605</v>
      </c>
      <c r="O28" t="s">
        <v>1604</v>
      </c>
      <c r="P28" s="2" t="str">
        <f t="shared" si="0"/>
        <v>17/01/2025 to 22/01/2025</v>
      </c>
      <c r="Q28" s="3">
        <v>45673</v>
      </c>
      <c r="R28" t="str">
        <f t="shared" si="1"/>
        <v>Late</v>
      </c>
      <c r="S28" t="s">
        <v>1165</v>
      </c>
      <c r="T28">
        <v>29</v>
      </c>
      <c r="U28" t="s">
        <v>79</v>
      </c>
      <c r="V28" t="s">
        <v>66</v>
      </c>
      <c r="W28" t="str">
        <f t="shared" ca="1" si="2"/>
        <v>Inactive</v>
      </c>
    </row>
    <row r="29" spans="1:23" x14ac:dyDescent="0.2">
      <c r="A29">
        <v>1948</v>
      </c>
      <c r="B29" t="s">
        <v>5291</v>
      </c>
      <c r="C29" t="s">
        <v>5292</v>
      </c>
      <c r="D29" s="1" t="s">
        <v>1613</v>
      </c>
      <c r="E29" t="s">
        <v>5293</v>
      </c>
      <c r="F29" t="s">
        <v>134</v>
      </c>
      <c r="G29" s="4" t="s">
        <v>5428</v>
      </c>
      <c r="H29" t="s">
        <v>5294</v>
      </c>
      <c r="I29" t="s">
        <v>59</v>
      </c>
      <c r="J29" s="4" t="s">
        <v>68</v>
      </c>
      <c r="K29" t="s">
        <v>69</v>
      </c>
      <c r="L29">
        <v>2</v>
      </c>
      <c r="M29" t="s">
        <v>1613</v>
      </c>
      <c r="N29" t="s">
        <v>1605</v>
      </c>
      <c r="O29" t="s">
        <v>1605</v>
      </c>
      <c r="P29" s="2" t="str">
        <f t="shared" si="0"/>
        <v>20/01/2025 to 23/01/2025</v>
      </c>
      <c r="Q29" s="3">
        <v>45674</v>
      </c>
      <c r="R29" t="str">
        <f t="shared" si="1"/>
        <v>Late</v>
      </c>
      <c r="S29" t="s">
        <v>1165</v>
      </c>
      <c r="T29">
        <v>20</v>
      </c>
      <c r="U29" t="s">
        <v>79</v>
      </c>
      <c r="V29" t="s">
        <v>66</v>
      </c>
      <c r="W29" t="str">
        <f t="shared" ca="1" si="2"/>
        <v>Inactive</v>
      </c>
    </row>
    <row r="30" spans="1:23" x14ac:dyDescent="0.2">
      <c r="A30">
        <v>1949</v>
      </c>
      <c r="B30" t="s">
        <v>5291</v>
      </c>
      <c r="C30" t="s">
        <v>5295</v>
      </c>
      <c r="D30" s="1" t="s">
        <v>1613</v>
      </c>
      <c r="E30" t="s">
        <v>5293</v>
      </c>
      <c r="F30" t="s">
        <v>134</v>
      </c>
      <c r="G30" s="4" t="s">
        <v>5425</v>
      </c>
      <c r="H30" t="s">
        <v>5294</v>
      </c>
      <c r="I30" t="s">
        <v>59</v>
      </c>
      <c r="J30" s="4" t="s">
        <v>68</v>
      </c>
      <c r="K30" t="s">
        <v>5296</v>
      </c>
      <c r="L30">
        <v>4</v>
      </c>
      <c r="M30" t="s">
        <v>5297</v>
      </c>
      <c r="N30" t="s">
        <v>2162</v>
      </c>
      <c r="O30" t="s">
        <v>2162</v>
      </c>
      <c r="P30" s="2" t="str">
        <f t="shared" si="0"/>
        <v>21/01/2025 to 24/01/2025</v>
      </c>
      <c r="Q30" s="3">
        <v>45678</v>
      </c>
      <c r="R30" t="str">
        <f t="shared" si="1"/>
        <v>On-Time</v>
      </c>
      <c r="S30" t="s">
        <v>1142</v>
      </c>
      <c r="T30">
        <v>37</v>
      </c>
      <c r="U30" t="s">
        <v>65</v>
      </c>
      <c r="V30" t="s">
        <v>66</v>
      </c>
      <c r="W30" t="str">
        <f t="shared" ca="1" si="2"/>
        <v>Inactive</v>
      </c>
    </row>
    <row r="31" spans="1:23" x14ac:dyDescent="0.2">
      <c r="A31">
        <v>1950</v>
      </c>
      <c r="B31" t="s">
        <v>5291</v>
      </c>
      <c r="C31" t="s">
        <v>5298</v>
      </c>
      <c r="D31" s="1" t="s">
        <v>1613</v>
      </c>
      <c r="E31" t="s">
        <v>5293</v>
      </c>
      <c r="F31" t="s">
        <v>134</v>
      </c>
      <c r="G31" s="4" t="s">
        <v>5420</v>
      </c>
      <c r="H31" t="s">
        <v>5294</v>
      </c>
      <c r="I31" t="s">
        <v>59</v>
      </c>
      <c r="J31" s="4" t="s">
        <v>60</v>
      </c>
      <c r="K31" t="s">
        <v>30</v>
      </c>
      <c r="L31">
        <v>1</v>
      </c>
      <c r="M31" t="s">
        <v>1613</v>
      </c>
      <c r="N31" t="s">
        <v>5297</v>
      </c>
      <c r="O31" t="s">
        <v>1605</v>
      </c>
      <c r="P31" s="2" t="str">
        <f t="shared" si="0"/>
        <v>20/01/2025 to 23/01/2025</v>
      </c>
      <c r="Q31" s="3">
        <v>45680</v>
      </c>
      <c r="R31" t="str">
        <f t="shared" si="1"/>
        <v>On-Time</v>
      </c>
      <c r="S31" t="s">
        <v>1143</v>
      </c>
      <c r="T31">
        <v>12</v>
      </c>
      <c r="U31" t="s">
        <v>79</v>
      </c>
      <c r="V31" t="s">
        <v>80</v>
      </c>
      <c r="W31" t="str">
        <f t="shared" ca="1" si="2"/>
        <v>Inactive</v>
      </c>
    </row>
    <row r="32" spans="1:23" x14ac:dyDescent="0.2">
      <c r="A32">
        <v>1556</v>
      </c>
      <c r="B32" t="s">
        <v>4404</v>
      </c>
      <c r="C32" t="s">
        <v>4405</v>
      </c>
      <c r="D32" s="1" t="s">
        <v>2162</v>
      </c>
      <c r="E32" t="s">
        <v>4406</v>
      </c>
      <c r="F32" t="s">
        <v>995</v>
      </c>
      <c r="G32" s="4" t="s">
        <v>5428</v>
      </c>
      <c r="H32" t="s">
        <v>3550</v>
      </c>
      <c r="I32" t="s">
        <v>93</v>
      </c>
      <c r="J32" s="4" t="s">
        <v>60</v>
      </c>
      <c r="K32" t="s">
        <v>16</v>
      </c>
      <c r="L32">
        <v>1</v>
      </c>
      <c r="M32" t="s">
        <v>2320</v>
      </c>
      <c r="N32" t="s">
        <v>1347</v>
      </c>
      <c r="O32" t="s">
        <v>1357</v>
      </c>
      <c r="P32" s="2" t="str">
        <f t="shared" si="0"/>
        <v>22/01/2025 to 27/01/2025</v>
      </c>
      <c r="Q32" s="3">
        <v>45681</v>
      </c>
      <c r="R32" t="str">
        <f t="shared" si="1"/>
        <v>On-Time</v>
      </c>
      <c r="S32" t="s">
        <v>1046</v>
      </c>
      <c r="T32">
        <v>11</v>
      </c>
      <c r="U32" t="s">
        <v>79</v>
      </c>
      <c r="V32" t="s">
        <v>72</v>
      </c>
      <c r="W32" t="str">
        <f t="shared" ca="1" si="2"/>
        <v>Inactive</v>
      </c>
    </row>
    <row r="33" spans="1:23" x14ac:dyDescent="0.2">
      <c r="A33">
        <v>1557</v>
      </c>
      <c r="B33" t="s">
        <v>4404</v>
      </c>
      <c r="C33" t="s">
        <v>4407</v>
      </c>
      <c r="D33" s="1" t="s">
        <v>2162</v>
      </c>
      <c r="E33" t="s">
        <v>4406</v>
      </c>
      <c r="F33" t="s">
        <v>995</v>
      </c>
      <c r="G33" s="4" t="s">
        <v>5427</v>
      </c>
      <c r="H33" t="s">
        <v>3550</v>
      </c>
      <c r="I33" t="s">
        <v>93</v>
      </c>
      <c r="J33" s="4" t="s">
        <v>60</v>
      </c>
      <c r="K33" t="s">
        <v>2182</v>
      </c>
      <c r="L33">
        <v>2</v>
      </c>
      <c r="M33" t="s">
        <v>2162</v>
      </c>
      <c r="N33" t="s">
        <v>2320</v>
      </c>
      <c r="O33" t="s">
        <v>1347</v>
      </c>
      <c r="P33" s="2" t="str">
        <f t="shared" si="0"/>
        <v>21/01/2025 to 24/01/2025</v>
      </c>
      <c r="Q33" s="3">
        <v>45680</v>
      </c>
      <c r="R33" t="str">
        <f t="shared" si="1"/>
        <v>On-Time</v>
      </c>
      <c r="S33" t="s">
        <v>1050</v>
      </c>
      <c r="T33">
        <v>23.5</v>
      </c>
      <c r="U33" t="s">
        <v>79</v>
      </c>
      <c r="V33" t="s">
        <v>72</v>
      </c>
      <c r="W33" t="str">
        <f t="shared" ca="1" si="2"/>
        <v>Inactive</v>
      </c>
    </row>
    <row r="34" spans="1:23" x14ac:dyDescent="0.2">
      <c r="A34">
        <v>1558</v>
      </c>
      <c r="B34" t="s">
        <v>4404</v>
      </c>
      <c r="C34" t="s">
        <v>4408</v>
      </c>
      <c r="D34" s="1" t="s">
        <v>2162</v>
      </c>
      <c r="E34" t="s">
        <v>4406</v>
      </c>
      <c r="F34" t="s">
        <v>995</v>
      </c>
      <c r="G34" s="4" t="s">
        <v>38</v>
      </c>
      <c r="H34" t="s">
        <v>3550</v>
      </c>
      <c r="I34" t="s">
        <v>93</v>
      </c>
      <c r="J34" s="4" t="s">
        <v>74</v>
      </c>
      <c r="K34" t="s">
        <v>4409</v>
      </c>
      <c r="L34">
        <v>4</v>
      </c>
      <c r="M34" t="s">
        <v>2320</v>
      </c>
      <c r="N34" t="s">
        <v>1357</v>
      </c>
      <c r="O34" t="s">
        <v>1347</v>
      </c>
      <c r="P34" s="2" t="str">
        <f t="shared" si="0"/>
        <v>22/01/2025 to 27/01/2025</v>
      </c>
      <c r="Q34" s="3">
        <v>45680</v>
      </c>
      <c r="R34" t="str">
        <f t="shared" si="1"/>
        <v>On-Time</v>
      </c>
      <c r="S34" t="s">
        <v>1046</v>
      </c>
      <c r="T34">
        <v>33</v>
      </c>
      <c r="U34" t="s">
        <v>65</v>
      </c>
      <c r="V34" t="s">
        <v>66</v>
      </c>
      <c r="W34" t="str">
        <f t="shared" ca="1" si="2"/>
        <v>Inactive</v>
      </c>
    </row>
    <row r="35" spans="1:23" x14ac:dyDescent="0.2">
      <c r="A35">
        <v>1559</v>
      </c>
      <c r="B35" t="s">
        <v>4404</v>
      </c>
      <c r="C35" t="s">
        <v>4410</v>
      </c>
      <c r="D35" s="1" t="s">
        <v>2162</v>
      </c>
      <c r="E35" t="s">
        <v>4406</v>
      </c>
      <c r="F35" t="s">
        <v>995</v>
      </c>
      <c r="G35" s="4" t="s">
        <v>5428</v>
      </c>
      <c r="H35" t="s">
        <v>3550</v>
      </c>
      <c r="I35" t="s">
        <v>93</v>
      </c>
      <c r="J35" s="4" t="s">
        <v>68</v>
      </c>
      <c r="K35" t="s">
        <v>4411</v>
      </c>
      <c r="L35">
        <v>3</v>
      </c>
      <c r="M35" t="s">
        <v>2320</v>
      </c>
      <c r="N35" t="s">
        <v>1347</v>
      </c>
      <c r="O35" t="s">
        <v>2320</v>
      </c>
      <c r="P35" s="2" t="str">
        <f t="shared" si="0"/>
        <v>22/01/2025 to 27/01/2025</v>
      </c>
      <c r="Q35" s="3">
        <v>45683</v>
      </c>
      <c r="R35" t="str">
        <f t="shared" si="1"/>
        <v>On-Time</v>
      </c>
      <c r="S35" t="s">
        <v>577</v>
      </c>
      <c r="T35">
        <v>34.5</v>
      </c>
      <c r="U35" t="s">
        <v>65</v>
      </c>
      <c r="V35" t="s">
        <v>72</v>
      </c>
      <c r="W35" t="str">
        <f t="shared" ca="1" si="2"/>
        <v>Inactive</v>
      </c>
    </row>
    <row r="36" spans="1:23" x14ac:dyDescent="0.2">
      <c r="A36">
        <v>1560</v>
      </c>
      <c r="B36" t="s">
        <v>4404</v>
      </c>
      <c r="C36" t="s">
        <v>4412</v>
      </c>
      <c r="D36" s="1" t="s">
        <v>2162</v>
      </c>
      <c r="E36" t="s">
        <v>4406</v>
      </c>
      <c r="F36" t="s">
        <v>995</v>
      </c>
      <c r="G36" s="4" t="s">
        <v>5420</v>
      </c>
      <c r="H36" t="s">
        <v>3550</v>
      </c>
      <c r="I36" t="s">
        <v>93</v>
      </c>
      <c r="J36" s="4" t="s">
        <v>74</v>
      </c>
      <c r="K36" t="s">
        <v>4413</v>
      </c>
      <c r="L36">
        <v>3</v>
      </c>
      <c r="M36" t="s">
        <v>1347</v>
      </c>
      <c r="N36" t="s">
        <v>1357</v>
      </c>
      <c r="O36" t="s">
        <v>1347</v>
      </c>
      <c r="P36" s="2" t="str">
        <f t="shared" si="0"/>
        <v>23/01/2025 to 28/01/2025</v>
      </c>
      <c r="Q36" s="3">
        <v>45683</v>
      </c>
      <c r="R36" t="str">
        <f t="shared" si="1"/>
        <v>On-Time</v>
      </c>
      <c r="S36" t="s">
        <v>581</v>
      </c>
      <c r="T36">
        <v>35</v>
      </c>
      <c r="U36" t="s">
        <v>65</v>
      </c>
      <c r="V36" t="s">
        <v>66</v>
      </c>
      <c r="W36" t="str">
        <f t="shared" ca="1" si="2"/>
        <v>Inactive</v>
      </c>
    </row>
    <row r="37" spans="1:23" x14ac:dyDescent="0.2">
      <c r="A37">
        <v>1981</v>
      </c>
      <c r="B37" t="s">
        <v>5363</v>
      </c>
      <c r="C37" t="s">
        <v>5364</v>
      </c>
      <c r="D37" s="1" t="s">
        <v>2162</v>
      </c>
      <c r="E37" t="s">
        <v>5365</v>
      </c>
      <c r="F37" t="s">
        <v>741</v>
      </c>
      <c r="G37" s="4" t="s">
        <v>5428</v>
      </c>
      <c r="H37" t="s">
        <v>754</v>
      </c>
      <c r="I37" t="s">
        <v>136</v>
      </c>
      <c r="J37" s="4" t="s">
        <v>68</v>
      </c>
      <c r="K37" t="s">
        <v>30</v>
      </c>
      <c r="L37">
        <v>1</v>
      </c>
      <c r="M37" t="s">
        <v>2162</v>
      </c>
      <c r="N37" t="s">
        <v>1347</v>
      </c>
      <c r="O37" t="s">
        <v>2320</v>
      </c>
      <c r="P37" s="2" t="str">
        <f t="shared" si="0"/>
        <v>21/01/2025 to 24/01/2025</v>
      </c>
      <c r="Q37" s="3">
        <v>45677</v>
      </c>
      <c r="R37" t="str">
        <f t="shared" si="1"/>
        <v>Late</v>
      </c>
      <c r="S37" t="s">
        <v>1150</v>
      </c>
      <c r="T37">
        <v>12</v>
      </c>
      <c r="U37" t="s">
        <v>65</v>
      </c>
      <c r="V37" t="s">
        <v>66</v>
      </c>
      <c r="W37" t="str">
        <f t="shared" ca="1" si="2"/>
        <v>Inactive</v>
      </c>
    </row>
    <row r="38" spans="1:23" x14ac:dyDescent="0.2">
      <c r="A38">
        <v>1982</v>
      </c>
      <c r="B38" t="s">
        <v>5363</v>
      </c>
      <c r="C38" t="s">
        <v>5366</v>
      </c>
      <c r="D38" s="1" t="s">
        <v>2162</v>
      </c>
      <c r="E38" t="s">
        <v>5365</v>
      </c>
      <c r="F38" t="s">
        <v>741</v>
      </c>
      <c r="G38" s="4" t="s">
        <v>5428</v>
      </c>
      <c r="H38" t="s">
        <v>754</v>
      </c>
      <c r="I38" t="s">
        <v>136</v>
      </c>
      <c r="J38" s="4" t="s">
        <v>68</v>
      </c>
      <c r="K38" t="s">
        <v>5367</v>
      </c>
      <c r="L38">
        <v>3</v>
      </c>
      <c r="M38" t="s">
        <v>2162</v>
      </c>
      <c r="N38" t="s">
        <v>2320</v>
      </c>
      <c r="O38" t="s">
        <v>1347</v>
      </c>
      <c r="P38" s="2" t="str">
        <f t="shared" si="0"/>
        <v>21/01/2025 to 24/01/2025</v>
      </c>
      <c r="Q38" s="3">
        <v>45679</v>
      </c>
      <c r="R38" t="str">
        <f t="shared" si="1"/>
        <v>On-Time</v>
      </c>
      <c r="S38" t="s">
        <v>1150</v>
      </c>
      <c r="T38">
        <v>24.5</v>
      </c>
      <c r="U38" t="s">
        <v>65</v>
      </c>
      <c r="V38" t="s">
        <v>80</v>
      </c>
      <c r="W38" t="str">
        <f t="shared" ca="1" si="2"/>
        <v>Inactive</v>
      </c>
    </row>
    <row r="39" spans="1:23" x14ac:dyDescent="0.2">
      <c r="A39">
        <v>1983</v>
      </c>
      <c r="B39" t="s">
        <v>5363</v>
      </c>
      <c r="C39" t="s">
        <v>5368</v>
      </c>
      <c r="D39" s="1" t="s">
        <v>2162</v>
      </c>
      <c r="E39" t="s">
        <v>5365</v>
      </c>
      <c r="F39" t="s">
        <v>741</v>
      </c>
      <c r="G39" s="4" t="s">
        <v>5423</v>
      </c>
      <c r="H39" t="s">
        <v>754</v>
      </c>
      <c r="I39" t="s">
        <v>136</v>
      </c>
      <c r="J39" s="4" t="s">
        <v>74</v>
      </c>
      <c r="K39" t="s">
        <v>5369</v>
      </c>
      <c r="L39">
        <v>3</v>
      </c>
      <c r="M39" t="s">
        <v>1347</v>
      </c>
      <c r="N39" t="s">
        <v>1158</v>
      </c>
      <c r="O39" t="s">
        <v>1347</v>
      </c>
      <c r="P39" s="2" t="str">
        <f t="shared" si="0"/>
        <v>23/01/2025 to 28/01/2025</v>
      </c>
      <c r="Q39" s="3">
        <v>45679</v>
      </c>
      <c r="R39" t="str">
        <f t="shared" si="1"/>
        <v>Late</v>
      </c>
      <c r="S39" t="s">
        <v>1143</v>
      </c>
      <c r="T39">
        <v>26.5</v>
      </c>
      <c r="U39" t="s">
        <v>65</v>
      </c>
      <c r="V39" t="s">
        <v>80</v>
      </c>
      <c r="W39" t="str">
        <f t="shared" ca="1" si="2"/>
        <v>Inactive</v>
      </c>
    </row>
    <row r="40" spans="1:23" x14ac:dyDescent="0.2">
      <c r="A40">
        <v>1984</v>
      </c>
      <c r="B40" t="s">
        <v>5363</v>
      </c>
      <c r="C40" t="s">
        <v>5370</v>
      </c>
      <c r="D40" s="1" t="s">
        <v>2162</v>
      </c>
      <c r="E40" t="s">
        <v>5365</v>
      </c>
      <c r="F40" t="s">
        <v>741</v>
      </c>
      <c r="G40" s="4" t="s">
        <v>5426</v>
      </c>
      <c r="H40" t="s">
        <v>754</v>
      </c>
      <c r="I40" t="s">
        <v>136</v>
      </c>
      <c r="J40" s="4" t="s">
        <v>60</v>
      </c>
      <c r="K40" t="s">
        <v>308</v>
      </c>
      <c r="L40">
        <v>2</v>
      </c>
      <c r="M40" t="s">
        <v>2162</v>
      </c>
      <c r="N40" t="s">
        <v>2320</v>
      </c>
      <c r="O40" t="s">
        <v>2320</v>
      </c>
      <c r="P40" s="2" t="str">
        <f t="shared" si="0"/>
        <v>21/01/2025 to 24/01/2025</v>
      </c>
      <c r="Q40" s="3">
        <v>45683</v>
      </c>
      <c r="R40" t="str">
        <f t="shared" si="1"/>
        <v>Late</v>
      </c>
      <c r="S40" t="s">
        <v>581</v>
      </c>
      <c r="T40">
        <v>18.5</v>
      </c>
      <c r="U40" t="s">
        <v>65</v>
      </c>
      <c r="V40" t="s">
        <v>66</v>
      </c>
      <c r="W40" t="str">
        <f t="shared" ca="1" si="2"/>
        <v>Inactive</v>
      </c>
    </row>
    <row r="41" spans="1:23" x14ac:dyDescent="0.2">
      <c r="A41">
        <v>692</v>
      </c>
      <c r="B41" t="s">
        <v>2318</v>
      </c>
      <c r="C41" t="s">
        <v>2319</v>
      </c>
      <c r="D41" s="1" t="s">
        <v>2320</v>
      </c>
      <c r="E41" t="s">
        <v>2321</v>
      </c>
      <c r="F41" t="s">
        <v>179</v>
      </c>
      <c r="G41" s="4" t="s">
        <v>5425</v>
      </c>
      <c r="H41" t="s">
        <v>1509</v>
      </c>
      <c r="I41" t="s">
        <v>112</v>
      </c>
      <c r="J41" s="4" t="s">
        <v>74</v>
      </c>
      <c r="K41" t="s">
        <v>2322</v>
      </c>
      <c r="L41">
        <v>4</v>
      </c>
      <c r="M41" t="s">
        <v>1347</v>
      </c>
      <c r="N41" t="s">
        <v>1347</v>
      </c>
      <c r="O41" t="s">
        <v>1347</v>
      </c>
      <c r="P41" s="2" t="str">
        <f t="shared" si="0"/>
        <v>23/01/2025 to 28/01/2025</v>
      </c>
      <c r="Q41" s="3">
        <v>45681</v>
      </c>
      <c r="R41" t="str">
        <f t="shared" si="1"/>
        <v>On-Time</v>
      </c>
      <c r="S41" t="s">
        <v>1046</v>
      </c>
      <c r="T41">
        <v>36.5</v>
      </c>
      <c r="U41" t="s">
        <v>65</v>
      </c>
      <c r="V41" t="s">
        <v>66</v>
      </c>
      <c r="W41" t="str">
        <f t="shared" ca="1" si="2"/>
        <v>Inactive</v>
      </c>
    </row>
    <row r="42" spans="1:23" x14ac:dyDescent="0.2">
      <c r="A42">
        <v>693</v>
      </c>
      <c r="B42" t="s">
        <v>2318</v>
      </c>
      <c r="C42" t="s">
        <v>2323</v>
      </c>
      <c r="D42" s="1" t="s">
        <v>2320</v>
      </c>
      <c r="E42" t="s">
        <v>2321</v>
      </c>
      <c r="F42" t="s">
        <v>179</v>
      </c>
      <c r="G42" s="4" t="s">
        <v>5422</v>
      </c>
      <c r="H42" t="s">
        <v>1509</v>
      </c>
      <c r="I42" t="s">
        <v>112</v>
      </c>
      <c r="J42" s="4" t="s">
        <v>60</v>
      </c>
      <c r="K42" t="s">
        <v>2324</v>
      </c>
      <c r="L42">
        <v>3</v>
      </c>
      <c r="M42" t="s">
        <v>2320</v>
      </c>
      <c r="N42" t="s">
        <v>2320</v>
      </c>
      <c r="O42" t="s">
        <v>1357</v>
      </c>
      <c r="P42" s="2" t="str">
        <f t="shared" si="0"/>
        <v>22/01/2025 to 27/01/2025</v>
      </c>
      <c r="Q42" s="3">
        <v>45684</v>
      </c>
      <c r="R42" t="str">
        <f t="shared" si="1"/>
        <v>On-Time</v>
      </c>
      <c r="S42" t="s">
        <v>582</v>
      </c>
      <c r="T42">
        <v>29</v>
      </c>
      <c r="U42" t="s">
        <v>65</v>
      </c>
      <c r="V42" t="s">
        <v>66</v>
      </c>
      <c r="W42" t="str">
        <f t="shared" ca="1" si="2"/>
        <v>Inactive</v>
      </c>
    </row>
    <row r="43" spans="1:23" x14ac:dyDescent="0.2">
      <c r="A43">
        <v>694</v>
      </c>
      <c r="B43" t="s">
        <v>2318</v>
      </c>
      <c r="C43" t="s">
        <v>2325</v>
      </c>
      <c r="D43" s="1" t="s">
        <v>2320</v>
      </c>
      <c r="E43" t="s">
        <v>2321</v>
      </c>
      <c r="F43" t="s">
        <v>179</v>
      </c>
      <c r="G43" s="4" t="s">
        <v>5421</v>
      </c>
      <c r="H43" t="s">
        <v>1509</v>
      </c>
      <c r="I43" t="s">
        <v>112</v>
      </c>
      <c r="J43" s="4" t="s">
        <v>68</v>
      </c>
      <c r="K43" t="s">
        <v>2326</v>
      </c>
      <c r="L43">
        <v>4</v>
      </c>
      <c r="M43" t="s">
        <v>1347</v>
      </c>
      <c r="N43" t="s">
        <v>1158</v>
      </c>
      <c r="O43" t="s">
        <v>1347</v>
      </c>
      <c r="P43" s="2" t="str">
        <f t="shared" si="0"/>
        <v>23/01/2025 to 28/01/2025</v>
      </c>
      <c r="Q43" s="3">
        <v>45683</v>
      </c>
      <c r="R43" t="str">
        <f t="shared" si="1"/>
        <v>On-Time</v>
      </c>
      <c r="S43" t="s">
        <v>582</v>
      </c>
      <c r="T43">
        <v>40.5</v>
      </c>
      <c r="U43" t="s">
        <v>65</v>
      </c>
      <c r="V43" t="s">
        <v>72</v>
      </c>
      <c r="W43" t="str">
        <f t="shared" ca="1" si="2"/>
        <v>Inactive</v>
      </c>
    </row>
    <row r="44" spans="1:23" x14ac:dyDescent="0.2">
      <c r="A44">
        <v>695</v>
      </c>
      <c r="B44" t="s">
        <v>2318</v>
      </c>
      <c r="C44" t="s">
        <v>2327</v>
      </c>
      <c r="D44" s="1" t="s">
        <v>2320</v>
      </c>
      <c r="E44" t="s">
        <v>2321</v>
      </c>
      <c r="F44" t="s">
        <v>179</v>
      </c>
      <c r="G44" s="4" t="s">
        <v>5421</v>
      </c>
      <c r="H44" t="s">
        <v>1509</v>
      </c>
      <c r="I44" t="s">
        <v>112</v>
      </c>
      <c r="J44" s="4" t="s">
        <v>74</v>
      </c>
      <c r="K44" t="s">
        <v>2328</v>
      </c>
      <c r="L44">
        <v>4</v>
      </c>
      <c r="M44" t="s">
        <v>1357</v>
      </c>
      <c r="N44" t="s">
        <v>1158</v>
      </c>
      <c r="O44" t="s">
        <v>1165</v>
      </c>
      <c r="P44" s="2" t="str">
        <f t="shared" si="0"/>
        <v>24/01/2025 to 29/01/2025</v>
      </c>
      <c r="Q44" s="3">
        <v>45681</v>
      </c>
      <c r="R44" t="str">
        <f t="shared" si="1"/>
        <v>On-Time</v>
      </c>
      <c r="S44" t="s">
        <v>1046</v>
      </c>
      <c r="T44">
        <v>33</v>
      </c>
      <c r="U44" t="s">
        <v>65</v>
      </c>
      <c r="V44" t="s">
        <v>66</v>
      </c>
      <c r="W44" t="str">
        <f t="shared" ca="1" si="2"/>
        <v>Inactive</v>
      </c>
    </row>
    <row r="45" spans="1:23" x14ac:dyDescent="0.2">
      <c r="A45">
        <v>696</v>
      </c>
      <c r="B45" t="s">
        <v>2318</v>
      </c>
      <c r="C45" t="s">
        <v>2329</v>
      </c>
      <c r="D45" s="1" t="s">
        <v>2320</v>
      </c>
      <c r="E45" t="s">
        <v>2321</v>
      </c>
      <c r="F45" t="s">
        <v>179</v>
      </c>
      <c r="G45" s="4" t="s">
        <v>5426</v>
      </c>
      <c r="H45" t="s">
        <v>1509</v>
      </c>
      <c r="I45" t="s">
        <v>112</v>
      </c>
      <c r="J45" s="4" t="s">
        <v>60</v>
      </c>
      <c r="K45" t="s">
        <v>30</v>
      </c>
      <c r="L45">
        <v>1</v>
      </c>
      <c r="M45" t="s">
        <v>1347</v>
      </c>
      <c r="N45" t="s">
        <v>1158</v>
      </c>
      <c r="O45" t="s">
        <v>1357</v>
      </c>
      <c r="P45" s="2" t="str">
        <f t="shared" si="0"/>
        <v>23/01/2025 to 28/01/2025</v>
      </c>
      <c r="Q45" s="3">
        <v>45684</v>
      </c>
      <c r="R45" t="str">
        <f t="shared" si="1"/>
        <v>On-Time</v>
      </c>
      <c r="S45" t="s">
        <v>582</v>
      </c>
      <c r="T45">
        <v>12</v>
      </c>
      <c r="U45" t="s">
        <v>79</v>
      </c>
      <c r="V45" t="s">
        <v>66</v>
      </c>
      <c r="W45" t="str">
        <f t="shared" ca="1" si="2"/>
        <v>Inactive</v>
      </c>
    </row>
    <row r="46" spans="1:23" x14ac:dyDescent="0.2">
      <c r="A46">
        <v>1128</v>
      </c>
      <c r="B46" t="s">
        <v>3376</v>
      </c>
      <c r="C46" t="s">
        <v>3377</v>
      </c>
      <c r="D46" s="1" t="s">
        <v>2320</v>
      </c>
      <c r="E46" t="s">
        <v>3378</v>
      </c>
      <c r="F46" t="s">
        <v>881</v>
      </c>
      <c r="G46" s="4" t="s">
        <v>5427</v>
      </c>
      <c r="H46" t="s">
        <v>3379</v>
      </c>
      <c r="I46" t="s">
        <v>136</v>
      </c>
      <c r="J46" s="4" t="s">
        <v>68</v>
      </c>
      <c r="K46" t="s">
        <v>328</v>
      </c>
      <c r="L46">
        <v>2</v>
      </c>
      <c r="M46" t="s">
        <v>1347</v>
      </c>
      <c r="N46" t="s">
        <v>1347</v>
      </c>
      <c r="O46" t="s">
        <v>1158</v>
      </c>
      <c r="P46" s="2" t="str">
        <f t="shared" si="0"/>
        <v>23/01/2025 to 28/01/2025</v>
      </c>
      <c r="Q46" s="3">
        <v>45685</v>
      </c>
      <c r="R46" t="str">
        <f t="shared" si="1"/>
        <v>On-Time</v>
      </c>
      <c r="S46" t="s">
        <v>779</v>
      </c>
      <c r="T46">
        <v>17</v>
      </c>
      <c r="U46" t="s">
        <v>79</v>
      </c>
      <c r="V46" t="s">
        <v>66</v>
      </c>
      <c r="W46" t="str">
        <f t="shared" ca="1" si="2"/>
        <v>Inactive</v>
      </c>
    </row>
    <row r="47" spans="1:23" x14ac:dyDescent="0.2">
      <c r="A47">
        <v>1129</v>
      </c>
      <c r="B47" t="s">
        <v>3376</v>
      </c>
      <c r="C47" t="s">
        <v>3380</v>
      </c>
      <c r="D47" s="1" t="s">
        <v>2320</v>
      </c>
      <c r="E47" t="s">
        <v>3378</v>
      </c>
      <c r="F47" t="s">
        <v>881</v>
      </c>
      <c r="G47" s="4" t="s">
        <v>5421</v>
      </c>
      <c r="H47" t="s">
        <v>3379</v>
      </c>
      <c r="I47" t="s">
        <v>136</v>
      </c>
      <c r="J47" s="4" t="s">
        <v>74</v>
      </c>
      <c r="K47" t="s">
        <v>3381</v>
      </c>
      <c r="L47">
        <v>3</v>
      </c>
      <c r="M47" t="s">
        <v>1357</v>
      </c>
      <c r="N47" t="s">
        <v>1158</v>
      </c>
      <c r="O47" t="s">
        <v>1165</v>
      </c>
      <c r="P47" s="2" t="str">
        <f t="shared" si="0"/>
        <v>24/01/2025 to 29/01/2025</v>
      </c>
      <c r="Q47" s="3">
        <v>45683</v>
      </c>
      <c r="R47" t="str">
        <f t="shared" si="1"/>
        <v>On-Time</v>
      </c>
      <c r="S47" t="s">
        <v>577</v>
      </c>
      <c r="T47">
        <v>31</v>
      </c>
      <c r="U47" t="s">
        <v>65</v>
      </c>
      <c r="V47" t="s">
        <v>66</v>
      </c>
      <c r="W47" t="str">
        <f t="shared" ca="1" si="2"/>
        <v>Inactive</v>
      </c>
    </row>
    <row r="48" spans="1:23" x14ac:dyDescent="0.2">
      <c r="A48">
        <v>1130</v>
      </c>
      <c r="B48" t="s">
        <v>3376</v>
      </c>
      <c r="C48" t="s">
        <v>3382</v>
      </c>
      <c r="D48" s="1" t="s">
        <v>2320</v>
      </c>
      <c r="E48" t="s">
        <v>3378</v>
      </c>
      <c r="F48" t="s">
        <v>881</v>
      </c>
      <c r="G48" s="4" t="s">
        <v>5422</v>
      </c>
      <c r="H48" t="s">
        <v>3379</v>
      </c>
      <c r="I48" t="s">
        <v>136</v>
      </c>
      <c r="J48" s="4" t="s">
        <v>74</v>
      </c>
      <c r="K48" t="s">
        <v>32</v>
      </c>
      <c r="L48">
        <v>1</v>
      </c>
      <c r="M48" t="s">
        <v>2320</v>
      </c>
      <c r="N48" t="s">
        <v>1347</v>
      </c>
      <c r="O48" t="s">
        <v>2320</v>
      </c>
      <c r="P48" s="2" t="str">
        <f t="shared" si="0"/>
        <v>22/01/2025 to 27/01/2025</v>
      </c>
      <c r="Q48" s="3">
        <v>45680</v>
      </c>
      <c r="R48" t="str">
        <f t="shared" si="1"/>
        <v>On-Time</v>
      </c>
      <c r="S48" t="s">
        <v>1046</v>
      </c>
      <c r="T48">
        <v>14</v>
      </c>
      <c r="U48" t="s">
        <v>65</v>
      </c>
      <c r="V48" t="s">
        <v>66</v>
      </c>
      <c r="W48" t="str">
        <f t="shared" ca="1" si="2"/>
        <v>Inactive</v>
      </c>
    </row>
    <row r="49" spans="1:23" x14ac:dyDescent="0.2">
      <c r="A49">
        <v>1131</v>
      </c>
      <c r="B49" t="s">
        <v>3376</v>
      </c>
      <c r="C49" t="s">
        <v>3383</v>
      </c>
      <c r="D49" s="1" t="s">
        <v>2320</v>
      </c>
      <c r="E49" t="s">
        <v>3378</v>
      </c>
      <c r="F49" t="s">
        <v>881</v>
      </c>
      <c r="G49" s="4" t="s">
        <v>5419</v>
      </c>
      <c r="H49" t="s">
        <v>3379</v>
      </c>
      <c r="I49" t="s">
        <v>136</v>
      </c>
      <c r="J49" s="4" t="s">
        <v>5417</v>
      </c>
      <c r="K49" t="s">
        <v>3384</v>
      </c>
      <c r="L49">
        <v>3</v>
      </c>
      <c r="M49" t="s">
        <v>1347</v>
      </c>
      <c r="N49" t="s">
        <v>1347</v>
      </c>
      <c r="O49" t="s">
        <v>1357</v>
      </c>
      <c r="P49" s="2" t="str">
        <f t="shared" si="0"/>
        <v>23/01/2025 to 28/01/2025</v>
      </c>
      <c r="Q49" s="3">
        <v>45679</v>
      </c>
      <c r="R49" t="str">
        <f t="shared" si="1"/>
        <v>Late</v>
      </c>
      <c r="S49" t="s">
        <v>1143</v>
      </c>
      <c r="T49">
        <v>24</v>
      </c>
      <c r="U49" t="s">
        <v>79</v>
      </c>
      <c r="V49" t="s">
        <v>66</v>
      </c>
      <c r="W49" t="str">
        <f t="shared" ca="1" si="2"/>
        <v>Inactive</v>
      </c>
    </row>
    <row r="50" spans="1:23" x14ac:dyDescent="0.2">
      <c r="A50">
        <v>1132</v>
      </c>
      <c r="B50" t="s">
        <v>3376</v>
      </c>
      <c r="C50" t="s">
        <v>3385</v>
      </c>
      <c r="D50" s="1" t="s">
        <v>2320</v>
      </c>
      <c r="E50" t="s">
        <v>3378</v>
      </c>
      <c r="F50" t="s">
        <v>881</v>
      </c>
      <c r="G50" s="4" t="s">
        <v>5428</v>
      </c>
      <c r="H50" t="s">
        <v>3379</v>
      </c>
      <c r="I50" t="s">
        <v>136</v>
      </c>
      <c r="J50" s="4" t="s">
        <v>74</v>
      </c>
      <c r="K50" t="s">
        <v>3386</v>
      </c>
      <c r="L50">
        <v>3</v>
      </c>
      <c r="M50" t="s">
        <v>1357</v>
      </c>
      <c r="N50" t="s">
        <v>1158</v>
      </c>
      <c r="O50" t="s">
        <v>1158</v>
      </c>
      <c r="P50" s="2" t="str">
        <f t="shared" si="0"/>
        <v>24/01/2025 to 29/01/2025</v>
      </c>
      <c r="Q50" s="3">
        <v>45683</v>
      </c>
      <c r="R50" t="str">
        <f t="shared" si="1"/>
        <v>On-Time</v>
      </c>
      <c r="S50" t="s">
        <v>582</v>
      </c>
      <c r="T50">
        <v>29.5</v>
      </c>
      <c r="U50" t="s">
        <v>65</v>
      </c>
      <c r="V50" t="s">
        <v>80</v>
      </c>
      <c r="W50" t="str">
        <f t="shared" ca="1" si="2"/>
        <v>Inactive</v>
      </c>
    </row>
    <row r="51" spans="1:23" x14ac:dyDescent="0.2">
      <c r="A51">
        <v>1269</v>
      </c>
      <c r="B51" t="s">
        <v>3707</v>
      </c>
      <c r="C51" t="s">
        <v>3708</v>
      </c>
      <c r="D51" s="1" t="s">
        <v>2320</v>
      </c>
      <c r="E51" t="s">
        <v>3709</v>
      </c>
      <c r="F51" t="s">
        <v>546</v>
      </c>
      <c r="G51" s="4" t="s">
        <v>38</v>
      </c>
      <c r="H51" t="s">
        <v>2764</v>
      </c>
      <c r="I51" t="s">
        <v>93</v>
      </c>
      <c r="J51" s="4" t="s">
        <v>74</v>
      </c>
      <c r="K51" t="s">
        <v>4</v>
      </c>
      <c r="L51">
        <v>1</v>
      </c>
      <c r="M51" t="s">
        <v>1357</v>
      </c>
      <c r="N51" t="s">
        <v>1357</v>
      </c>
      <c r="O51" t="s">
        <v>1357</v>
      </c>
      <c r="P51" s="2" t="str">
        <f t="shared" si="0"/>
        <v>24/01/2025 to 29/01/2025</v>
      </c>
      <c r="Q51" s="3">
        <v>45684</v>
      </c>
      <c r="R51" t="str">
        <f t="shared" si="1"/>
        <v>On-Time</v>
      </c>
      <c r="S51" t="s">
        <v>582</v>
      </c>
      <c r="T51">
        <v>8</v>
      </c>
      <c r="U51" t="s">
        <v>65</v>
      </c>
      <c r="V51" t="s">
        <v>72</v>
      </c>
      <c r="W51" t="str">
        <f t="shared" ca="1" si="2"/>
        <v>Inactive</v>
      </c>
    </row>
    <row r="52" spans="1:23" x14ac:dyDescent="0.2">
      <c r="A52">
        <v>1270</v>
      </c>
      <c r="B52" t="s">
        <v>3707</v>
      </c>
      <c r="C52" t="s">
        <v>3710</v>
      </c>
      <c r="D52" s="1" t="s">
        <v>2320</v>
      </c>
      <c r="E52" t="s">
        <v>3709</v>
      </c>
      <c r="F52" t="s">
        <v>546</v>
      </c>
      <c r="G52" s="4" t="s">
        <v>5421</v>
      </c>
      <c r="H52" t="s">
        <v>2764</v>
      </c>
      <c r="I52" t="s">
        <v>93</v>
      </c>
      <c r="J52" s="4" t="s">
        <v>5417</v>
      </c>
      <c r="K52" t="s">
        <v>3711</v>
      </c>
      <c r="L52">
        <v>4</v>
      </c>
      <c r="M52" t="s">
        <v>1347</v>
      </c>
      <c r="N52" t="s">
        <v>1347</v>
      </c>
      <c r="O52" t="s">
        <v>1347</v>
      </c>
      <c r="P52" s="2" t="str">
        <f t="shared" si="0"/>
        <v>23/01/2025 to 28/01/2025</v>
      </c>
      <c r="Q52" s="3">
        <v>45682</v>
      </c>
      <c r="R52" t="str">
        <f t="shared" si="1"/>
        <v>On-Time</v>
      </c>
      <c r="S52" t="s">
        <v>581</v>
      </c>
      <c r="T52">
        <v>45</v>
      </c>
      <c r="U52" t="s">
        <v>79</v>
      </c>
      <c r="V52" t="s">
        <v>80</v>
      </c>
      <c r="W52" t="str">
        <f t="shared" ca="1" si="2"/>
        <v>Inactive</v>
      </c>
    </row>
    <row r="53" spans="1:23" x14ac:dyDescent="0.2">
      <c r="A53">
        <v>1271</v>
      </c>
      <c r="B53" t="s">
        <v>3707</v>
      </c>
      <c r="C53" t="s">
        <v>3712</v>
      </c>
      <c r="D53" s="1" t="s">
        <v>2320</v>
      </c>
      <c r="E53" t="s">
        <v>3709</v>
      </c>
      <c r="F53" t="s">
        <v>546</v>
      </c>
      <c r="G53" s="4" t="s">
        <v>5427</v>
      </c>
      <c r="H53" t="s">
        <v>2764</v>
      </c>
      <c r="I53" t="s">
        <v>93</v>
      </c>
      <c r="J53" s="4" t="s">
        <v>68</v>
      </c>
      <c r="K53" t="s">
        <v>3713</v>
      </c>
      <c r="L53">
        <v>4</v>
      </c>
      <c r="M53" t="s">
        <v>2320</v>
      </c>
      <c r="N53" t="s">
        <v>1357</v>
      </c>
      <c r="O53" t="s">
        <v>1357</v>
      </c>
      <c r="P53" s="2" t="str">
        <f t="shared" si="0"/>
        <v>22/01/2025 to 27/01/2025</v>
      </c>
      <c r="Q53" s="3">
        <v>45684</v>
      </c>
      <c r="R53" t="str">
        <f t="shared" si="1"/>
        <v>On-Time</v>
      </c>
      <c r="S53" t="s">
        <v>581</v>
      </c>
      <c r="T53">
        <v>34.5</v>
      </c>
      <c r="U53" t="s">
        <v>65</v>
      </c>
      <c r="V53" t="s">
        <v>72</v>
      </c>
      <c r="W53" t="str">
        <f t="shared" ca="1" si="2"/>
        <v>Inactive</v>
      </c>
    </row>
    <row r="54" spans="1:23" x14ac:dyDescent="0.2">
      <c r="A54">
        <v>1272</v>
      </c>
      <c r="B54" t="s">
        <v>3707</v>
      </c>
      <c r="C54" t="s">
        <v>3714</v>
      </c>
      <c r="D54" s="1" t="s">
        <v>2320</v>
      </c>
      <c r="E54" t="s">
        <v>3709</v>
      </c>
      <c r="F54" t="s">
        <v>546</v>
      </c>
      <c r="G54" s="4" t="s">
        <v>5421</v>
      </c>
      <c r="H54" t="s">
        <v>2764</v>
      </c>
      <c r="I54" t="s">
        <v>93</v>
      </c>
      <c r="J54" s="4" t="s">
        <v>68</v>
      </c>
      <c r="K54" t="s">
        <v>3715</v>
      </c>
      <c r="L54">
        <v>3</v>
      </c>
      <c r="M54" t="s">
        <v>1357</v>
      </c>
      <c r="N54" t="s">
        <v>1165</v>
      </c>
      <c r="O54" t="s">
        <v>1158</v>
      </c>
      <c r="P54" s="2" t="str">
        <f t="shared" si="0"/>
        <v>24/01/2025 to 29/01/2025</v>
      </c>
      <c r="Q54" s="3">
        <v>45684</v>
      </c>
      <c r="R54" t="str">
        <f t="shared" si="1"/>
        <v>On-Time</v>
      </c>
      <c r="S54" t="s">
        <v>583</v>
      </c>
      <c r="T54">
        <v>24.5</v>
      </c>
      <c r="U54" t="s">
        <v>79</v>
      </c>
      <c r="V54" t="s">
        <v>72</v>
      </c>
      <c r="W54" t="str">
        <f t="shared" ca="1" si="2"/>
        <v>Inactive</v>
      </c>
    </row>
    <row r="55" spans="1:23" x14ac:dyDescent="0.2">
      <c r="A55">
        <v>1273</v>
      </c>
      <c r="B55" t="s">
        <v>3707</v>
      </c>
      <c r="C55" t="s">
        <v>3716</v>
      </c>
      <c r="D55" s="1" t="s">
        <v>2320</v>
      </c>
      <c r="E55" t="s">
        <v>3709</v>
      </c>
      <c r="F55" t="s">
        <v>546</v>
      </c>
      <c r="G55" s="4" t="s">
        <v>38</v>
      </c>
      <c r="H55" t="s">
        <v>2764</v>
      </c>
      <c r="I55" t="s">
        <v>93</v>
      </c>
      <c r="J55" s="4" t="s">
        <v>60</v>
      </c>
      <c r="K55" t="s">
        <v>3717</v>
      </c>
      <c r="L55">
        <v>4</v>
      </c>
      <c r="M55" t="s">
        <v>1347</v>
      </c>
      <c r="N55" t="s">
        <v>1347</v>
      </c>
      <c r="O55" t="s">
        <v>1357</v>
      </c>
      <c r="P55" s="2" t="str">
        <f t="shared" si="0"/>
        <v>23/01/2025 to 28/01/2025</v>
      </c>
      <c r="Q55" s="3">
        <v>45679</v>
      </c>
      <c r="R55" t="str">
        <f t="shared" si="1"/>
        <v>Late</v>
      </c>
      <c r="S55" t="s">
        <v>1150</v>
      </c>
      <c r="T55">
        <v>37</v>
      </c>
      <c r="U55" t="s">
        <v>79</v>
      </c>
      <c r="V55" t="s">
        <v>72</v>
      </c>
      <c r="W55" t="str">
        <f t="shared" ca="1" si="2"/>
        <v>Inactive</v>
      </c>
    </row>
    <row r="56" spans="1:23" x14ac:dyDescent="0.2">
      <c r="A56">
        <v>331</v>
      </c>
      <c r="B56" t="s">
        <v>1345</v>
      </c>
      <c r="C56" t="s">
        <v>1346</v>
      </c>
      <c r="D56" s="1" t="s">
        <v>1347</v>
      </c>
      <c r="E56" t="s">
        <v>1348</v>
      </c>
      <c r="F56" t="s">
        <v>910</v>
      </c>
      <c r="G56" s="4" t="s">
        <v>5426</v>
      </c>
      <c r="H56" t="s">
        <v>1349</v>
      </c>
      <c r="I56" t="s">
        <v>136</v>
      </c>
      <c r="J56" s="4" t="s">
        <v>60</v>
      </c>
      <c r="K56" t="s">
        <v>1350</v>
      </c>
      <c r="L56">
        <v>3</v>
      </c>
      <c r="M56" t="s">
        <v>1158</v>
      </c>
      <c r="N56" t="s">
        <v>1158</v>
      </c>
      <c r="O56" t="s">
        <v>1158</v>
      </c>
      <c r="P56" s="2" t="str">
        <f t="shared" si="0"/>
        <v>27/01/2025 to 30/01/2025</v>
      </c>
      <c r="Q56" s="3">
        <v>45682</v>
      </c>
      <c r="R56" t="str">
        <f t="shared" si="1"/>
        <v>Late</v>
      </c>
      <c r="S56" t="s">
        <v>581</v>
      </c>
      <c r="T56">
        <v>28</v>
      </c>
      <c r="U56" t="s">
        <v>79</v>
      </c>
      <c r="V56" t="s">
        <v>66</v>
      </c>
      <c r="W56" t="str">
        <f t="shared" ca="1" si="2"/>
        <v>Inactive</v>
      </c>
    </row>
    <row r="57" spans="1:23" x14ac:dyDescent="0.2">
      <c r="A57">
        <v>332</v>
      </c>
      <c r="B57" t="s">
        <v>1345</v>
      </c>
      <c r="C57" t="s">
        <v>1351</v>
      </c>
      <c r="D57" s="1" t="s">
        <v>1347</v>
      </c>
      <c r="E57" t="s">
        <v>1348</v>
      </c>
      <c r="F57" t="s">
        <v>910</v>
      </c>
      <c r="G57" s="4" t="s">
        <v>5425</v>
      </c>
      <c r="H57" t="s">
        <v>1349</v>
      </c>
      <c r="I57" t="s">
        <v>136</v>
      </c>
      <c r="J57" s="4" t="s">
        <v>68</v>
      </c>
      <c r="K57" t="s">
        <v>1352</v>
      </c>
      <c r="L57">
        <v>2</v>
      </c>
      <c r="M57" t="s">
        <v>1158</v>
      </c>
      <c r="N57" t="s">
        <v>1162</v>
      </c>
      <c r="O57" t="s">
        <v>1165</v>
      </c>
      <c r="P57" s="2" t="str">
        <f t="shared" si="0"/>
        <v>27/01/2025 to 30/01/2025</v>
      </c>
      <c r="Q57" s="3">
        <v>45687</v>
      </c>
      <c r="R57" t="str">
        <f t="shared" si="1"/>
        <v>On-Time</v>
      </c>
      <c r="S57" t="s">
        <v>459</v>
      </c>
      <c r="T57">
        <v>23.5</v>
      </c>
      <c r="U57" t="s">
        <v>79</v>
      </c>
      <c r="V57" t="s">
        <v>72</v>
      </c>
      <c r="W57" t="str">
        <f t="shared" ca="1" si="2"/>
        <v>Inactive</v>
      </c>
    </row>
    <row r="58" spans="1:23" x14ac:dyDescent="0.2">
      <c r="A58">
        <v>333</v>
      </c>
      <c r="B58" t="s">
        <v>1345</v>
      </c>
      <c r="C58" t="s">
        <v>1353</v>
      </c>
      <c r="D58" s="1" t="s">
        <v>1347</v>
      </c>
      <c r="E58" t="s">
        <v>1348</v>
      </c>
      <c r="F58" t="s">
        <v>910</v>
      </c>
      <c r="G58" s="4" t="s">
        <v>5421</v>
      </c>
      <c r="H58" t="s">
        <v>1349</v>
      </c>
      <c r="I58" t="s">
        <v>136</v>
      </c>
      <c r="J58" s="4" t="s">
        <v>68</v>
      </c>
      <c r="K58" t="s">
        <v>1354</v>
      </c>
      <c r="L58">
        <v>3</v>
      </c>
      <c r="M58" t="s">
        <v>1158</v>
      </c>
      <c r="N58" t="s">
        <v>1162</v>
      </c>
      <c r="O58" t="s">
        <v>1165</v>
      </c>
      <c r="P58" s="2" t="str">
        <f t="shared" si="0"/>
        <v>27/01/2025 to 30/01/2025</v>
      </c>
      <c r="Q58" s="3">
        <v>45684</v>
      </c>
      <c r="R58" t="str">
        <f t="shared" si="1"/>
        <v>On-Time</v>
      </c>
      <c r="S58" t="s">
        <v>583</v>
      </c>
      <c r="T58">
        <v>30.5</v>
      </c>
      <c r="U58" t="s">
        <v>79</v>
      </c>
      <c r="V58" t="s">
        <v>80</v>
      </c>
      <c r="W58" t="str">
        <f t="shared" ca="1" si="2"/>
        <v>Inactive</v>
      </c>
    </row>
    <row r="59" spans="1:23" x14ac:dyDescent="0.2">
      <c r="A59">
        <v>334</v>
      </c>
      <c r="B59" t="s">
        <v>1345</v>
      </c>
      <c r="C59" t="s">
        <v>1355</v>
      </c>
      <c r="D59" s="1" t="s">
        <v>1347</v>
      </c>
      <c r="E59" t="s">
        <v>1348</v>
      </c>
      <c r="F59" t="s">
        <v>910</v>
      </c>
      <c r="G59" s="4" t="s">
        <v>5424</v>
      </c>
      <c r="H59" t="s">
        <v>1349</v>
      </c>
      <c r="I59" t="s">
        <v>136</v>
      </c>
      <c r="J59" s="4" t="s">
        <v>60</v>
      </c>
      <c r="K59" t="s">
        <v>1356</v>
      </c>
      <c r="L59">
        <v>2</v>
      </c>
      <c r="M59" t="s">
        <v>1347</v>
      </c>
      <c r="N59" t="s">
        <v>1357</v>
      </c>
      <c r="O59" t="s">
        <v>1347</v>
      </c>
      <c r="P59" s="2" t="str">
        <f t="shared" si="0"/>
        <v>23/01/2025 to 28/01/2025</v>
      </c>
      <c r="Q59" s="3">
        <v>45681</v>
      </c>
      <c r="R59" t="str">
        <f t="shared" si="1"/>
        <v>On-Time</v>
      </c>
      <c r="S59" t="s">
        <v>1050</v>
      </c>
      <c r="T59">
        <v>18.5</v>
      </c>
      <c r="U59" t="s">
        <v>79</v>
      </c>
      <c r="V59" t="s">
        <v>66</v>
      </c>
      <c r="W59" t="str">
        <f t="shared" ca="1" si="2"/>
        <v>Inactive</v>
      </c>
    </row>
    <row r="60" spans="1:23" x14ac:dyDescent="0.2">
      <c r="A60">
        <v>335</v>
      </c>
      <c r="B60" t="s">
        <v>1345</v>
      </c>
      <c r="C60" t="s">
        <v>1358</v>
      </c>
      <c r="D60" s="1" t="s">
        <v>1347</v>
      </c>
      <c r="E60" t="s">
        <v>1348</v>
      </c>
      <c r="F60" t="s">
        <v>910</v>
      </c>
      <c r="G60" s="4" t="s">
        <v>5418</v>
      </c>
      <c r="H60" t="s">
        <v>1349</v>
      </c>
      <c r="I60" t="s">
        <v>136</v>
      </c>
      <c r="J60" s="4" t="s">
        <v>60</v>
      </c>
      <c r="K60" t="s">
        <v>1359</v>
      </c>
      <c r="L60">
        <v>4</v>
      </c>
      <c r="M60" t="s">
        <v>1158</v>
      </c>
      <c r="N60" t="s">
        <v>1165</v>
      </c>
      <c r="O60" t="s">
        <v>1158</v>
      </c>
      <c r="P60" s="2" t="str">
        <f t="shared" si="0"/>
        <v>27/01/2025 to 30/01/2025</v>
      </c>
      <c r="Q60" s="3">
        <v>45682</v>
      </c>
      <c r="R60" t="str">
        <f t="shared" si="1"/>
        <v>Late</v>
      </c>
      <c r="S60" t="s">
        <v>577</v>
      </c>
      <c r="T60">
        <v>42</v>
      </c>
      <c r="U60" t="s">
        <v>65</v>
      </c>
      <c r="V60" t="s">
        <v>66</v>
      </c>
      <c r="W60" t="str">
        <f t="shared" ca="1" si="2"/>
        <v>Inactive</v>
      </c>
    </row>
    <row r="61" spans="1:23" x14ac:dyDescent="0.2">
      <c r="A61">
        <v>1122</v>
      </c>
      <c r="B61" t="s">
        <v>3360</v>
      </c>
      <c r="C61" t="s">
        <v>3361</v>
      </c>
      <c r="D61" s="1" t="s">
        <v>1347</v>
      </c>
      <c r="E61" t="s">
        <v>3362</v>
      </c>
      <c r="F61" t="s">
        <v>199</v>
      </c>
      <c r="G61" s="4" t="s">
        <v>5425</v>
      </c>
      <c r="H61" t="s">
        <v>3363</v>
      </c>
      <c r="I61" t="s">
        <v>93</v>
      </c>
      <c r="J61" s="4" t="s">
        <v>68</v>
      </c>
      <c r="K61" t="s">
        <v>3364</v>
      </c>
      <c r="L61">
        <v>2</v>
      </c>
      <c r="M61" t="s">
        <v>1347</v>
      </c>
      <c r="N61" t="s">
        <v>1357</v>
      </c>
      <c r="O61" t="s">
        <v>1158</v>
      </c>
      <c r="P61" s="2" t="str">
        <f t="shared" si="0"/>
        <v>23/01/2025 to 28/01/2025</v>
      </c>
      <c r="Q61" s="3">
        <v>45681</v>
      </c>
      <c r="R61" t="str">
        <f t="shared" si="1"/>
        <v>On-Time</v>
      </c>
      <c r="S61" t="s">
        <v>577</v>
      </c>
      <c r="T61">
        <v>16.5</v>
      </c>
      <c r="U61" t="s">
        <v>65</v>
      </c>
      <c r="V61" t="s">
        <v>80</v>
      </c>
      <c r="W61" t="str">
        <f t="shared" ca="1" si="2"/>
        <v>Inactive</v>
      </c>
    </row>
    <row r="62" spans="1:23" x14ac:dyDescent="0.2">
      <c r="A62">
        <v>1123</v>
      </c>
      <c r="B62" t="s">
        <v>3360</v>
      </c>
      <c r="C62" t="s">
        <v>3365</v>
      </c>
      <c r="D62" s="1" t="s">
        <v>1347</v>
      </c>
      <c r="E62" t="s">
        <v>3362</v>
      </c>
      <c r="F62" t="s">
        <v>199</v>
      </c>
      <c r="G62" s="4" t="s">
        <v>5428</v>
      </c>
      <c r="H62" t="s">
        <v>3363</v>
      </c>
      <c r="I62" t="s">
        <v>93</v>
      </c>
      <c r="J62" s="4" t="s">
        <v>68</v>
      </c>
      <c r="K62" t="s">
        <v>1189</v>
      </c>
      <c r="L62">
        <v>3</v>
      </c>
      <c r="M62" t="s">
        <v>1357</v>
      </c>
      <c r="N62" t="s">
        <v>1158</v>
      </c>
      <c r="O62" t="s">
        <v>1357</v>
      </c>
      <c r="P62" s="2" t="str">
        <f t="shared" si="0"/>
        <v>24/01/2025 to 29/01/2025</v>
      </c>
      <c r="Q62" s="3">
        <v>45685</v>
      </c>
      <c r="R62" t="str">
        <f t="shared" si="1"/>
        <v>On-Time</v>
      </c>
      <c r="S62" t="s">
        <v>779</v>
      </c>
      <c r="T62">
        <v>29</v>
      </c>
      <c r="U62" t="s">
        <v>65</v>
      </c>
      <c r="V62" t="s">
        <v>80</v>
      </c>
      <c r="W62" t="str">
        <f t="shared" ca="1" si="2"/>
        <v>Inactive</v>
      </c>
    </row>
    <row r="63" spans="1:23" x14ac:dyDescent="0.2">
      <c r="A63">
        <v>1124</v>
      </c>
      <c r="B63" t="s">
        <v>3360</v>
      </c>
      <c r="C63" t="s">
        <v>3366</v>
      </c>
      <c r="D63" s="1" t="s">
        <v>1347</v>
      </c>
      <c r="E63" t="s">
        <v>3362</v>
      </c>
      <c r="F63" t="s">
        <v>199</v>
      </c>
      <c r="G63" s="4" t="s">
        <v>5426</v>
      </c>
      <c r="H63" t="s">
        <v>3363</v>
      </c>
      <c r="I63" t="s">
        <v>93</v>
      </c>
      <c r="J63" s="4" t="s">
        <v>74</v>
      </c>
      <c r="K63" t="s">
        <v>6</v>
      </c>
      <c r="L63">
        <v>1</v>
      </c>
      <c r="M63" t="s">
        <v>1158</v>
      </c>
      <c r="N63" t="s">
        <v>1158</v>
      </c>
      <c r="O63" t="s">
        <v>1158</v>
      </c>
      <c r="P63" s="2" t="str">
        <f t="shared" si="0"/>
        <v>27/01/2025 to 30/01/2025</v>
      </c>
      <c r="Q63" s="3">
        <v>45685</v>
      </c>
      <c r="R63" t="str">
        <f t="shared" si="1"/>
        <v>On-Time</v>
      </c>
      <c r="S63" t="s">
        <v>583</v>
      </c>
      <c r="T63">
        <v>7.5</v>
      </c>
      <c r="U63" t="s">
        <v>65</v>
      </c>
      <c r="V63" t="s">
        <v>66</v>
      </c>
      <c r="W63" t="str">
        <f t="shared" ca="1" si="2"/>
        <v>Inactive</v>
      </c>
    </row>
    <row r="64" spans="1:23" x14ac:dyDescent="0.2">
      <c r="A64">
        <v>1832</v>
      </c>
      <c r="B64" t="s">
        <v>5028</v>
      </c>
      <c r="C64" t="s">
        <v>5029</v>
      </c>
      <c r="D64" s="1" t="s">
        <v>1347</v>
      </c>
      <c r="E64" t="s">
        <v>5030</v>
      </c>
      <c r="F64" t="s">
        <v>229</v>
      </c>
      <c r="G64" s="4" t="s">
        <v>5421</v>
      </c>
      <c r="H64" t="s">
        <v>5031</v>
      </c>
      <c r="I64" t="s">
        <v>136</v>
      </c>
      <c r="J64" s="4" t="s">
        <v>68</v>
      </c>
      <c r="K64" t="s">
        <v>12</v>
      </c>
      <c r="L64">
        <v>1</v>
      </c>
      <c r="M64" t="s">
        <v>1158</v>
      </c>
      <c r="N64" t="s">
        <v>1165</v>
      </c>
      <c r="O64" t="s">
        <v>1162</v>
      </c>
      <c r="P64" s="2" t="str">
        <f t="shared" si="0"/>
        <v>27/01/2025 to 30/01/2025</v>
      </c>
      <c r="Q64" s="3">
        <v>45686</v>
      </c>
      <c r="R64" t="str">
        <f t="shared" si="1"/>
        <v>On-Time</v>
      </c>
      <c r="S64" t="s">
        <v>583</v>
      </c>
      <c r="T64">
        <v>9.5</v>
      </c>
      <c r="U64" t="s">
        <v>79</v>
      </c>
      <c r="V64" t="s">
        <v>72</v>
      </c>
      <c r="W64" t="str">
        <f t="shared" ca="1" si="2"/>
        <v>Inactive</v>
      </c>
    </row>
    <row r="65" spans="1:23" x14ac:dyDescent="0.2">
      <c r="A65">
        <v>1833</v>
      </c>
      <c r="B65" t="s">
        <v>5028</v>
      </c>
      <c r="C65" t="s">
        <v>5032</v>
      </c>
      <c r="D65" s="1" t="s">
        <v>1347</v>
      </c>
      <c r="E65" t="s">
        <v>5030</v>
      </c>
      <c r="F65" t="s">
        <v>229</v>
      </c>
      <c r="G65" s="4" t="s">
        <v>5422</v>
      </c>
      <c r="H65" t="s">
        <v>5031</v>
      </c>
      <c r="I65" t="s">
        <v>136</v>
      </c>
      <c r="J65" s="4" t="s">
        <v>5417</v>
      </c>
      <c r="K65" t="s">
        <v>4462</v>
      </c>
      <c r="L65">
        <v>4</v>
      </c>
      <c r="M65" t="s">
        <v>1357</v>
      </c>
      <c r="N65" t="s">
        <v>1158</v>
      </c>
      <c r="O65" t="s">
        <v>1357</v>
      </c>
      <c r="P65" s="2" t="str">
        <f t="shared" si="0"/>
        <v>24/01/2025 to 29/01/2025</v>
      </c>
      <c r="Q65" s="3">
        <v>45683</v>
      </c>
      <c r="R65" t="str">
        <f t="shared" si="1"/>
        <v>On-Time</v>
      </c>
      <c r="S65" t="s">
        <v>581</v>
      </c>
      <c r="T65">
        <v>42</v>
      </c>
      <c r="U65" t="s">
        <v>79</v>
      </c>
      <c r="V65" t="s">
        <v>80</v>
      </c>
      <c r="W65" t="str">
        <f t="shared" ca="1" si="2"/>
        <v>Inactive</v>
      </c>
    </row>
    <row r="66" spans="1:23" x14ac:dyDescent="0.2">
      <c r="A66">
        <v>1834</v>
      </c>
      <c r="B66" t="s">
        <v>5028</v>
      </c>
      <c r="C66" t="s">
        <v>5033</v>
      </c>
      <c r="D66" s="1" t="s">
        <v>1347</v>
      </c>
      <c r="E66" t="s">
        <v>5030</v>
      </c>
      <c r="F66" t="s">
        <v>229</v>
      </c>
      <c r="G66" s="4" t="s">
        <v>5426</v>
      </c>
      <c r="H66" t="s">
        <v>5031</v>
      </c>
      <c r="I66" t="s">
        <v>136</v>
      </c>
      <c r="J66" s="4" t="s">
        <v>5417</v>
      </c>
      <c r="K66" t="s">
        <v>26</v>
      </c>
      <c r="L66">
        <v>1</v>
      </c>
      <c r="M66" t="s">
        <v>1347</v>
      </c>
      <c r="N66" t="s">
        <v>1357</v>
      </c>
      <c r="O66" t="s">
        <v>1158</v>
      </c>
      <c r="P66" s="2" t="str">
        <f t="shared" ref="P66:P129" si="3">IF(ISBLANK(M66), "", TEXT(WORKDAY(M66, 7), "dd/mm/yyyy") &amp; " to " &amp; TEXT(WORKDAY(M66, 10), "dd/mm/yyyy"))</f>
        <v>23/01/2025 to 28/01/2025</v>
      </c>
      <c r="Q66" s="3">
        <v>45686</v>
      </c>
      <c r="R66" t="str">
        <f t="shared" ref="R66:R129" si="4">IF(Q66="","In Progress",
IF(AND(--Q66&gt;=DATEVALUE(LEFT(P66,10)),
       --Q66&lt;=DATEVALUE(TRIM(MID(P66,FIND("to",P66)+3,10)))),
   "On-Time","Late"))</f>
        <v>Late</v>
      </c>
      <c r="S66" t="s">
        <v>459</v>
      </c>
      <c r="T66">
        <v>9</v>
      </c>
      <c r="U66" t="s">
        <v>79</v>
      </c>
      <c r="V66" t="s">
        <v>80</v>
      </c>
      <c r="W66" t="str">
        <f t="shared" ca="1" si="2"/>
        <v>Inactive</v>
      </c>
    </row>
    <row r="67" spans="1:23" x14ac:dyDescent="0.2">
      <c r="A67">
        <v>1835</v>
      </c>
      <c r="B67" t="s">
        <v>5028</v>
      </c>
      <c r="C67" t="s">
        <v>5034</v>
      </c>
      <c r="D67" s="1" t="s">
        <v>1347</v>
      </c>
      <c r="E67" t="s">
        <v>5030</v>
      </c>
      <c r="F67" t="s">
        <v>229</v>
      </c>
      <c r="G67" s="4" t="s">
        <v>5423</v>
      </c>
      <c r="H67" t="s">
        <v>5031</v>
      </c>
      <c r="I67" t="s">
        <v>136</v>
      </c>
      <c r="J67" s="4" t="s">
        <v>5417</v>
      </c>
      <c r="K67" t="s">
        <v>3400</v>
      </c>
      <c r="L67">
        <v>2</v>
      </c>
      <c r="M67" t="s">
        <v>1347</v>
      </c>
      <c r="N67" t="s">
        <v>1357</v>
      </c>
      <c r="O67" t="s">
        <v>1357</v>
      </c>
      <c r="P67" s="2" t="str">
        <f t="shared" si="3"/>
        <v>23/01/2025 to 28/01/2025</v>
      </c>
      <c r="Q67" s="3">
        <v>45681</v>
      </c>
      <c r="R67" t="str">
        <f t="shared" si="4"/>
        <v>On-Time</v>
      </c>
      <c r="S67" t="s">
        <v>1046</v>
      </c>
      <c r="T67">
        <v>18.5</v>
      </c>
      <c r="U67" t="s">
        <v>65</v>
      </c>
      <c r="V67" t="s">
        <v>72</v>
      </c>
      <c r="W67" t="str">
        <f t="shared" ref="W67:W130" ca="1" si="5">IF(D67="","",
IF(TODAY()-D67&lt;=120,"Active",
IF(TODAY()-D67&lt;=210,"At Risk",
IF(TODAY()-D67&lt;=395,"Dormant",
IF(TODAY()-D67&lt;=730,"Inactive","Archived")))))</f>
        <v>Inactive</v>
      </c>
    </row>
    <row r="68" spans="1:23" x14ac:dyDescent="0.2">
      <c r="A68">
        <v>1288</v>
      </c>
      <c r="B68" t="s">
        <v>3748</v>
      </c>
      <c r="C68" t="s">
        <v>3749</v>
      </c>
      <c r="D68" s="1" t="s">
        <v>1357</v>
      </c>
      <c r="E68" t="s">
        <v>3750</v>
      </c>
      <c r="F68" t="s">
        <v>511</v>
      </c>
      <c r="G68" s="4" t="s">
        <v>5421</v>
      </c>
      <c r="H68" t="s">
        <v>3751</v>
      </c>
      <c r="I68" t="s">
        <v>136</v>
      </c>
      <c r="J68" s="4" t="s">
        <v>68</v>
      </c>
      <c r="K68" t="s">
        <v>3164</v>
      </c>
      <c r="L68">
        <v>3</v>
      </c>
      <c r="M68" t="s">
        <v>1357</v>
      </c>
      <c r="N68" t="s">
        <v>1357</v>
      </c>
      <c r="O68" t="s">
        <v>1357</v>
      </c>
      <c r="P68" s="2" t="str">
        <f t="shared" si="3"/>
        <v>24/01/2025 to 29/01/2025</v>
      </c>
      <c r="Q68" s="3">
        <v>45685</v>
      </c>
      <c r="R68" t="str">
        <f t="shared" si="4"/>
        <v>On-Time</v>
      </c>
      <c r="S68" t="s">
        <v>779</v>
      </c>
      <c r="T68">
        <v>25</v>
      </c>
      <c r="U68" t="s">
        <v>79</v>
      </c>
      <c r="V68" t="s">
        <v>72</v>
      </c>
      <c r="W68" t="str">
        <f t="shared" ca="1" si="5"/>
        <v>Inactive</v>
      </c>
    </row>
    <row r="69" spans="1:23" x14ac:dyDescent="0.2">
      <c r="A69">
        <v>1951</v>
      </c>
      <c r="B69" t="s">
        <v>5299</v>
      </c>
      <c r="C69" t="s">
        <v>5300</v>
      </c>
      <c r="D69" s="1" t="s">
        <v>1357</v>
      </c>
      <c r="E69" t="s">
        <v>5301</v>
      </c>
      <c r="F69" t="s">
        <v>607</v>
      </c>
      <c r="G69" s="4" t="s">
        <v>5419</v>
      </c>
      <c r="H69" t="s">
        <v>1800</v>
      </c>
      <c r="I69" t="s">
        <v>112</v>
      </c>
      <c r="J69" s="4" t="s">
        <v>5417</v>
      </c>
      <c r="K69" t="s">
        <v>10</v>
      </c>
      <c r="L69">
        <v>1</v>
      </c>
      <c r="M69" t="s">
        <v>1357</v>
      </c>
      <c r="N69" t="s">
        <v>1165</v>
      </c>
      <c r="O69" t="s">
        <v>1158</v>
      </c>
      <c r="P69" s="2" t="str">
        <f t="shared" si="3"/>
        <v>24/01/2025 to 29/01/2025</v>
      </c>
      <c r="Q69" s="3">
        <v>45680</v>
      </c>
      <c r="R69" t="str">
        <f t="shared" si="4"/>
        <v>Late</v>
      </c>
      <c r="S69" t="s">
        <v>1143</v>
      </c>
      <c r="T69">
        <v>10</v>
      </c>
      <c r="U69" t="s">
        <v>79</v>
      </c>
      <c r="V69" t="s">
        <v>66</v>
      </c>
      <c r="W69" t="str">
        <f t="shared" ca="1" si="5"/>
        <v>Inactive</v>
      </c>
    </row>
    <row r="70" spans="1:23" x14ac:dyDescent="0.2">
      <c r="A70">
        <v>1952</v>
      </c>
      <c r="B70" t="s">
        <v>5299</v>
      </c>
      <c r="C70" t="s">
        <v>5302</v>
      </c>
      <c r="D70" s="1" t="s">
        <v>1357</v>
      </c>
      <c r="E70" t="s">
        <v>5301</v>
      </c>
      <c r="F70" t="s">
        <v>607</v>
      </c>
      <c r="G70" s="4" t="s">
        <v>38</v>
      </c>
      <c r="H70" t="s">
        <v>1800</v>
      </c>
      <c r="I70" t="s">
        <v>112</v>
      </c>
      <c r="J70" s="4" t="s">
        <v>74</v>
      </c>
      <c r="K70" t="s">
        <v>20</v>
      </c>
      <c r="L70">
        <v>1</v>
      </c>
      <c r="M70" t="s">
        <v>1158</v>
      </c>
      <c r="N70" t="s">
        <v>1162</v>
      </c>
      <c r="O70" t="s">
        <v>1158</v>
      </c>
      <c r="P70" s="2" t="str">
        <f t="shared" si="3"/>
        <v>27/01/2025 to 30/01/2025</v>
      </c>
      <c r="Q70" s="3">
        <v>45682</v>
      </c>
      <c r="R70" t="str">
        <f t="shared" si="4"/>
        <v>Late</v>
      </c>
      <c r="S70" t="s">
        <v>581</v>
      </c>
      <c r="T70">
        <v>10.5</v>
      </c>
      <c r="U70" t="s">
        <v>79</v>
      </c>
      <c r="V70" t="s">
        <v>72</v>
      </c>
      <c r="W70" t="str">
        <f t="shared" ca="1" si="5"/>
        <v>Inactive</v>
      </c>
    </row>
    <row r="71" spans="1:23" x14ac:dyDescent="0.2">
      <c r="A71">
        <v>1953</v>
      </c>
      <c r="B71" t="s">
        <v>5299</v>
      </c>
      <c r="C71" t="s">
        <v>5303</v>
      </c>
      <c r="D71" s="1" t="s">
        <v>1357</v>
      </c>
      <c r="E71" t="s">
        <v>5301</v>
      </c>
      <c r="F71" t="s">
        <v>607</v>
      </c>
      <c r="G71" s="4" t="s">
        <v>5425</v>
      </c>
      <c r="H71" t="s">
        <v>1800</v>
      </c>
      <c r="I71" t="s">
        <v>112</v>
      </c>
      <c r="J71" s="4" t="s">
        <v>74</v>
      </c>
      <c r="K71" t="s">
        <v>26</v>
      </c>
      <c r="L71">
        <v>1</v>
      </c>
      <c r="M71" t="s">
        <v>1165</v>
      </c>
      <c r="N71" t="s">
        <v>1162</v>
      </c>
      <c r="O71" t="s">
        <v>1165</v>
      </c>
      <c r="P71" s="2" t="str">
        <f t="shared" si="3"/>
        <v>28/01/2025 to 31/01/2025</v>
      </c>
      <c r="Q71" s="3">
        <v>45682</v>
      </c>
      <c r="R71" t="str">
        <f t="shared" si="4"/>
        <v>Late</v>
      </c>
      <c r="S71" t="s">
        <v>577</v>
      </c>
      <c r="T71">
        <v>9</v>
      </c>
      <c r="U71" t="s">
        <v>65</v>
      </c>
      <c r="V71" t="s">
        <v>80</v>
      </c>
      <c r="W71" t="str">
        <f t="shared" ca="1" si="5"/>
        <v>Inactive</v>
      </c>
    </row>
    <row r="72" spans="1:23" x14ac:dyDescent="0.2">
      <c r="A72">
        <v>1954</v>
      </c>
      <c r="B72" t="s">
        <v>5299</v>
      </c>
      <c r="C72" t="s">
        <v>5304</v>
      </c>
      <c r="D72" s="1" t="s">
        <v>1357</v>
      </c>
      <c r="E72" t="s">
        <v>5301</v>
      </c>
      <c r="F72" t="s">
        <v>607</v>
      </c>
      <c r="G72" s="4" t="s">
        <v>5421</v>
      </c>
      <c r="H72" t="s">
        <v>1800</v>
      </c>
      <c r="I72" t="s">
        <v>112</v>
      </c>
      <c r="J72" s="4" t="s">
        <v>5417</v>
      </c>
      <c r="K72" t="s">
        <v>3364</v>
      </c>
      <c r="L72">
        <v>2</v>
      </c>
      <c r="M72" t="s">
        <v>1158</v>
      </c>
      <c r="N72" t="s">
        <v>1162</v>
      </c>
      <c r="O72" t="s">
        <v>1162</v>
      </c>
      <c r="P72" s="2" t="str">
        <f t="shared" si="3"/>
        <v>27/01/2025 to 30/01/2025</v>
      </c>
      <c r="Q72" s="3">
        <v>45687</v>
      </c>
      <c r="R72" t="str">
        <f t="shared" si="4"/>
        <v>On-Time</v>
      </c>
      <c r="S72" t="s">
        <v>779</v>
      </c>
      <c r="T72">
        <v>16.5</v>
      </c>
      <c r="U72" t="s">
        <v>65</v>
      </c>
      <c r="V72" t="s">
        <v>72</v>
      </c>
      <c r="W72" t="str">
        <f t="shared" ca="1" si="5"/>
        <v>Inactive</v>
      </c>
    </row>
    <row r="73" spans="1:23" x14ac:dyDescent="0.2">
      <c r="A73">
        <v>265</v>
      </c>
      <c r="B73" t="s">
        <v>1156</v>
      </c>
      <c r="C73" t="s">
        <v>1157</v>
      </c>
      <c r="D73" s="1" t="s">
        <v>1158</v>
      </c>
      <c r="E73" t="s">
        <v>1159</v>
      </c>
      <c r="F73" t="s">
        <v>536</v>
      </c>
      <c r="G73" s="4" t="s">
        <v>5422</v>
      </c>
      <c r="H73" t="s">
        <v>1160</v>
      </c>
      <c r="I73" t="s">
        <v>59</v>
      </c>
      <c r="J73" s="4" t="s">
        <v>5417</v>
      </c>
      <c r="K73" t="s">
        <v>1161</v>
      </c>
      <c r="L73">
        <v>4</v>
      </c>
      <c r="M73" t="s">
        <v>1162</v>
      </c>
      <c r="N73" t="s">
        <v>1137</v>
      </c>
      <c r="O73" t="s">
        <v>1148</v>
      </c>
      <c r="P73" s="2" t="str">
        <f t="shared" si="3"/>
        <v>28/01/2025 to 31/01/2025</v>
      </c>
      <c r="Q73" s="3">
        <v>45684</v>
      </c>
      <c r="R73" t="str">
        <f t="shared" si="4"/>
        <v>Late</v>
      </c>
      <c r="S73" t="s">
        <v>583</v>
      </c>
      <c r="T73">
        <v>37</v>
      </c>
      <c r="U73" t="s">
        <v>65</v>
      </c>
      <c r="V73" t="s">
        <v>80</v>
      </c>
      <c r="W73" t="str">
        <f t="shared" ca="1" si="5"/>
        <v>Inactive</v>
      </c>
    </row>
    <row r="74" spans="1:23" x14ac:dyDescent="0.2">
      <c r="A74">
        <v>266</v>
      </c>
      <c r="B74" t="s">
        <v>1156</v>
      </c>
      <c r="C74" t="s">
        <v>1163</v>
      </c>
      <c r="D74" s="1" t="s">
        <v>1158</v>
      </c>
      <c r="E74" t="s">
        <v>1159</v>
      </c>
      <c r="F74" t="s">
        <v>536</v>
      </c>
      <c r="G74" s="4" t="s">
        <v>5427</v>
      </c>
      <c r="H74" t="s">
        <v>1160</v>
      </c>
      <c r="I74" t="s">
        <v>59</v>
      </c>
      <c r="J74" s="4" t="s">
        <v>68</v>
      </c>
      <c r="K74" t="s">
        <v>1164</v>
      </c>
      <c r="L74">
        <v>3</v>
      </c>
      <c r="M74" t="s">
        <v>1158</v>
      </c>
      <c r="N74" t="s">
        <v>1165</v>
      </c>
      <c r="O74" t="s">
        <v>1165</v>
      </c>
      <c r="P74" s="2" t="str">
        <f t="shared" si="3"/>
        <v>27/01/2025 to 30/01/2025</v>
      </c>
      <c r="Q74" s="3">
        <v>45685</v>
      </c>
      <c r="R74" t="str">
        <f t="shared" si="4"/>
        <v>On-Time</v>
      </c>
      <c r="S74" t="s">
        <v>583</v>
      </c>
      <c r="T74">
        <v>25</v>
      </c>
      <c r="U74" t="s">
        <v>79</v>
      </c>
      <c r="V74" t="s">
        <v>80</v>
      </c>
      <c r="W74" t="str">
        <f t="shared" ca="1" si="5"/>
        <v>Inactive</v>
      </c>
    </row>
    <row r="75" spans="1:23" x14ac:dyDescent="0.2">
      <c r="A75">
        <v>267</v>
      </c>
      <c r="B75" t="s">
        <v>1156</v>
      </c>
      <c r="C75" t="s">
        <v>1166</v>
      </c>
      <c r="D75" s="1" t="s">
        <v>1158</v>
      </c>
      <c r="E75" t="s">
        <v>1159</v>
      </c>
      <c r="F75" t="s">
        <v>536</v>
      </c>
      <c r="G75" s="4" t="s">
        <v>5421</v>
      </c>
      <c r="H75" t="s">
        <v>1160</v>
      </c>
      <c r="I75" t="s">
        <v>59</v>
      </c>
      <c r="J75" s="4" t="s">
        <v>5417</v>
      </c>
      <c r="K75" t="s">
        <v>1167</v>
      </c>
      <c r="L75">
        <v>3</v>
      </c>
      <c r="M75" t="s">
        <v>1162</v>
      </c>
      <c r="N75" t="s">
        <v>1162</v>
      </c>
      <c r="O75" t="s">
        <v>1137</v>
      </c>
      <c r="P75" s="2" t="str">
        <f t="shared" si="3"/>
        <v>28/01/2025 to 31/01/2025</v>
      </c>
      <c r="Q75" s="3">
        <v>45689</v>
      </c>
      <c r="R75" t="str">
        <f t="shared" si="4"/>
        <v>Late</v>
      </c>
      <c r="S75" t="s">
        <v>462</v>
      </c>
      <c r="T75">
        <v>24</v>
      </c>
      <c r="U75" t="s">
        <v>79</v>
      </c>
      <c r="V75" t="s">
        <v>66</v>
      </c>
      <c r="W75" t="str">
        <f t="shared" ca="1" si="5"/>
        <v>Inactive</v>
      </c>
    </row>
    <row r="76" spans="1:23" x14ac:dyDescent="0.2">
      <c r="A76">
        <v>268</v>
      </c>
      <c r="B76" t="s">
        <v>1156</v>
      </c>
      <c r="C76" t="s">
        <v>1168</v>
      </c>
      <c r="D76" s="1" t="s">
        <v>1158</v>
      </c>
      <c r="E76" t="s">
        <v>1159</v>
      </c>
      <c r="F76" t="s">
        <v>536</v>
      </c>
      <c r="G76" s="4" t="s">
        <v>5419</v>
      </c>
      <c r="H76" t="s">
        <v>1160</v>
      </c>
      <c r="I76" t="s">
        <v>59</v>
      </c>
      <c r="J76" s="4" t="s">
        <v>5417</v>
      </c>
      <c r="K76" t="s">
        <v>1169</v>
      </c>
      <c r="L76">
        <v>3</v>
      </c>
      <c r="M76" t="s">
        <v>1165</v>
      </c>
      <c r="N76" t="s">
        <v>1165</v>
      </c>
      <c r="O76" t="s">
        <v>1165</v>
      </c>
      <c r="P76" s="2" t="str">
        <f t="shared" si="3"/>
        <v>28/01/2025 to 31/01/2025</v>
      </c>
      <c r="Q76" s="3">
        <v>45684</v>
      </c>
      <c r="R76" t="str">
        <f t="shared" si="4"/>
        <v>Late</v>
      </c>
      <c r="S76" t="s">
        <v>581</v>
      </c>
      <c r="T76">
        <v>23.5</v>
      </c>
      <c r="U76" t="s">
        <v>65</v>
      </c>
      <c r="V76" t="s">
        <v>72</v>
      </c>
      <c r="W76" t="str">
        <f t="shared" ca="1" si="5"/>
        <v>Inactive</v>
      </c>
    </row>
    <row r="77" spans="1:23" x14ac:dyDescent="0.2">
      <c r="A77">
        <v>269</v>
      </c>
      <c r="B77" t="s">
        <v>1156</v>
      </c>
      <c r="C77" t="s">
        <v>1170</v>
      </c>
      <c r="D77" s="1" t="s">
        <v>1158</v>
      </c>
      <c r="E77" t="s">
        <v>1159</v>
      </c>
      <c r="F77" t="s">
        <v>536</v>
      </c>
      <c r="G77" s="4" t="s">
        <v>5424</v>
      </c>
      <c r="H77" t="s">
        <v>1160</v>
      </c>
      <c r="I77" t="s">
        <v>59</v>
      </c>
      <c r="J77" s="4" t="s">
        <v>74</v>
      </c>
      <c r="K77" t="s">
        <v>1171</v>
      </c>
      <c r="L77">
        <v>3</v>
      </c>
      <c r="M77" t="s">
        <v>1158</v>
      </c>
      <c r="N77" t="s">
        <v>1165</v>
      </c>
      <c r="O77" t="s">
        <v>1162</v>
      </c>
      <c r="P77" s="2" t="str">
        <f t="shared" si="3"/>
        <v>27/01/2025 to 30/01/2025</v>
      </c>
      <c r="Q77" s="3">
        <v>45686</v>
      </c>
      <c r="R77" t="str">
        <f t="shared" si="4"/>
        <v>On-Time</v>
      </c>
      <c r="S77" t="s">
        <v>459</v>
      </c>
      <c r="T77">
        <v>30.5</v>
      </c>
      <c r="U77" t="s">
        <v>79</v>
      </c>
      <c r="V77" t="s">
        <v>66</v>
      </c>
      <c r="W77" t="str">
        <f t="shared" ca="1" si="5"/>
        <v>Inactive</v>
      </c>
    </row>
    <row r="78" spans="1:23" x14ac:dyDescent="0.2">
      <c r="A78">
        <v>1179</v>
      </c>
      <c r="B78" t="s">
        <v>3491</v>
      </c>
      <c r="C78" t="s">
        <v>3492</v>
      </c>
      <c r="D78" s="1" t="s">
        <v>1158</v>
      </c>
      <c r="E78" t="s">
        <v>3493</v>
      </c>
      <c r="F78" t="s">
        <v>266</v>
      </c>
      <c r="G78" s="4" t="s">
        <v>5422</v>
      </c>
      <c r="H78" t="s">
        <v>3494</v>
      </c>
      <c r="I78" t="s">
        <v>112</v>
      </c>
      <c r="J78" s="4" t="s">
        <v>60</v>
      </c>
      <c r="K78" t="s">
        <v>8</v>
      </c>
      <c r="L78">
        <v>1</v>
      </c>
      <c r="M78" t="s">
        <v>1162</v>
      </c>
      <c r="N78" t="s">
        <v>1162</v>
      </c>
      <c r="O78" t="s">
        <v>1148</v>
      </c>
      <c r="P78" s="2" t="str">
        <f t="shared" si="3"/>
        <v>28/01/2025 to 31/01/2025</v>
      </c>
      <c r="Q78" s="3">
        <v>45689</v>
      </c>
      <c r="R78" t="str">
        <f t="shared" si="4"/>
        <v>Late</v>
      </c>
      <c r="S78" t="s">
        <v>463</v>
      </c>
      <c r="T78">
        <v>9</v>
      </c>
      <c r="U78" t="s">
        <v>65</v>
      </c>
      <c r="V78" t="s">
        <v>66</v>
      </c>
      <c r="W78" t="str">
        <f t="shared" ca="1" si="5"/>
        <v>Inactive</v>
      </c>
    </row>
    <row r="79" spans="1:23" x14ac:dyDescent="0.2">
      <c r="A79">
        <v>1180</v>
      </c>
      <c r="B79" t="s">
        <v>3491</v>
      </c>
      <c r="C79" t="s">
        <v>3495</v>
      </c>
      <c r="D79" s="1" t="s">
        <v>1158</v>
      </c>
      <c r="E79" t="s">
        <v>3493</v>
      </c>
      <c r="F79" t="s">
        <v>266</v>
      </c>
      <c r="G79" s="4" t="s">
        <v>5419</v>
      </c>
      <c r="H79" t="s">
        <v>3494</v>
      </c>
      <c r="I79" t="s">
        <v>112</v>
      </c>
      <c r="J79" s="4" t="s">
        <v>68</v>
      </c>
      <c r="K79" t="s">
        <v>3496</v>
      </c>
      <c r="L79">
        <v>4</v>
      </c>
      <c r="M79" t="s">
        <v>1165</v>
      </c>
      <c r="N79" t="s">
        <v>1165</v>
      </c>
      <c r="O79" t="s">
        <v>1137</v>
      </c>
      <c r="P79" s="2" t="str">
        <f t="shared" si="3"/>
        <v>28/01/2025 to 31/01/2025</v>
      </c>
      <c r="Q79" s="3">
        <v>45687</v>
      </c>
      <c r="R79" t="str">
        <f t="shared" si="4"/>
        <v>On-Time</v>
      </c>
      <c r="S79" t="s">
        <v>779</v>
      </c>
      <c r="T79">
        <v>43.5</v>
      </c>
      <c r="U79" t="s">
        <v>65</v>
      </c>
      <c r="V79" t="s">
        <v>80</v>
      </c>
      <c r="W79" t="str">
        <f t="shared" ca="1" si="5"/>
        <v>Inactive</v>
      </c>
    </row>
    <row r="80" spans="1:23" x14ac:dyDescent="0.2">
      <c r="A80">
        <v>1181</v>
      </c>
      <c r="B80" t="s">
        <v>3491</v>
      </c>
      <c r="C80" t="s">
        <v>3497</v>
      </c>
      <c r="D80" s="1" t="s">
        <v>1158</v>
      </c>
      <c r="E80" t="s">
        <v>3493</v>
      </c>
      <c r="F80" t="s">
        <v>266</v>
      </c>
      <c r="G80" s="4" t="s">
        <v>5419</v>
      </c>
      <c r="H80" t="s">
        <v>3494</v>
      </c>
      <c r="I80" t="s">
        <v>112</v>
      </c>
      <c r="J80" s="4" t="s">
        <v>74</v>
      </c>
      <c r="K80" t="s">
        <v>3498</v>
      </c>
      <c r="L80">
        <v>4</v>
      </c>
      <c r="M80" t="s">
        <v>1165</v>
      </c>
      <c r="N80" t="s">
        <v>1137</v>
      </c>
      <c r="O80" t="s">
        <v>1162</v>
      </c>
      <c r="P80" s="2" t="str">
        <f t="shared" si="3"/>
        <v>28/01/2025 to 31/01/2025</v>
      </c>
      <c r="Q80" s="3">
        <v>45683</v>
      </c>
      <c r="R80" t="str">
        <f t="shared" si="4"/>
        <v>Late</v>
      </c>
      <c r="S80" t="s">
        <v>581</v>
      </c>
      <c r="T80">
        <v>41</v>
      </c>
      <c r="U80" t="s">
        <v>65</v>
      </c>
      <c r="V80" t="s">
        <v>72</v>
      </c>
      <c r="W80" t="str">
        <f t="shared" ca="1" si="5"/>
        <v>Inactive</v>
      </c>
    </row>
    <row r="81" spans="1:23" x14ac:dyDescent="0.2">
      <c r="A81">
        <v>1182</v>
      </c>
      <c r="B81" t="s">
        <v>3491</v>
      </c>
      <c r="C81" t="s">
        <v>3499</v>
      </c>
      <c r="D81" s="1" t="s">
        <v>1158</v>
      </c>
      <c r="E81" t="s">
        <v>3493</v>
      </c>
      <c r="F81" t="s">
        <v>266</v>
      </c>
      <c r="G81" s="4" t="s">
        <v>5427</v>
      </c>
      <c r="H81" t="s">
        <v>3494</v>
      </c>
      <c r="I81" t="s">
        <v>112</v>
      </c>
      <c r="J81" s="4" t="s">
        <v>5417</v>
      </c>
      <c r="K81" t="s">
        <v>4</v>
      </c>
      <c r="L81">
        <v>1</v>
      </c>
      <c r="M81" t="s">
        <v>1162</v>
      </c>
      <c r="N81" t="s">
        <v>1148</v>
      </c>
      <c r="O81" t="s">
        <v>1148</v>
      </c>
      <c r="P81" s="2" t="str">
        <f t="shared" si="3"/>
        <v>28/01/2025 to 31/01/2025</v>
      </c>
      <c r="Q81" s="3">
        <v>45689</v>
      </c>
      <c r="R81" t="str">
        <f t="shared" si="4"/>
        <v>Late</v>
      </c>
      <c r="S81" t="s">
        <v>1259</v>
      </c>
      <c r="T81">
        <v>8</v>
      </c>
      <c r="U81" t="s">
        <v>65</v>
      </c>
      <c r="V81" t="s">
        <v>80</v>
      </c>
      <c r="W81" t="str">
        <f t="shared" ca="1" si="5"/>
        <v>Inactive</v>
      </c>
    </row>
    <row r="82" spans="1:23" x14ac:dyDescent="0.2">
      <c r="A82">
        <v>1183</v>
      </c>
      <c r="B82" t="s">
        <v>3491</v>
      </c>
      <c r="C82" t="s">
        <v>3500</v>
      </c>
      <c r="D82" s="1" t="s">
        <v>1158</v>
      </c>
      <c r="E82" t="s">
        <v>3493</v>
      </c>
      <c r="F82" t="s">
        <v>266</v>
      </c>
      <c r="G82" s="4" t="s">
        <v>5424</v>
      </c>
      <c r="H82" t="s">
        <v>3494</v>
      </c>
      <c r="I82" t="s">
        <v>112</v>
      </c>
      <c r="J82" s="4" t="s">
        <v>68</v>
      </c>
      <c r="K82" t="s">
        <v>3501</v>
      </c>
      <c r="L82">
        <v>4</v>
      </c>
      <c r="M82" t="s">
        <v>1158</v>
      </c>
      <c r="N82" t="s">
        <v>1158</v>
      </c>
      <c r="O82" t="s">
        <v>1165</v>
      </c>
      <c r="P82" s="2" t="str">
        <f t="shared" si="3"/>
        <v>27/01/2025 to 30/01/2025</v>
      </c>
      <c r="Q82" s="3">
        <v>45685</v>
      </c>
      <c r="R82" t="str">
        <f t="shared" si="4"/>
        <v>On-Time</v>
      </c>
      <c r="S82" t="s">
        <v>582</v>
      </c>
      <c r="T82">
        <v>33.5</v>
      </c>
      <c r="U82" t="s">
        <v>79</v>
      </c>
      <c r="V82" t="s">
        <v>66</v>
      </c>
      <c r="W82" t="str">
        <f t="shared" ca="1" si="5"/>
        <v>Inactive</v>
      </c>
    </row>
    <row r="83" spans="1:23" x14ac:dyDescent="0.2">
      <c r="A83">
        <v>1904</v>
      </c>
      <c r="B83" t="s">
        <v>5188</v>
      </c>
      <c r="C83" t="s">
        <v>5189</v>
      </c>
      <c r="D83" s="1" t="s">
        <v>1158</v>
      </c>
      <c r="E83" t="s">
        <v>5190</v>
      </c>
      <c r="F83" t="s">
        <v>668</v>
      </c>
      <c r="G83" s="4" t="s">
        <v>5425</v>
      </c>
      <c r="H83" t="s">
        <v>5191</v>
      </c>
      <c r="I83" t="s">
        <v>112</v>
      </c>
      <c r="J83" s="4" t="s">
        <v>68</v>
      </c>
      <c r="K83" t="s">
        <v>18</v>
      </c>
      <c r="L83">
        <v>1</v>
      </c>
      <c r="M83" t="s">
        <v>1162</v>
      </c>
      <c r="N83" t="s">
        <v>1162</v>
      </c>
      <c r="O83" t="s">
        <v>1162</v>
      </c>
      <c r="P83" s="2" t="str">
        <f t="shared" si="3"/>
        <v>28/01/2025 to 31/01/2025</v>
      </c>
      <c r="Q83" s="3">
        <v>45686</v>
      </c>
      <c r="R83" t="str">
        <f t="shared" si="4"/>
        <v>On-Time</v>
      </c>
      <c r="S83" t="s">
        <v>583</v>
      </c>
      <c r="T83">
        <v>8.5</v>
      </c>
      <c r="U83" t="s">
        <v>65</v>
      </c>
      <c r="V83" t="s">
        <v>66</v>
      </c>
      <c r="W83" t="str">
        <f t="shared" ca="1" si="5"/>
        <v>Inactive</v>
      </c>
    </row>
    <row r="84" spans="1:23" x14ac:dyDescent="0.2">
      <c r="A84">
        <v>1905</v>
      </c>
      <c r="B84" t="s">
        <v>5188</v>
      </c>
      <c r="C84" t="s">
        <v>5192</v>
      </c>
      <c r="D84" s="1" t="s">
        <v>1158</v>
      </c>
      <c r="E84" t="s">
        <v>5190</v>
      </c>
      <c r="F84" t="s">
        <v>668</v>
      </c>
      <c r="G84" s="4" t="s">
        <v>5420</v>
      </c>
      <c r="H84" t="s">
        <v>5191</v>
      </c>
      <c r="I84" t="s">
        <v>112</v>
      </c>
      <c r="J84" s="4" t="s">
        <v>74</v>
      </c>
      <c r="K84" t="s">
        <v>5193</v>
      </c>
      <c r="L84">
        <v>2</v>
      </c>
      <c r="M84" t="s">
        <v>1158</v>
      </c>
      <c r="N84" t="s">
        <v>1165</v>
      </c>
      <c r="O84" t="s">
        <v>1162</v>
      </c>
      <c r="P84" s="2" t="str">
        <f t="shared" si="3"/>
        <v>27/01/2025 to 30/01/2025</v>
      </c>
      <c r="Q84" s="3">
        <v>45687</v>
      </c>
      <c r="R84" t="str">
        <f t="shared" si="4"/>
        <v>On-Time</v>
      </c>
      <c r="S84" t="s">
        <v>779</v>
      </c>
      <c r="T84">
        <v>19.5</v>
      </c>
      <c r="U84" t="s">
        <v>79</v>
      </c>
      <c r="V84" t="s">
        <v>72</v>
      </c>
      <c r="W84" t="str">
        <f t="shared" ca="1" si="5"/>
        <v>Inactive</v>
      </c>
    </row>
    <row r="85" spans="1:23" x14ac:dyDescent="0.2">
      <c r="A85">
        <v>1906</v>
      </c>
      <c r="B85" t="s">
        <v>5188</v>
      </c>
      <c r="C85" t="s">
        <v>5194</v>
      </c>
      <c r="D85" s="1" t="s">
        <v>1158</v>
      </c>
      <c r="E85" t="s">
        <v>5190</v>
      </c>
      <c r="F85" t="s">
        <v>668</v>
      </c>
      <c r="G85" s="4" t="s">
        <v>5420</v>
      </c>
      <c r="H85" t="s">
        <v>5191</v>
      </c>
      <c r="I85" t="s">
        <v>112</v>
      </c>
      <c r="J85" s="4" t="s">
        <v>68</v>
      </c>
      <c r="K85" t="s">
        <v>5195</v>
      </c>
      <c r="L85">
        <v>4</v>
      </c>
      <c r="M85" t="s">
        <v>1158</v>
      </c>
      <c r="N85" t="s">
        <v>1158</v>
      </c>
      <c r="O85" t="s">
        <v>1158</v>
      </c>
      <c r="P85" s="2" t="str">
        <f t="shared" si="3"/>
        <v>27/01/2025 to 30/01/2025</v>
      </c>
      <c r="Q85" s="3">
        <v>45684</v>
      </c>
      <c r="R85" t="str">
        <f t="shared" si="4"/>
        <v>On-Time</v>
      </c>
      <c r="S85" t="s">
        <v>582</v>
      </c>
      <c r="T85">
        <v>36.5</v>
      </c>
      <c r="U85" t="s">
        <v>65</v>
      </c>
      <c r="V85" t="s">
        <v>72</v>
      </c>
      <c r="W85" t="str">
        <f t="shared" ca="1" si="5"/>
        <v>Inactive</v>
      </c>
    </row>
    <row r="86" spans="1:23" x14ac:dyDescent="0.2">
      <c r="A86">
        <v>825</v>
      </c>
      <c r="B86" t="s">
        <v>2636</v>
      </c>
      <c r="C86" t="s">
        <v>2637</v>
      </c>
      <c r="D86" s="1" t="s">
        <v>1162</v>
      </c>
      <c r="E86" t="s">
        <v>2638</v>
      </c>
      <c r="F86" t="s">
        <v>626</v>
      </c>
      <c r="G86" s="4" t="s">
        <v>5424</v>
      </c>
      <c r="H86" t="s">
        <v>2278</v>
      </c>
      <c r="I86" t="s">
        <v>59</v>
      </c>
      <c r="J86" s="4" t="s">
        <v>74</v>
      </c>
      <c r="K86" t="s">
        <v>2639</v>
      </c>
      <c r="L86">
        <v>3</v>
      </c>
      <c r="M86" t="s">
        <v>1137</v>
      </c>
      <c r="N86" t="s">
        <v>1148</v>
      </c>
      <c r="O86" t="s">
        <v>1137</v>
      </c>
      <c r="P86" s="2" t="str">
        <f t="shared" si="3"/>
        <v>28/01/2025 to 31/01/2025</v>
      </c>
      <c r="Q86" s="3">
        <v>45687</v>
      </c>
      <c r="R86" t="str">
        <f t="shared" si="4"/>
        <v>On-Time</v>
      </c>
      <c r="S86" t="s">
        <v>462</v>
      </c>
      <c r="T86">
        <v>30.5</v>
      </c>
      <c r="U86" t="s">
        <v>79</v>
      </c>
      <c r="V86" t="s">
        <v>80</v>
      </c>
      <c r="W86" t="str">
        <f t="shared" ca="1" si="5"/>
        <v>Inactive</v>
      </c>
    </row>
    <row r="87" spans="1:23" x14ac:dyDescent="0.2">
      <c r="A87">
        <v>826</v>
      </c>
      <c r="B87" t="s">
        <v>2636</v>
      </c>
      <c r="C87" t="s">
        <v>2640</v>
      </c>
      <c r="D87" s="1" t="s">
        <v>1162</v>
      </c>
      <c r="E87" t="s">
        <v>2638</v>
      </c>
      <c r="F87" t="s">
        <v>626</v>
      </c>
      <c r="G87" s="4" t="s">
        <v>5428</v>
      </c>
      <c r="H87" t="s">
        <v>2278</v>
      </c>
      <c r="I87" t="s">
        <v>59</v>
      </c>
      <c r="J87" s="4" t="s">
        <v>60</v>
      </c>
      <c r="K87" t="s">
        <v>2641</v>
      </c>
      <c r="L87">
        <v>4</v>
      </c>
      <c r="M87" t="s">
        <v>1148</v>
      </c>
      <c r="N87" t="s">
        <v>1150</v>
      </c>
      <c r="O87" t="s">
        <v>1142</v>
      </c>
      <c r="P87" s="2" t="str">
        <f t="shared" si="3"/>
        <v>29/01/2025 to 03/02/2025</v>
      </c>
      <c r="Q87" s="3">
        <v>45689</v>
      </c>
      <c r="R87" t="str">
        <f t="shared" si="4"/>
        <v>On-Time</v>
      </c>
      <c r="S87" t="s">
        <v>462</v>
      </c>
      <c r="T87">
        <v>36.5</v>
      </c>
      <c r="U87" t="s">
        <v>65</v>
      </c>
      <c r="V87" t="s">
        <v>72</v>
      </c>
      <c r="W87" t="str">
        <f t="shared" ca="1" si="5"/>
        <v>Inactive</v>
      </c>
    </row>
    <row r="88" spans="1:23" x14ac:dyDescent="0.2">
      <c r="A88">
        <v>1828</v>
      </c>
      <c r="B88" t="s">
        <v>5020</v>
      </c>
      <c r="C88" t="s">
        <v>5021</v>
      </c>
      <c r="D88" s="1" t="s">
        <v>1162</v>
      </c>
      <c r="E88" t="s">
        <v>5022</v>
      </c>
      <c r="F88" t="s">
        <v>179</v>
      </c>
      <c r="G88" s="4" t="s">
        <v>5424</v>
      </c>
      <c r="H88" t="s">
        <v>5023</v>
      </c>
      <c r="I88" t="s">
        <v>59</v>
      </c>
      <c r="J88" s="4" t="s">
        <v>74</v>
      </c>
      <c r="K88" t="s">
        <v>18</v>
      </c>
      <c r="L88">
        <v>1</v>
      </c>
      <c r="M88" t="s">
        <v>1137</v>
      </c>
      <c r="N88" t="s">
        <v>1148</v>
      </c>
      <c r="O88" t="s">
        <v>1142</v>
      </c>
      <c r="P88" s="2" t="str">
        <f t="shared" si="3"/>
        <v>28/01/2025 to 31/01/2025</v>
      </c>
      <c r="Q88" s="3">
        <v>45685</v>
      </c>
      <c r="R88" t="str">
        <f t="shared" si="4"/>
        <v>On-Time</v>
      </c>
      <c r="S88" t="s">
        <v>779</v>
      </c>
      <c r="T88">
        <v>8.5</v>
      </c>
      <c r="U88" t="s">
        <v>79</v>
      </c>
      <c r="V88" t="s">
        <v>72</v>
      </c>
      <c r="W88" t="str">
        <f t="shared" ca="1" si="5"/>
        <v>Inactive</v>
      </c>
    </row>
    <row r="89" spans="1:23" x14ac:dyDescent="0.2">
      <c r="A89">
        <v>1829</v>
      </c>
      <c r="B89" t="s">
        <v>5020</v>
      </c>
      <c r="C89" t="s">
        <v>5024</v>
      </c>
      <c r="D89" s="1" t="s">
        <v>1162</v>
      </c>
      <c r="E89" t="s">
        <v>5022</v>
      </c>
      <c r="F89" t="s">
        <v>179</v>
      </c>
      <c r="G89" s="4" t="s">
        <v>5424</v>
      </c>
      <c r="H89" t="s">
        <v>5023</v>
      </c>
      <c r="I89" t="s">
        <v>59</v>
      </c>
      <c r="J89" s="4" t="s">
        <v>68</v>
      </c>
      <c r="K89" t="s">
        <v>24</v>
      </c>
      <c r="L89">
        <v>1</v>
      </c>
      <c r="M89" t="s">
        <v>1137</v>
      </c>
      <c r="N89" t="s">
        <v>1137</v>
      </c>
      <c r="O89" t="s">
        <v>1137</v>
      </c>
      <c r="P89" s="2" t="str">
        <f t="shared" si="3"/>
        <v>28/01/2025 to 31/01/2025</v>
      </c>
      <c r="Q89" s="3">
        <v>45689</v>
      </c>
      <c r="R89" t="str">
        <f t="shared" si="4"/>
        <v>Late</v>
      </c>
      <c r="S89" t="s">
        <v>1259</v>
      </c>
      <c r="T89">
        <v>8</v>
      </c>
      <c r="U89" t="s">
        <v>79</v>
      </c>
      <c r="V89" t="s">
        <v>72</v>
      </c>
      <c r="W89" t="str">
        <f t="shared" ca="1" si="5"/>
        <v>Inactive</v>
      </c>
    </row>
    <row r="90" spans="1:23" x14ac:dyDescent="0.2">
      <c r="A90">
        <v>1830</v>
      </c>
      <c r="B90" t="s">
        <v>5020</v>
      </c>
      <c r="C90" t="s">
        <v>5025</v>
      </c>
      <c r="D90" s="1" t="s">
        <v>1162</v>
      </c>
      <c r="E90" t="s">
        <v>5022</v>
      </c>
      <c r="F90" t="s">
        <v>179</v>
      </c>
      <c r="G90" s="4" t="s">
        <v>5424</v>
      </c>
      <c r="H90" t="s">
        <v>5023</v>
      </c>
      <c r="I90" t="s">
        <v>59</v>
      </c>
      <c r="J90" s="4" t="s">
        <v>60</v>
      </c>
      <c r="K90" t="s">
        <v>5026</v>
      </c>
      <c r="L90">
        <v>4</v>
      </c>
      <c r="M90" t="s">
        <v>1137</v>
      </c>
      <c r="N90" t="s">
        <v>1137</v>
      </c>
      <c r="O90" t="s">
        <v>1137</v>
      </c>
      <c r="P90" s="2" t="str">
        <f t="shared" si="3"/>
        <v>28/01/2025 to 31/01/2025</v>
      </c>
      <c r="Q90" s="3">
        <v>45689</v>
      </c>
      <c r="R90" t="str">
        <f t="shared" si="4"/>
        <v>Late</v>
      </c>
      <c r="S90" t="s">
        <v>1259</v>
      </c>
      <c r="T90">
        <v>44</v>
      </c>
      <c r="U90" t="s">
        <v>79</v>
      </c>
      <c r="V90" t="s">
        <v>80</v>
      </c>
      <c r="W90" t="str">
        <f t="shared" ca="1" si="5"/>
        <v>Inactive</v>
      </c>
    </row>
    <row r="91" spans="1:23" x14ac:dyDescent="0.2">
      <c r="A91">
        <v>1831</v>
      </c>
      <c r="B91" t="s">
        <v>5020</v>
      </c>
      <c r="C91" t="s">
        <v>5027</v>
      </c>
      <c r="D91" s="1" t="s">
        <v>1162</v>
      </c>
      <c r="E91" t="s">
        <v>5022</v>
      </c>
      <c r="F91" t="s">
        <v>179</v>
      </c>
      <c r="G91" s="4" t="s">
        <v>5427</v>
      </c>
      <c r="H91" t="s">
        <v>5023</v>
      </c>
      <c r="I91" t="s">
        <v>59</v>
      </c>
      <c r="J91" s="4" t="s">
        <v>5417</v>
      </c>
      <c r="K91" t="s">
        <v>20</v>
      </c>
      <c r="L91">
        <v>1</v>
      </c>
      <c r="M91" t="s">
        <v>1148</v>
      </c>
      <c r="N91" t="s">
        <v>1150</v>
      </c>
      <c r="O91" t="s">
        <v>1150</v>
      </c>
      <c r="P91" s="2" t="str">
        <f t="shared" si="3"/>
        <v>29/01/2025 to 03/02/2025</v>
      </c>
      <c r="Q91" s="3">
        <v>45688</v>
      </c>
      <c r="R91" t="str">
        <f t="shared" si="4"/>
        <v>On-Time</v>
      </c>
      <c r="S91" t="s">
        <v>463</v>
      </c>
      <c r="T91">
        <v>10.5</v>
      </c>
      <c r="U91" t="s">
        <v>65</v>
      </c>
      <c r="V91" t="s">
        <v>72</v>
      </c>
      <c r="W91" t="str">
        <f t="shared" ca="1" si="5"/>
        <v>Inactive</v>
      </c>
    </row>
    <row r="92" spans="1:23" x14ac:dyDescent="0.2">
      <c r="A92">
        <v>259</v>
      </c>
      <c r="B92" t="s">
        <v>1135</v>
      </c>
      <c r="C92" t="s">
        <v>1136</v>
      </c>
      <c r="D92" s="1" t="s">
        <v>1137</v>
      </c>
      <c r="E92" t="s">
        <v>1138</v>
      </c>
      <c r="F92" t="s">
        <v>1139</v>
      </c>
      <c r="G92" s="4" t="s">
        <v>5427</v>
      </c>
      <c r="H92" t="s">
        <v>1140</v>
      </c>
      <c r="I92" t="s">
        <v>59</v>
      </c>
      <c r="J92" s="4" t="s">
        <v>5417</v>
      </c>
      <c r="K92" t="s">
        <v>1141</v>
      </c>
      <c r="L92">
        <v>4</v>
      </c>
      <c r="M92" t="s">
        <v>1142</v>
      </c>
      <c r="N92" t="s">
        <v>1143</v>
      </c>
      <c r="O92" t="s">
        <v>1142</v>
      </c>
      <c r="P92" s="2" t="str">
        <f t="shared" si="3"/>
        <v>30/01/2025 to 04/02/2025</v>
      </c>
      <c r="Q92" s="3">
        <v>45687</v>
      </c>
      <c r="R92" t="str">
        <f t="shared" si="4"/>
        <v>On-Time</v>
      </c>
      <c r="S92" t="s">
        <v>462</v>
      </c>
      <c r="T92">
        <v>34</v>
      </c>
      <c r="U92" t="s">
        <v>65</v>
      </c>
      <c r="V92" t="s">
        <v>66</v>
      </c>
      <c r="W92" t="str">
        <f t="shared" ca="1" si="5"/>
        <v>Inactive</v>
      </c>
    </row>
    <row r="93" spans="1:23" x14ac:dyDescent="0.2">
      <c r="A93">
        <v>260</v>
      </c>
      <c r="B93" t="s">
        <v>1135</v>
      </c>
      <c r="C93" t="s">
        <v>1144</v>
      </c>
      <c r="D93" s="1" t="s">
        <v>1137</v>
      </c>
      <c r="E93" t="s">
        <v>1138</v>
      </c>
      <c r="F93" t="s">
        <v>1139</v>
      </c>
      <c r="G93" s="4" t="s">
        <v>5423</v>
      </c>
      <c r="H93" t="s">
        <v>1140</v>
      </c>
      <c r="I93" t="s">
        <v>59</v>
      </c>
      <c r="J93" s="4" t="s">
        <v>60</v>
      </c>
      <c r="K93" t="s">
        <v>223</v>
      </c>
      <c r="L93">
        <v>2</v>
      </c>
      <c r="M93" t="s">
        <v>1137</v>
      </c>
      <c r="N93" t="s">
        <v>1137</v>
      </c>
      <c r="O93" t="s">
        <v>1142</v>
      </c>
      <c r="P93" s="2" t="str">
        <f t="shared" si="3"/>
        <v>28/01/2025 to 31/01/2025</v>
      </c>
      <c r="Q93" s="3">
        <v>45688</v>
      </c>
      <c r="R93" t="str">
        <f t="shared" si="4"/>
        <v>On-Time</v>
      </c>
      <c r="S93" t="s">
        <v>459</v>
      </c>
      <c r="T93">
        <v>20</v>
      </c>
      <c r="U93" t="s">
        <v>79</v>
      </c>
      <c r="V93" t="s">
        <v>72</v>
      </c>
      <c r="W93" t="str">
        <f t="shared" ca="1" si="5"/>
        <v>Inactive</v>
      </c>
    </row>
    <row r="94" spans="1:23" x14ac:dyDescent="0.2">
      <c r="A94">
        <v>261</v>
      </c>
      <c r="B94" t="s">
        <v>1135</v>
      </c>
      <c r="C94" t="s">
        <v>1145</v>
      </c>
      <c r="D94" s="1" t="s">
        <v>1137</v>
      </c>
      <c r="E94" t="s">
        <v>1138</v>
      </c>
      <c r="F94" t="s">
        <v>1139</v>
      </c>
      <c r="G94" s="4" t="s">
        <v>5425</v>
      </c>
      <c r="H94" t="s">
        <v>1140</v>
      </c>
      <c r="I94" t="s">
        <v>59</v>
      </c>
      <c r="J94" s="4" t="s">
        <v>5417</v>
      </c>
      <c r="K94" t="s">
        <v>1146</v>
      </c>
      <c r="L94">
        <v>3</v>
      </c>
      <c r="M94" t="s">
        <v>1142</v>
      </c>
      <c r="N94" t="s">
        <v>1143</v>
      </c>
      <c r="O94" t="s">
        <v>1143</v>
      </c>
      <c r="P94" s="2" t="str">
        <f t="shared" si="3"/>
        <v>30/01/2025 to 04/02/2025</v>
      </c>
      <c r="Q94" s="3">
        <v>45692</v>
      </c>
      <c r="R94" t="str">
        <f t="shared" si="4"/>
        <v>On-Time</v>
      </c>
      <c r="S94" t="s">
        <v>584</v>
      </c>
      <c r="T94">
        <v>31</v>
      </c>
      <c r="U94" t="s">
        <v>79</v>
      </c>
      <c r="V94" t="s">
        <v>80</v>
      </c>
      <c r="W94" t="str">
        <f t="shared" ca="1" si="5"/>
        <v>Inactive</v>
      </c>
    </row>
    <row r="95" spans="1:23" x14ac:dyDescent="0.2">
      <c r="A95">
        <v>262</v>
      </c>
      <c r="B95" t="s">
        <v>1135</v>
      </c>
      <c r="C95" t="s">
        <v>1147</v>
      </c>
      <c r="D95" s="1" t="s">
        <v>1137</v>
      </c>
      <c r="E95" t="s">
        <v>1138</v>
      </c>
      <c r="F95" t="s">
        <v>1139</v>
      </c>
      <c r="G95" s="4" t="s">
        <v>5428</v>
      </c>
      <c r="H95" t="s">
        <v>1140</v>
      </c>
      <c r="I95" t="s">
        <v>59</v>
      </c>
      <c r="J95" s="4" t="s">
        <v>68</v>
      </c>
      <c r="K95" t="s">
        <v>32</v>
      </c>
      <c r="L95">
        <v>1</v>
      </c>
      <c r="M95" t="s">
        <v>1137</v>
      </c>
      <c r="N95" t="s">
        <v>1148</v>
      </c>
      <c r="O95" t="s">
        <v>1137</v>
      </c>
      <c r="P95" s="2" t="str">
        <f t="shared" si="3"/>
        <v>28/01/2025 to 31/01/2025</v>
      </c>
      <c r="Q95" s="3">
        <v>45688</v>
      </c>
      <c r="R95" t="str">
        <f t="shared" si="4"/>
        <v>On-Time</v>
      </c>
      <c r="S95" t="s">
        <v>459</v>
      </c>
      <c r="T95">
        <v>14</v>
      </c>
      <c r="U95" t="s">
        <v>79</v>
      </c>
      <c r="V95" t="s">
        <v>66</v>
      </c>
      <c r="W95" t="str">
        <f t="shared" ca="1" si="5"/>
        <v>Inactive</v>
      </c>
    </row>
    <row r="96" spans="1:23" x14ac:dyDescent="0.2">
      <c r="A96">
        <v>263</v>
      </c>
      <c r="B96" t="s">
        <v>1135</v>
      </c>
      <c r="C96" t="s">
        <v>1149</v>
      </c>
      <c r="D96" s="1" t="s">
        <v>1137</v>
      </c>
      <c r="E96" t="s">
        <v>1138</v>
      </c>
      <c r="F96" t="s">
        <v>1139</v>
      </c>
      <c r="G96" s="4" t="s">
        <v>5428</v>
      </c>
      <c r="H96" t="s">
        <v>1140</v>
      </c>
      <c r="I96" t="s">
        <v>59</v>
      </c>
      <c r="J96" s="4" t="s">
        <v>68</v>
      </c>
      <c r="K96" t="s">
        <v>298</v>
      </c>
      <c r="L96">
        <v>2</v>
      </c>
      <c r="M96" t="s">
        <v>1148</v>
      </c>
      <c r="N96" t="s">
        <v>1142</v>
      </c>
      <c r="O96" t="s">
        <v>1150</v>
      </c>
      <c r="P96" s="2" t="str">
        <f t="shared" si="3"/>
        <v>29/01/2025 to 03/02/2025</v>
      </c>
      <c r="Q96" s="3">
        <v>45692</v>
      </c>
      <c r="R96" t="str">
        <f t="shared" si="4"/>
        <v>Late</v>
      </c>
      <c r="S96" t="s">
        <v>119</v>
      </c>
      <c r="T96">
        <v>20</v>
      </c>
      <c r="U96" t="s">
        <v>65</v>
      </c>
      <c r="V96" t="s">
        <v>72</v>
      </c>
      <c r="W96" t="str">
        <f t="shared" ca="1" si="5"/>
        <v>Inactive</v>
      </c>
    </row>
    <row r="97" spans="1:23" x14ac:dyDescent="0.2">
      <c r="A97">
        <v>1464</v>
      </c>
      <c r="B97" t="s">
        <v>4178</v>
      </c>
      <c r="C97" t="s">
        <v>4179</v>
      </c>
      <c r="D97" s="1" t="s">
        <v>1137</v>
      </c>
      <c r="E97" t="s">
        <v>4180</v>
      </c>
      <c r="F97" t="s">
        <v>335</v>
      </c>
      <c r="G97" s="4" t="s">
        <v>5423</v>
      </c>
      <c r="H97" t="s">
        <v>1933</v>
      </c>
      <c r="I97" t="s">
        <v>59</v>
      </c>
      <c r="J97" s="4" t="s">
        <v>74</v>
      </c>
      <c r="K97" t="s">
        <v>4181</v>
      </c>
      <c r="L97">
        <v>4</v>
      </c>
      <c r="M97" t="s">
        <v>1148</v>
      </c>
      <c r="N97" t="s">
        <v>1150</v>
      </c>
      <c r="O97" t="s">
        <v>1150</v>
      </c>
      <c r="P97" s="2" t="str">
        <f t="shared" si="3"/>
        <v>29/01/2025 to 03/02/2025</v>
      </c>
      <c r="Q97" s="3">
        <v>45691</v>
      </c>
      <c r="R97" t="str">
        <f t="shared" si="4"/>
        <v>On-Time</v>
      </c>
      <c r="S97" t="s">
        <v>119</v>
      </c>
      <c r="T97">
        <v>35.5</v>
      </c>
      <c r="U97" t="s">
        <v>79</v>
      </c>
      <c r="V97" t="s">
        <v>80</v>
      </c>
      <c r="W97" t="str">
        <f t="shared" ca="1" si="5"/>
        <v>Inactive</v>
      </c>
    </row>
    <row r="98" spans="1:23" x14ac:dyDescent="0.2">
      <c r="A98">
        <v>1929</v>
      </c>
      <c r="B98" t="s">
        <v>5246</v>
      </c>
      <c r="C98" t="s">
        <v>5247</v>
      </c>
      <c r="D98" s="1" t="s">
        <v>1137</v>
      </c>
      <c r="E98" t="s">
        <v>5248</v>
      </c>
      <c r="F98" t="s">
        <v>626</v>
      </c>
      <c r="G98" s="4" t="s">
        <v>5427</v>
      </c>
      <c r="H98" t="s">
        <v>5249</v>
      </c>
      <c r="I98" t="s">
        <v>112</v>
      </c>
      <c r="J98" s="4" t="s">
        <v>74</v>
      </c>
      <c r="K98" t="s">
        <v>717</v>
      </c>
      <c r="L98">
        <v>2</v>
      </c>
      <c r="M98" t="s">
        <v>1137</v>
      </c>
      <c r="N98" t="s">
        <v>1142</v>
      </c>
      <c r="O98" t="s">
        <v>1142</v>
      </c>
      <c r="P98" s="2" t="str">
        <f t="shared" si="3"/>
        <v>28/01/2025 to 31/01/2025</v>
      </c>
      <c r="Q98" s="3">
        <v>45685</v>
      </c>
      <c r="R98" t="str">
        <f t="shared" si="4"/>
        <v>On-Time</v>
      </c>
      <c r="S98" t="s">
        <v>779</v>
      </c>
      <c r="T98">
        <v>18</v>
      </c>
      <c r="U98" t="s">
        <v>79</v>
      </c>
      <c r="V98" t="s">
        <v>66</v>
      </c>
      <c r="W98" t="str">
        <f t="shared" ca="1" si="5"/>
        <v>Inactive</v>
      </c>
    </row>
    <row r="99" spans="1:23" x14ac:dyDescent="0.2">
      <c r="A99">
        <v>1261</v>
      </c>
      <c r="B99" t="s">
        <v>3690</v>
      </c>
      <c r="C99" t="s">
        <v>3691</v>
      </c>
      <c r="D99" s="1" t="s">
        <v>1148</v>
      </c>
      <c r="E99" t="s">
        <v>3692</v>
      </c>
      <c r="F99" t="s">
        <v>995</v>
      </c>
      <c r="G99" s="4" t="s">
        <v>5422</v>
      </c>
      <c r="H99" t="s">
        <v>2394</v>
      </c>
      <c r="I99" t="s">
        <v>112</v>
      </c>
      <c r="J99" s="4" t="s">
        <v>74</v>
      </c>
      <c r="K99" t="s">
        <v>22</v>
      </c>
      <c r="L99">
        <v>1</v>
      </c>
      <c r="M99" t="s">
        <v>1142</v>
      </c>
      <c r="N99" t="s">
        <v>1150</v>
      </c>
      <c r="O99" t="s">
        <v>1142</v>
      </c>
      <c r="P99" s="2" t="str">
        <f t="shared" si="3"/>
        <v>30/01/2025 to 04/02/2025</v>
      </c>
      <c r="Q99" s="3">
        <v>45686</v>
      </c>
      <c r="R99" t="str">
        <f t="shared" si="4"/>
        <v>Late</v>
      </c>
      <c r="S99" t="s">
        <v>583</v>
      </c>
      <c r="T99">
        <v>8</v>
      </c>
      <c r="U99" t="s">
        <v>65</v>
      </c>
      <c r="V99" t="s">
        <v>80</v>
      </c>
      <c r="W99" t="str">
        <f t="shared" ca="1" si="5"/>
        <v>Inactive</v>
      </c>
    </row>
    <row r="100" spans="1:23" x14ac:dyDescent="0.2">
      <c r="A100">
        <v>1262</v>
      </c>
      <c r="B100" t="s">
        <v>3690</v>
      </c>
      <c r="C100" t="s">
        <v>3693</v>
      </c>
      <c r="D100" s="1" t="s">
        <v>1148</v>
      </c>
      <c r="E100" t="s">
        <v>3692</v>
      </c>
      <c r="F100" t="s">
        <v>995</v>
      </c>
      <c r="G100" s="4" t="s">
        <v>5426</v>
      </c>
      <c r="H100" t="s">
        <v>2394</v>
      </c>
      <c r="I100" t="s">
        <v>112</v>
      </c>
      <c r="J100" s="4" t="s">
        <v>60</v>
      </c>
      <c r="K100" t="s">
        <v>32</v>
      </c>
      <c r="L100">
        <v>1</v>
      </c>
      <c r="M100" t="s">
        <v>1142</v>
      </c>
      <c r="N100" t="s">
        <v>1150</v>
      </c>
      <c r="O100" t="s">
        <v>1142</v>
      </c>
      <c r="P100" s="2" t="str">
        <f t="shared" si="3"/>
        <v>30/01/2025 to 04/02/2025</v>
      </c>
      <c r="Q100" s="3">
        <v>45687</v>
      </c>
      <c r="R100" t="str">
        <f t="shared" si="4"/>
        <v>On-Time</v>
      </c>
      <c r="S100" t="s">
        <v>779</v>
      </c>
      <c r="T100">
        <v>14</v>
      </c>
      <c r="U100" t="s">
        <v>65</v>
      </c>
      <c r="V100" t="s">
        <v>66</v>
      </c>
      <c r="W100" t="str">
        <f t="shared" ca="1" si="5"/>
        <v>Inactive</v>
      </c>
    </row>
    <row r="101" spans="1:23" x14ac:dyDescent="0.2">
      <c r="A101">
        <v>1263</v>
      </c>
      <c r="B101" t="s">
        <v>3690</v>
      </c>
      <c r="C101" t="s">
        <v>3694</v>
      </c>
      <c r="D101" s="1" t="s">
        <v>1148</v>
      </c>
      <c r="E101" t="s">
        <v>3692</v>
      </c>
      <c r="F101" t="s">
        <v>995</v>
      </c>
      <c r="G101" s="4" t="s">
        <v>5420</v>
      </c>
      <c r="H101" t="s">
        <v>2394</v>
      </c>
      <c r="I101" t="s">
        <v>112</v>
      </c>
      <c r="J101" s="4" t="s">
        <v>68</v>
      </c>
      <c r="K101" t="s">
        <v>1897</v>
      </c>
      <c r="L101">
        <v>2</v>
      </c>
      <c r="M101" t="s">
        <v>1148</v>
      </c>
      <c r="N101" t="s">
        <v>1150</v>
      </c>
      <c r="O101" t="s">
        <v>1150</v>
      </c>
      <c r="P101" s="2" t="str">
        <f t="shared" si="3"/>
        <v>29/01/2025 to 03/02/2025</v>
      </c>
      <c r="Q101" s="3">
        <v>45692</v>
      </c>
      <c r="R101" t="str">
        <f t="shared" si="4"/>
        <v>Late</v>
      </c>
      <c r="S101" t="s">
        <v>584</v>
      </c>
      <c r="T101">
        <v>18</v>
      </c>
      <c r="U101" t="s">
        <v>79</v>
      </c>
      <c r="V101" t="s">
        <v>80</v>
      </c>
      <c r="W101" t="str">
        <f t="shared" ca="1" si="5"/>
        <v>Inactive</v>
      </c>
    </row>
    <row r="102" spans="1:23" x14ac:dyDescent="0.2">
      <c r="A102">
        <v>1264</v>
      </c>
      <c r="B102" t="s">
        <v>3690</v>
      </c>
      <c r="C102" t="s">
        <v>3695</v>
      </c>
      <c r="D102" s="1" t="s">
        <v>1148</v>
      </c>
      <c r="E102" t="s">
        <v>3692</v>
      </c>
      <c r="F102" t="s">
        <v>995</v>
      </c>
      <c r="G102" s="4" t="s">
        <v>5419</v>
      </c>
      <c r="H102" t="s">
        <v>2394</v>
      </c>
      <c r="I102" t="s">
        <v>112</v>
      </c>
      <c r="J102" s="4" t="s">
        <v>68</v>
      </c>
      <c r="K102" t="s">
        <v>1926</v>
      </c>
      <c r="L102">
        <v>2</v>
      </c>
      <c r="M102" t="s">
        <v>1150</v>
      </c>
      <c r="N102" t="s">
        <v>1143</v>
      </c>
      <c r="O102" t="s">
        <v>1046</v>
      </c>
      <c r="P102" s="2" t="str">
        <f t="shared" si="3"/>
        <v>31/01/2025 to 05/02/2025</v>
      </c>
      <c r="Q102" s="3">
        <v>45693</v>
      </c>
      <c r="R102" t="str">
        <f t="shared" si="4"/>
        <v>On-Time</v>
      </c>
      <c r="S102" t="s">
        <v>584</v>
      </c>
      <c r="T102">
        <v>17</v>
      </c>
      <c r="U102" t="s">
        <v>79</v>
      </c>
      <c r="V102" t="s">
        <v>66</v>
      </c>
      <c r="W102" t="str">
        <f t="shared" ca="1" si="5"/>
        <v>Inactive</v>
      </c>
    </row>
    <row r="103" spans="1:23" x14ac:dyDescent="0.2">
      <c r="A103">
        <v>1608</v>
      </c>
      <c r="B103" t="s">
        <v>4531</v>
      </c>
      <c r="C103" t="s">
        <v>4532</v>
      </c>
      <c r="D103" s="1" t="s">
        <v>1150</v>
      </c>
      <c r="E103" t="s">
        <v>4533</v>
      </c>
      <c r="F103" t="s">
        <v>881</v>
      </c>
      <c r="G103" s="4" t="s">
        <v>5425</v>
      </c>
      <c r="H103" t="s">
        <v>4534</v>
      </c>
      <c r="I103" t="s">
        <v>201</v>
      </c>
      <c r="J103" s="4" t="s">
        <v>60</v>
      </c>
      <c r="K103" t="s">
        <v>6</v>
      </c>
      <c r="L103">
        <v>1</v>
      </c>
      <c r="M103" t="s">
        <v>1150</v>
      </c>
      <c r="N103" t="s">
        <v>1046</v>
      </c>
      <c r="O103" t="s">
        <v>1150</v>
      </c>
      <c r="P103" s="2" t="str">
        <f t="shared" si="3"/>
        <v>31/01/2025 to 05/02/2025</v>
      </c>
      <c r="Q103" s="3">
        <v>45687</v>
      </c>
      <c r="R103" t="str">
        <f t="shared" si="4"/>
        <v>Late</v>
      </c>
      <c r="S103" t="s">
        <v>462</v>
      </c>
      <c r="T103">
        <v>7.5</v>
      </c>
      <c r="U103" t="s">
        <v>79</v>
      </c>
      <c r="V103" t="s">
        <v>66</v>
      </c>
      <c r="W103" t="str">
        <f t="shared" ca="1" si="5"/>
        <v>Inactive</v>
      </c>
    </row>
    <row r="104" spans="1:23" x14ac:dyDescent="0.2">
      <c r="A104">
        <v>1609</v>
      </c>
      <c r="B104" t="s">
        <v>4531</v>
      </c>
      <c r="C104" t="s">
        <v>4535</v>
      </c>
      <c r="D104" s="1" t="s">
        <v>1150</v>
      </c>
      <c r="E104" t="s">
        <v>4533</v>
      </c>
      <c r="F104" t="s">
        <v>881</v>
      </c>
      <c r="G104" s="4" t="s">
        <v>5422</v>
      </c>
      <c r="H104" t="s">
        <v>4534</v>
      </c>
      <c r="I104" t="s">
        <v>201</v>
      </c>
      <c r="J104" s="4" t="s">
        <v>68</v>
      </c>
      <c r="K104" t="s">
        <v>4536</v>
      </c>
      <c r="L104">
        <v>3</v>
      </c>
      <c r="M104" t="s">
        <v>1150</v>
      </c>
      <c r="N104" t="s">
        <v>1143</v>
      </c>
      <c r="O104" t="s">
        <v>1150</v>
      </c>
      <c r="P104" s="2" t="str">
        <f t="shared" si="3"/>
        <v>31/01/2025 to 05/02/2025</v>
      </c>
      <c r="Q104" s="3">
        <v>45688</v>
      </c>
      <c r="R104" t="str">
        <f t="shared" si="4"/>
        <v>On-Time</v>
      </c>
      <c r="S104" t="s">
        <v>459</v>
      </c>
      <c r="T104">
        <v>25.5</v>
      </c>
      <c r="U104" t="s">
        <v>65</v>
      </c>
      <c r="V104" t="s">
        <v>80</v>
      </c>
      <c r="W104" t="str">
        <f t="shared" ca="1" si="5"/>
        <v>Inactive</v>
      </c>
    </row>
    <row r="105" spans="1:23" x14ac:dyDescent="0.2">
      <c r="A105">
        <v>1610</v>
      </c>
      <c r="B105" t="s">
        <v>4531</v>
      </c>
      <c r="C105" t="s">
        <v>4537</v>
      </c>
      <c r="D105" s="1" t="s">
        <v>1150</v>
      </c>
      <c r="E105" t="s">
        <v>4533</v>
      </c>
      <c r="F105" t="s">
        <v>881</v>
      </c>
      <c r="G105" s="4" t="s">
        <v>5421</v>
      </c>
      <c r="H105" t="s">
        <v>4534</v>
      </c>
      <c r="I105" t="s">
        <v>201</v>
      </c>
      <c r="J105" s="4" t="s">
        <v>68</v>
      </c>
      <c r="K105" t="s">
        <v>4538</v>
      </c>
      <c r="L105">
        <v>3</v>
      </c>
      <c r="M105" t="s">
        <v>1046</v>
      </c>
      <c r="N105" t="s">
        <v>1046</v>
      </c>
      <c r="O105" t="s">
        <v>1046</v>
      </c>
      <c r="P105" s="2" t="str">
        <f t="shared" si="3"/>
        <v>04/02/2025 to 07/02/2025</v>
      </c>
      <c r="Q105" s="3">
        <v>45692</v>
      </c>
      <c r="R105" t="str">
        <f t="shared" si="4"/>
        <v>On-Time</v>
      </c>
      <c r="S105" t="s">
        <v>584</v>
      </c>
      <c r="T105">
        <v>26</v>
      </c>
      <c r="U105" t="s">
        <v>79</v>
      </c>
      <c r="V105" t="s">
        <v>66</v>
      </c>
      <c r="W105" t="str">
        <f t="shared" ca="1" si="5"/>
        <v>Inactive</v>
      </c>
    </row>
    <row r="106" spans="1:23" x14ac:dyDescent="0.2">
      <c r="A106">
        <v>1611</v>
      </c>
      <c r="B106" t="s">
        <v>4531</v>
      </c>
      <c r="C106" t="s">
        <v>4539</v>
      </c>
      <c r="D106" s="1" t="s">
        <v>1150</v>
      </c>
      <c r="E106" t="s">
        <v>4533</v>
      </c>
      <c r="F106" t="s">
        <v>881</v>
      </c>
      <c r="G106" s="4" t="s">
        <v>5424</v>
      </c>
      <c r="H106" t="s">
        <v>4534</v>
      </c>
      <c r="I106" t="s">
        <v>201</v>
      </c>
      <c r="J106" s="4" t="s">
        <v>5417</v>
      </c>
      <c r="K106" t="s">
        <v>2691</v>
      </c>
      <c r="L106">
        <v>2</v>
      </c>
      <c r="M106" t="s">
        <v>1143</v>
      </c>
      <c r="N106" t="s">
        <v>1143</v>
      </c>
      <c r="O106" t="s">
        <v>1143</v>
      </c>
      <c r="P106" s="2" t="str">
        <f t="shared" si="3"/>
        <v>03/02/2025 to 06/02/2025</v>
      </c>
      <c r="Q106" s="3">
        <v>45689</v>
      </c>
      <c r="R106" t="str">
        <f t="shared" si="4"/>
        <v>Late</v>
      </c>
      <c r="S106" t="s">
        <v>462</v>
      </c>
      <c r="T106">
        <v>16</v>
      </c>
      <c r="U106" t="s">
        <v>79</v>
      </c>
      <c r="V106" t="s">
        <v>66</v>
      </c>
      <c r="W106" t="str">
        <f t="shared" ca="1" si="5"/>
        <v>Inactive</v>
      </c>
    </row>
    <row r="107" spans="1:23" x14ac:dyDescent="0.2">
      <c r="A107">
        <v>450</v>
      </c>
      <c r="B107" t="s">
        <v>1675</v>
      </c>
      <c r="C107" t="s">
        <v>1676</v>
      </c>
      <c r="D107" s="1" t="s">
        <v>1143</v>
      </c>
      <c r="E107" t="s">
        <v>1677</v>
      </c>
      <c r="F107" t="s">
        <v>803</v>
      </c>
      <c r="G107" s="4" t="s">
        <v>5419</v>
      </c>
      <c r="H107" t="s">
        <v>1678</v>
      </c>
      <c r="I107" t="s">
        <v>59</v>
      </c>
      <c r="J107" s="4" t="s">
        <v>60</v>
      </c>
      <c r="K107" t="s">
        <v>84</v>
      </c>
      <c r="L107">
        <v>2</v>
      </c>
      <c r="M107" t="s">
        <v>1143</v>
      </c>
      <c r="N107" t="s">
        <v>1050</v>
      </c>
      <c r="O107" t="s">
        <v>1143</v>
      </c>
      <c r="P107" s="2" t="str">
        <f t="shared" si="3"/>
        <v>03/02/2025 to 06/02/2025</v>
      </c>
      <c r="Q107" s="3">
        <v>45689</v>
      </c>
      <c r="R107" t="str">
        <f t="shared" si="4"/>
        <v>Late</v>
      </c>
      <c r="S107" t="s">
        <v>463</v>
      </c>
      <c r="T107">
        <v>17</v>
      </c>
      <c r="U107" t="s">
        <v>79</v>
      </c>
      <c r="V107" t="s">
        <v>66</v>
      </c>
      <c r="W107" t="str">
        <f t="shared" ca="1" si="5"/>
        <v>Inactive</v>
      </c>
    </row>
    <row r="108" spans="1:23" x14ac:dyDescent="0.2">
      <c r="A108">
        <v>451</v>
      </c>
      <c r="B108" t="s">
        <v>1675</v>
      </c>
      <c r="C108" t="s">
        <v>1679</v>
      </c>
      <c r="D108" s="1" t="s">
        <v>1143</v>
      </c>
      <c r="E108" t="s">
        <v>1677</v>
      </c>
      <c r="F108" t="s">
        <v>803</v>
      </c>
      <c r="G108" s="4" t="s">
        <v>5424</v>
      </c>
      <c r="H108" t="s">
        <v>1678</v>
      </c>
      <c r="I108" t="s">
        <v>59</v>
      </c>
      <c r="J108" s="4" t="s">
        <v>5417</v>
      </c>
      <c r="K108" t="s">
        <v>4</v>
      </c>
      <c r="L108">
        <v>1</v>
      </c>
      <c r="M108" t="s">
        <v>1050</v>
      </c>
      <c r="N108" t="s">
        <v>577</v>
      </c>
      <c r="O108" t="s">
        <v>1050</v>
      </c>
      <c r="P108" s="2" t="str">
        <f t="shared" si="3"/>
        <v>04/02/2025 to 07/02/2025</v>
      </c>
      <c r="Q108" s="3">
        <v>45693</v>
      </c>
      <c r="R108" t="str">
        <f t="shared" si="4"/>
        <v>On-Time</v>
      </c>
      <c r="S108" t="s">
        <v>584</v>
      </c>
      <c r="T108">
        <v>8</v>
      </c>
      <c r="U108" t="s">
        <v>65</v>
      </c>
      <c r="V108" t="s">
        <v>80</v>
      </c>
      <c r="W108" t="str">
        <f t="shared" ca="1" si="5"/>
        <v>Inactive</v>
      </c>
    </row>
    <row r="109" spans="1:23" x14ac:dyDescent="0.2">
      <c r="A109">
        <v>452</v>
      </c>
      <c r="B109" t="s">
        <v>1675</v>
      </c>
      <c r="C109" t="s">
        <v>1680</v>
      </c>
      <c r="D109" s="1" t="s">
        <v>1143</v>
      </c>
      <c r="E109" t="s">
        <v>1677</v>
      </c>
      <c r="F109" t="s">
        <v>803</v>
      </c>
      <c r="G109" s="4" t="s">
        <v>5418</v>
      </c>
      <c r="H109" t="s">
        <v>1678</v>
      </c>
      <c r="I109" t="s">
        <v>59</v>
      </c>
      <c r="J109" s="4" t="s">
        <v>68</v>
      </c>
      <c r="K109" t="s">
        <v>186</v>
      </c>
      <c r="L109">
        <v>2</v>
      </c>
      <c r="M109" t="s">
        <v>1046</v>
      </c>
      <c r="N109" t="s">
        <v>577</v>
      </c>
      <c r="O109" t="s">
        <v>577</v>
      </c>
      <c r="P109" s="2" t="str">
        <f t="shared" si="3"/>
        <v>04/02/2025 to 07/02/2025</v>
      </c>
      <c r="Q109" s="3">
        <v>45695</v>
      </c>
      <c r="R109" t="str">
        <f t="shared" si="4"/>
        <v>On-Time</v>
      </c>
      <c r="S109" t="s">
        <v>529</v>
      </c>
      <c r="T109">
        <v>19</v>
      </c>
      <c r="U109" t="s">
        <v>79</v>
      </c>
      <c r="V109" t="s">
        <v>72</v>
      </c>
      <c r="W109" t="str">
        <f t="shared" ca="1" si="5"/>
        <v>Inactive</v>
      </c>
    </row>
    <row r="110" spans="1:23" x14ac:dyDescent="0.2">
      <c r="A110">
        <v>1187</v>
      </c>
      <c r="B110" t="s">
        <v>3511</v>
      </c>
      <c r="C110" t="s">
        <v>3512</v>
      </c>
      <c r="D110" s="1" t="s">
        <v>1143</v>
      </c>
      <c r="E110" t="s">
        <v>3513</v>
      </c>
      <c r="F110" t="s">
        <v>1036</v>
      </c>
      <c r="G110" s="4" t="s">
        <v>5421</v>
      </c>
      <c r="H110" t="s">
        <v>2628</v>
      </c>
      <c r="I110" t="s">
        <v>136</v>
      </c>
      <c r="J110" s="4" t="s">
        <v>5417</v>
      </c>
      <c r="K110" t="s">
        <v>3514</v>
      </c>
      <c r="L110">
        <v>4</v>
      </c>
      <c r="M110" t="s">
        <v>1050</v>
      </c>
      <c r="N110" t="s">
        <v>581</v>
      </c>
      <c r="O110" t="s">
        <v>577</v>
      </c>
      <c r="P110" s="2" t="str">
        <f t="shared" si="3"/>
        <v>04/02/2025 to 07/02/2025</v>
      </c>
      <c r="Q110" s="3">
        <v>45696</v>
      </c>
      <c r="R110" t="str">
        <f t="shared" si="4"/>
        <v>Late</v>
      </c>
      <c r="S110" t="s">
        <v>782</v>
      </c>
      <c r="T110">
        <v>37</v>
      </c>
      <c r="U110" t="s">
        <v>79</v>
      </c>
      <c r="V110" t="s">
        <v>66</v>
      </c>
      <c r="W110" t="str">
        <f t="shared" ca="1" si="5"/>
        <v>Inactive</v>
      </c>
    </row>
    <row r="111" spans="1:23" x14ac:dyDescent="0.2">
      <c r="A111">
        <v>1188</v>
      </c>
      <c r="B111" t="s">
        <v>3511</v>
      </c>
      <c r="C111" t="s">
        <v>3515</v>
      </c>
      <c r="D111" s="1" t="s">
        <v>1143</v>
      </c>
      <c r="E111" t="s">
        <v>3513</v>
      </c>
      <c r="F111" t="s">
        <v>1036</v>
      </c>
      <c r="G111" s="4" t="s">
        <v>5425</v>
      </c>
      <c r="H111" t="s">
        <v>2628</v>
      </c>
      <c r="I111" t="s">
        <v>136</v>
      </c>
      <c r="J111" s="4" t="s">
        <v>60</v>
      </c>
      <c r="K111" t="s">
        <v>8</v>
      </c>
      <c r="L111">
        <v>1</v>
      </c>
      <c r="M111" t="s">
        <v>1143</v>
      </c>
      <c r="N111" t="s">
        <v>1046</v>
      </c>
      <c r="O111" t="s">
        <v>1143</v>
      </c>
      <c r="P111" s="2" t="str">
        <f t="shared" si="3"/>
        <v>03/02/2025 to 06/02/2025</v>
      </c>
      <c r="Q111" s="3">
        <v>45692</v>
      </c>
      <c r="R111" t="str">
        <f t="shared" si="4"/>
        <v>On-Time</v>
      </c>
      <c r="S111" t="s">
        <v>124</v>
      </c>
      <c r="T111">
        <v>9</v>
      </c>
      <c r="U111" t="s">
        <v>65</v>
      </c>
      <c r="V111" t="s">
        <v>66</v>
      </c>
      <c r="W111" t="str">
        <f t="shared" ca="1" si="5"/>
        <v>Inactive</v>
      </c>
    </row>
    <row r="112" spans="1:23" x14ac:dyDescent="0.2">
      <c r="A112">
        <v>1189</v>
      </c>
      <c r="B112" t="s">
        <v>3511</v>
      </c>
      <c r="C112" t="s">
        <v>3516</v>
      </c>
      <c r="D112" s="1" t="s">
        <v>1143</v>
      </c>
      <c r="E112" t="s">
        <v>3513</v>
      </c>
      <c r="F112" t="s">
        <v>1036</v>
      </c>
      <c r="G112" s="4" t="s">
        <v>5425</v>
      </c>
      <c r="H112" t="s">
        <v>2628</v>
      </c>
      <c r="I112" t="s">
        <v>136</v>
      </c>
      <c r="J112" s="4" t="s">
        <v>5417</v>
      </c>
      <c r="K112" t="s">
        <v>3517</v>
      </c>
      <c r="L112">
        <v>4</v>
      </c>
      <c r="M112" t="s">
        <v>1143</v>
      </c>
      <c r="N112" t="s">
        <v>1143</v>
      </c>
      <c r="O112" t="s">
        <v>1050</v>
      </c>
      <c r="P112" s="2" t="str">
        <f t="shared" si="3"/>
        <v>03/02/2025 to 06/02/2025</v>
      </c>
      <c r="Q112" s="3">
        <v>45692</v>
      </c>
      <c r="R112" t="str">
        <f t="shared" si="4"/>
        <v>On-Time</v>
      </c>
      <c r="S112" t="s">
        <v>119</v>
      </c>
      <c r="T112">
        <v>35</v>
      </c>
      <c r="U112" t="s">
        <v>79</v>
      </c>
      <c r="V112" t="s">
        <v>66</v>
      </c>
      <c r="W112" t="str">
        <f t="shared" ca="1" si="5"/>
        <v>Inactive</v>
      </c>
    </row>
    <row r="113" spans="1:23" x14ac:dyDescent="0.2">
      <c r="A113">
        <v>230</v>
      </c>
      <c r="B113" t="s">
        <v>1044</v>
      </c>
      <c r="C113" t="s">
        <v>1045</v>
      </c>
      <c r="D113" s="1" t="s">
        <v>1046</v>
      </c>
      <c r="E113" t="s">
        <v>1047</v>
      </c>
      <c r="F113" t="s">
        <v>159</v>
      </c>
      <c r="G113" s="4" t="s">
        <v>5424</v>
      </c>
      <c r="H113" t="s">
        <v>1048</v>
      </c>
      <c r="I113" t="s">
        <v>93</v>
      </c>
      <c r="J113" s="4" t="s">
        <v>68</v>
      </c>
      <c r="K113" t="s">
        <v>1049</v>
      </c>
      <c r="L113">
        <v>4</v>
      </c>
      <c r="M113" t="s">
        <v>1046</v>
      </c>
      <c r="N113" t="s">
        <v>1050</v>
      </c>
      <c r="O113" t="s">
        <v>577</v>
      </c>
      <c r="P113" s="2" t="str">
        <f t="shared" si="3"/>
        <v>04/02/2025 to 07/02/2025</v>
      </c>
      <c r="Q113" s="3">
        <v>45696</v>
      </c>
      <c r="R113" t="str">
        <f t="shared" si="4"/>
        <v>Late</v>
      </c>
      <c r="S113" t="s">
        <v>780</v>
      </c>
      <c r="T113">
        <v>41.5</v>
      </c>
      <c r="U113" t="s">
        <v>79</v>
      </c>
      <c r="V113" t="s">
        <v>80</v>
      </c>
      <c r="W113" t="str">
        <f t="shared" ca="1" si="5"/>
        <v>Inactive</v>
      </c>
    </row>
    <row r="114" spans="1:23" x14ac:dyDescent="0.2">
      <c r="A114">
        <v>231</v>
      </c>
      <c r="B114" t="s">
        <v>1044</v>
      </c>
      <c r="C114" t="s">
        <v>1051</v>
      </c>
      <c r="D114" s="1" t="s">
        <v>1046</v>
      </c>
      <c r="E114" t="s">
        <v>1047</v>
      </c>
      <c r="F114" t="s">
        <v>159</v>
      </c>
      <c r="G114" s="4" t="s">
        <v>5422</v>
      </c>
      <c r="H114" t="s">
        <v>1048</v>
      </c>
      <c r="I114" t="s">
        <v>93</v>
      </c>
      <c r="J114" s="4" t="s">
        <v>60</v>
      </c>
      <c r="K114" t="s">
        <v>22</v>
      </c>
      <c r="L114">
        <v>1</v>
      </c>
      <c r="M114" t="s">
        <v>577</v>
      </c>
      <c r="N114" t="s">
        <v>582</v>
      </c>
      <c r="O114" t="s">
        <v>582</v>
      </c>
      <c r="P114" s="2" t="str">
        <f t="shared" si="3"/>
        <v>04/02/2025 to 07/02/2025</v>
      </c>
      <c r="Q114" s="3">
        <v>45698</v>
      </c>
      <c r="R114" t="str">
        <f t="shared" si="4"/>
        <v>Late</v>
      </c>
      <c r="S114" t="s">
        <v>605</v>
      </c>
      <c r="T114">
        <v>8</v>
      </c>
      <c r="U114" t="s">
        <v>65</v>
      </c>
      <c r="V114" t="s">
        <v>66</v>
      </c>
      <c r="W114" t="str">
        <f t="shared" ca="1" si="5"/>
        <v>Inactive</v>
      </c>
    </row>
    <row r="115" spans="1:23" x14ac:dyDescent="0.2">
      <c r="A115">
        <v>232</v>
      </c>
      <c r="B115" t="s">
        <v>1044</v>
      </c>
      <c r="C115" t="s">
        <v>1052</v>
      </c>
      <c r="D115" s="1" t="s">
        <v>1046</v>
      </c>
      <c r="E115" t="s">
        <v>1047</v>
      </c>
      <c r="F115" t="s">
        <v>159</v>
      </c>
      <c r="G115" s="4" t="s">
        <v>5421</v>
      </c>
      <c r="H115" t="s">
        <v>1048</v>
      </c>
      <c r="I115" t="s">
        <v>93</v>
      </c>
      <c r="J115" s="4" t="s">
        <v>74</v>
      </c>
      <c r="K115" t="s">
        <v>1053</v>
      </c>
      <c r="L115">
        <v>3</v>
      </c>
      <c r="M115" t="s">
        <v>577</v>
      </c>
      <c r="N115" t="s">
        <v>582</v>
      </c>
      <c r="O115" t="s">
        <v>582</v>
      </c>
      <c r="P115" s="2" t="str">
        <f t="shared" si="3"/>
        <v>04/02/2025 to 07/02/2025</v>
      </c>
      <c r="Q115" s="3">
        <v>45692</v>
      </c>
      <c r="R115" t="str">
        <f t="shared" si="4"/>
        <v>On-Time</v>
      </c>
      <c r="S115" t="s">
        <v>119</v>
      </c>
      <c r="T115">
        <v>30.5</v>
      </c>
      <c r="U115" t="s">
        <v>79</v>
      </c>
      <c r="V115" t="s">
        <v>72</v>
      </c>
      <c r="W115" t="str">
        <f t="shared" ca="1" si="5"/>
        <v>Inactive</v>
      </c>
    </row>
    <row r="116" spans="1:23" x14ac:dyDescent="0.2">
      <c r="A116">
        <v>1993</v>
      </c>
      <c r="B116" t="s">
        <v>5394</v>
      </c>
      <c r="C116" t="s">
        <v>5395</v>
      </c>
      <c r="D116" s="1" t="s">
        <v>1046</v>
      </c>
      <c r="E116" t="s">
        <v>5396</v>
      </c>
      <c r="F116" t="s">
        <v>424</v>
      </c>
      <c r="G116" s="4" t="s">
        <v>5427</v>
      </c>
      <c r="H116" t="s">
        <v>632</v>
      </c>
      <c r="I116" t="s">
        <v>112</v>
      </c>
      <c r="J116" s="4" t="s">
        <v>5417</v>
      </c>
      <c r="K116" t="s">
        <v>3207</v>
      </c>
      <c r="L116">
        <v>2</v>
      </c>
      <c r="M116" t="s">
        <v>1050</v>
      </c>
      <c r="N116" t="s">
        <v>581</v>
      </c>
      <c r="O116" t="s">
        <v>1050</v>
      </c>
      <c r="P116" s="2" t="str">
        <f t="shared" si="3"/>
        <v>04/02/2025 to 07/02/2025</v>
      </c>
      <c r="Q116" s="3">
        <v>45694</v>
      </c>
      <c r="R116" t="str">
        <f t="shared" si="4"/>
        <v>On-Time</v>
      </c>
      <c r="S116" t="s">
        <v>124</v>
      </c>
      <c r="T116">
        <v>18.5</v>
      </c>
      <c r="U116" t="s">
        <v>65</v>
      </c>
      <c r="V116" t="s">
        <v>72</v>
      </c>
      <c r="W116" t="str">
        <f t="shared" ca="1" si="5"/>
        <v>Inactive</v>
      </c>
    </row>
    <row r="117" spans="1:23" x14ac:dyDescent="0.2">
      <c r="A117">
        <v>105</v>
      </c>
      <c r="B117" t="s">
        <v>575</v>
      </c>
      <c r="C117" t="s">
        <v>576</v>
      </c>
      <c r="D117" s="1" t="s">
        <v>577</v>
      </c>
      <c r="E117" t="s">
        <v>578</v>
      </c>
      <c r="F117" t="s">
        <v>579</v>
      </c>
      <c r="G117" s="4" t="s">
        <v>5424</v>
      </c>
      <c r="H117" t="s">
        <v>580</v>
      </c>
      <c r="I117" t="s">
        <v>93</v>
      </c>
      <c r="J117" s="4" t="s">
        <v>60</v>
      </c>
      <c r="K117" t="s">
        <v>194</v>
      </c>
      <c r="L117">
        <v>2</v>
      </c>
      <c r="M117" t="s">
        <v>581</v>
      </c>
      <c r="N117" t="s">
        <v>582</v>
      </c>
      <c r="O117" t="s">
        <v>583</v>
      </c>
      <c r="P117" s="2" t="str">
        <f t="shared" si="3"/>
        <v>05/02/2025 to 10/02/2025</v>
      </c>
      <c r="Q117" s="3">
        <v>45693</v>
      </c>
      <c r="R117" t="str">
        <f t="shared" si="4"/>
        <v>On-Time</v>
      </c>
      <c r="S117" t="s">
        <v>128</v>
      </c>
      <c r="T117">
        <v>20.5</v>
      </c>
      <c r="U117" t="s">
        <v>65</v>
      </c>
      <c r="V117" t="s">
        <v>66</v>
      </c>
      <c r="W117" t="str">
        <f t="shared" ca="1" si="5"/>
        <v>Inactive</v>
      </c>
    </row>
    <row r="118" spans="1:23" x14ac:dyDescent="0.2">
      <c r="A118">
        <v>106</v>
      </c>
      <c r="B118" t="s">
        <v>575</v>
      </c>
      <c r="C118" t="s">
        <v>585</v>
      </c>
      <c r="D118" s="1" t="s">
        <v>577</v>
      </c>
      <c r="E118" t="s">
        <v>578</v>
      </c>
      <c r="F118" t="s">
        <v>579</v>
      </c>
      <c r="G118" s="4" t="s">
        <v>5419</v>
      </c>
      <c r="H118" t="s">
        <v>580</v>
      </c>
      <c r="I118" t="s">
        <v>93</v>
      </c>
      <c r="J118" s="4" t="s">
        <v>5417</v>
      </c>
      <c r="K118" t="s">
        <v>586</v>
      </c>
      <c r="L118">
        <v>3</v>
      </c>
      <c r="M118" t="s">
        <v>577</v>
      </c>
      <c r="N118" t="s">
        <v>582</v>
      </c>
      <c r="O118" t="s">
        <v>581</v>
      </c>
      <c r="P118" s="2" t="str">
        <f t="shared" si="3"/>
        <v>04/02/2025 to 07/02/2025</v>
      </c>
      <c r="Q118" s="3">
        <v>45692</v>
      </c>
      <c r="R118" t="str">
        <f t="shared" si="4"/>
        <v>On-Time</v>
      </c>
      <c r="S118" t="s">
        <v>124</v>
      </c>
      <c r="T118">
        <v>29.5</v>
      </c>
      <c r="U118" t="s">
        <v>65</v>
      </c>
      <c r="V118" t="s">
        <v>66</v>
      </c>
      <c r="W118" t="str">
        <f t="shared" ca="1" si="5"/>
        <v>Inactive</v>
      </c>
    </row>
    <row r="119" spans="1:23" x14ac:dyDescent="0.2">
      <c r="A119">
        <v>936</v>
      </c>
      <c r="B119" t="s">
        <v>2906</v>
      </c>
      <c r="C119" t="s">
        <v>2907</v>
      </c>
      <c r="D119" s="1" t="s">
        <v>577</v>
      </c>
      <c r="E119" t="s">
        <v>2908</v>
      </c>
      <c r="F119" t="s">
        <v>199</v>
      </c>
      <c r="G119" s="4" t="s">
        <v>5420</v>
      </c>
      <c r="H119" t="s">
        <v>2909</v>
      </c>
      <c r="I119" t="s">
        <v>93</v>
      </c>
      <c r="J119" s="4" t="s">
        <v>60</v>
      </c>
      <c r="K119" t="s">
        <v>2910</v>
      </c>
      <c r="L119">
        <v>2</v>
      </c>
      <c r="M119" t="s">
        <v>581</v>
      </c>
      <c r="N119" t="s">
        <v>583</v>
      </c>
      <c r="O119" t="s">
        <v>582</v>
      </c>
      <c r="P119" s="2" t="str">
        <f t="shared" si="3"/>
        <v>05/02/2025 to 10/02/2025</v>
      </c>
      <c r="Q119" s="3">
        <v>45697</v>
      </c>
      <c r="R119" t="str">
        <f t="shared" si="4"/>
        <v>On-Time</v>
      </c>
      <c r="S119" t="s">
        <v>780</v>
      </c>
      <c r="T119">
        <v>22</v>
      </c>
      <c r="U119" t="s">
        <v>79</v>
      </c>
      <c r="V119" t="s">
        <v>66</v>
      </c>
      <c r="W119" t="str">
        <f t="shared" ca="1" si="5"/>
        <v>Inactive</v>
      </c>
    </row>
    <row r="120" spans="1:23" x14ac:dyDescent="0.2">
      <c r="A120">
        <v>937</v>
      </c>
      <c r="B120" t="s">
        <v>2906</v>
      </c>
      <c r="C120" t="s">
        <v>2911</v>
      </c>
      <c r="D120" s="1" t="s">
        <v>577</v>
      </c>
      <c r="E120" t="s">
        <v>2908</v>
      </c>
      <c r="F120" t="s">
        <v>199</v>
      </c>
      <c r="G120" s="4" t="s">
        <v>5419</v>
      </c>
      <c r="H120" t="s">
        <v>2909</v>
      </c>
      <c r="I120" t="s">
        <v>93</v>
      </c>
      <c r="J120" s="4" t="s">
        <v>74</v>
      </c>
      <c r="K120" t="s">
        <v>2912</v>
      </c>
      <c r="L120">
        <v>4</v>
      </c>
      <c r="M120" t="s">
        <v>577</v>
      </c>
      <c r="N120" t="s">
        <v>582</v>
      </c>
      <c r="O120" t="s">
        <v>581</v>
      </c>
      <c r="P120" s="2" t="str">
        <f t="shared" si="3"/>
        <v>04/02/2025 to 07/02/2025</v>
      </c>
      <c r="Q120" s="3">
        <v>45695</v>
      </c>
      <c r="R120" t="str">
        <f t="shared" si="4"/>
        <v>On-Time</v>
      </c>
      <c r="S120" t="s">
        <v>128</v>
      </c>
      <c r="T120">
        <v>39.5</v>
      </c>
      <c r="U120" t="s">
        <v>79</v>
      </c>
      <c r="V120" t="s">
        <v>66</v>
      </c>
      <c r="W120" t="str">
        <f t="shared" ca="1" si="5"/>
        <v>Inactive</v>
      </c>
    </row>
    <row r="121" spans="1:23" x14ac:dyDescent="0.2">
      <c r="A121">
        <v>938</v>
      </c>
      <c r="B121" t="s">
        <v>2906</v>
      </c>
      <c r="C121" t="s">
        <v>2913</v>
      </c>
      <c r="D121" s="1" t="s">
        <v>577</v>
      </c>
      <c r="E121" t="s">
        <v>2908</v>
      </c>
      <c r="F121" t="s">
        <v>199</v>
      </c>
      <c r="G121" s="4" t="s">
        <v>5423</v>
      </c>
      <c r="H121" t="s">
        <v>2909</v>
      </c>
      <c r="I121" t="s">
        <v>93</v>
      </c>
      <c r="J121" s="4" t="s">
        <v>5417</v>
      </c>
      <c r="K121" t="s">
        <v>2914</v>
      </c>
      <c r="L121">
        <v>4</v>
      </c>
      <c r="M121" t="s">
        <v>581</v>
      </c>
      <c r="N121" t="s">
        <v>581</v>
      </c>
      <c r="O121" t="s">
        <v>581</v>
      </c>
      <c r="P121" s="2" t="str">
        <f t="shared" si="3"/>
        <v>05/02/2025 to 10/02/2025</v>
      </c>
      <c r="Q121" s="3">
        <v>45691</v>
      </c>
      <c r="R121" t="str">
        <f t="shared" si="4"/>
        <v>Late</v>
      </c>
      <c r="S121" t="s">
        <v>119</v>
      </c>
      <c r="T121">
        <v>40.5</v>
      </c>
      <c r="U121" t="s">
        <v>65</v>
      </c>
      <c r="V121" t="s">
        <v>80</v>
      </c>
      <c r="W121" t="str">
        <f t="shared" ca="1" si="5"/>
        <v>Inactive</v>
      </c>
    </row>
    <row r="122" spans="1:23" x14ac:dyDescent="0.2">
      <c r="A122">
        <v>939</v>
      </c>
      <c r="B122" t="s">
        <v>2906</v>
      </c>
      <c r="C122" t="s">
        <v>2915</v>
      </c>
      <c r="D122" s="1" t="s">
        <v>577</v>
      </c>
      <c r="E122" t="s">
        <v>2908</v>
      </c>
      <c r="F122" t="s">
        <v>199</v>
      </c>
      <c r="G122" s="4" t="s">
        <v>5426</v>
      </c>
      <c r="H122" t="s">
        <v>2909</v>
      </c>
      <c r="I122" t="s">
        <v>93</v>
      </c>
      <c r="J122" s="4" t="s">
        <v>60</v>
      </c>
      <c r="K122" t="s">
        <v>2916</v>
      </c>
      <c r="L122">
        <v>3</v>
      </c>
      <c r="M122" t="s">
        <v>581</v>
      </c>
      <c r="N122" t="s">
        <v>582</v>
      </c>
      <c r="O122" t="s">
        <v>583</v>
      </c>
      <c r="P122" s="2" t="str">
        <f t="shared" si="3"/>
        <v>05/02/2025 to 10/02/2025</v>
      </c>
      <c r="Q122" s="3">
        <v>45697</v>
      </c>
      <c r="R122" t="str">
        <f t="shared" si="4"/>
        <v>On-Time</v>
      </c>
      <c r="S122" t="s">
        <v>780</v>
      </c>
      <c r="T122">
        <v>24.5</v>
      </c>
      <c r="U122" t="s">
        <v>65</v>
      </c>
      <c r="V122" t="s">
        <v>66</v>
      </c>
      <c r="W122" t="str">
        <f t="shared" ca="1" si="5"/>
        <v>Inactive</v>
      </c>
    </row>
    <row r="123" spans="1:23" x14ac:dyDescent="0.2">
      <c r="A123">
        <v>940</v>
      </c>
      <c r="B123" t="s">
        <v>2906</v>
      </c>
      <c r="C123" t="s">
        <v>2917</v>
      </c>
      <c r="D123" s="1" t="s">
        <v>577</v>
      </c>
      <c r="E123" t="s">
        <v>2908</v>
      </c>
      <c r="F123" t="s">
        <v>199</v>
      </c>
      <c r="G123" s="4" t="s">
        <v>5424</v>
      </c>
      <c r="H123" t="s">
        <v>2909</v>
      </c>
      <c r="I123" t="s">
        <v>93</v>
      </c>
      <c r="J123" s="4" t="s">
        <v>5417</v>
      </c>
      <c r="K123" t="s">
        <v>2918</v>
      </c>
      <c r="L123">
        <v>4</v>
      </c>
      <c r="M123" t="s">
        <v>577</v>
      </c>
      <c r="N123" t="s">
        <v>582</v>
      </c>
      <c r="O123" t="s">
        <v>582</v>
      </c>
      <c r="P123" s="2" t="str">
        <f t="shared" si="3"/>
        <v>04/02/2025 to 07/02/2025</v>
      </c>
      <c r="Q123" s="3">
        <v>45694</v>
      </c>
      <c r="R123" t="str">
        <f t="shared" si="4"/>
        <v>On-Time</v>
      </c>
      <c r="S123" t="s">
        <v>124</v>
      </c>
      <c r="T123">
        <v>38</v>
      </c>
      <c r="U123" t="s">
        <v>65</v>
      </c>
      <c r="V123" t="s">
        <v>80</v>
      </c>
      <c r="W123" t="str">
        <f t="shared" ca="1" si="5"/>
        <v>Inactive</v>
      </c>
    </row>
    <row r="124" spans="1:23" x14ac:dyDescent="0.2">
      <c r="A124">
        <v>1633</v>
      </c>
      <c r="B124" t="s">
        <v>4587</v>
      </c>
      <c r="C124" t="s">
        <v>4588</v>
      </c>
      <c r="D124" s="1" t="s">
        <v>577</v>
      </c>
      <c r="E124" t="s">
        <v>4589</v>
      </c>
      <c r="F124" t="s">
        <v>546</v>
      </c>
      <c r="G124" s="4" t="s">
        <v>5425</v>
      </c>
      <c r="H124" t="s">
        <v>4438</v>
      </c>
      <c r="I124" t="s">
        <v>136</v>
      </c>
      <c r="J124" s="4" t="s">
        <v>5417</v>
      </c>
      <c r="K124" t="s">
        <v>10</v>
      </c>
      <c r="L124">
        <v>1</v>
      </c>
      <c r="M124" t="s">
        <v>582</v>
      </c>
      <c r="N124" t="s">
        <v>583</v>
      </c>
      <c r="O124" t="s">
        <v>583</v>
      </c>
      <c r="P124" s="2" t="str">
        <f t="shared" si="3"/>
        <v>06/02/2025 to 11/02/2025</v>
      </c>
      <c r="Q124" s="3">
        <v>45694</v>
      </c>
      <c r="R124" t="str">
        <f t="shared" si="4"/>
        <v>On-Time</v>
      </c>
      <c r="S124" t="s">
        <v>128</v>
      </c>
      <c r="T124">
        <v>10</v>
      </c>
      <c r="U124" t="s">
        <v>65</v>
      </c>
      <c r="V124" t="s">
        <v>72</v>
      </c>
      <c r="W124" t="str">
        <f t="shared" ca="1" si="5"/>
        <v>Inactive</v>
      </c>
    </row>
    <row r="125" spans="1:23" x14ac:dyDescent="0.2">
      <c r="A125">
        <v>1634</v>
      </c>
      <c r="B125" t="s">
        <v>4587</v>
      </c>
      <c r="C125" t="s">
        <v>4590</v>
      </c>
      <c r="D125" s="1" t="s">
        <v>577</v>
      </c>
      <c r="E125" t="s">
        <v>4589</v>
      </c>
      <c r="F125" t="s">
        <v>546</v>
      </c>
      <c r="G125" s="4" t="s">
        <v>5422</v>
      </c>
      <c r="H125" t="s">
        <v>4438</v>
      </c>
      <c r="I125" t="s">
        <v>136</v>
      </c>
      <c r="J125" s="4" t="s">
        <v>68</v>
      </c>
      <c r="K125" t="s">
        <v>3648</v>
      </c>
      <c r="L125">
        <v>2</v>
      </c>
      <c r="M125" t="s">
        <v>582</v>
      </c>
      <c r="N125" t="s">
        <v>779</v>
      </c>
      <c r="O125" t="s">
        <v>583</v>
      </c>
      <c r="P125" s="2" t="str">
        <f t="shared" si="3"/>
        <v>06/02/2025 to 11/02/2025</v>
      </c>
      <c r="Q125" s="3">
        <v>45698</v>
      </c>
      <c r="R125" t="str">
        <f t="shared" si="4"/>
        <v>On-Time</v>
      </c>
      <c r="S125" t="s">
        <v>782</v>
      </c>
      <c r="T125">
        <v>17.5</v>
      </c>
      <c r="U125" t="s">
        <v>65</v>
      </c>
      <c r="V125" t="s">
        <v>80</v>
      </c>
      <c r="W125" t="str">
        <f t="shared" ca="1" si="5"/>
        <v>Inactive</v>
      </c>
    </row>
    <row r="126" spans="1:23" x14ac:dyDescent="0.2">
      <c r="A126">
        <v>1635</v>
      </c>
      <c r="B126" t="s">
        <v>4587</v>
      </c>
      <c r="C126" t="s">
        <v>4591</v>
      </c>
      <c r="D126" s="1" t="s">
        <v>577</v>
      </c>
      <c r="E126" t="s">
        <v>4589</v>
      </c>
      <c r="F126" t="s">
        <v>546</v>
      </c>
      <c r="G126" s="4" t="s">
        <v>5424</v>
      </c>
      <c r="H126" t="s">
        <v>4438</v>
      </c>
      <c r="I126" t="s">
        <v>136</v>
      </c>
      <c r="J126" s="4" t="s">
        <v>60</v>
      </c>
      <c r="K126" t="s">
        <v>8</v>
      </c>
      <c r="L126">
        <v>1</v>
      </c>
      <c r="M126" t="s">
        <v>581</v>
      </c>
      <c r="N126" t="s">
        <v>581</v>
      </c>
      <c r="O126" t="s">
        <v>581</v>
      </c>
      <c r="P126" s="2" t="str">
        <f t="shared" si="3"/>
        <v>05/02/2025 to 10/02/2025</v>
      </c>
      <c r="Q126" s="3">
        <v>45696</v>
      </c>
      <c r="R126" t="str">
        <f t="shared" si="4"/>
        <v>On-Time</v>
      </c>
      <c r="S126" t="s">
        <v>529</v>
      </c>
      <c r="T126">
        <v>9</v>
      </c>
      <c r="U126" t="s">
        <v>65</v>
      </c>
      <c r="V126" t="s">
        <v>66</v>
      </c>
      <c r="W126" t="str">
        <f t="shared" ca="1" si="5"/>
        <v>Inactive</v>
      </c>
    </row>
    <row r="127" spans="1:23" x14ac:dyDescent="0.2">
      <c r="A127">
        <v>1636</v>
      </c>
      <c r="B127" t="s">
        <v>4587</v>
      </c>
      <c r="C127" t="s">
        <v>4592</v>
      </c>
      <c r="D127" s="1" t="s">
        <v>577</v>
      </c>
      <c r="E127" t="s">
        <v>4589</v>
      </c>
      <c r="F127" t="s">
        <v>546</v>
      </c>
      <c r="G127" s="4" t="s">
        <v>5420</v>
      </c>
      <c r="H127" t="s">
        <v>4438</v>
      </c>
      <c r="I127" t="s">
        <v>136</v>
      </c>
      <c r="J127" s="4" t="s">
        <v>74</v>
      </c>
      <c r="K127" t="s">
        <v>4593</v>
      </c>
      <c r="L127">
        <v>3</v>
      </c>
      <c r="M127" t="s">
        <v>577</v>
      </c>
      <c r="N127" t="s">
        <v>581</v>
      </c>
      <c r="O127" t="s">
        <v>581</v>
      </c>
      <c r="P127" s="2" t="str">
        <f t="shared" si="3"/>
        <v>04/02/2025 to 07/02/2025</v>
      </c>
      <c r="Q127" s="3">
        <v>45693</v>
      </c>
      <c r="R127" t="str">
        <f t="shared" si="4"/>
        <v>On-Time</v>
      </c>
      <c r="S127" t="s">
        <v>584</v>
      </c>
      <c r="T127">
        <v>26</v>
      </c>
      <c r="U127" t="s">
        <v>65</v>
      </c>
      <c r="V127" t="s">
        <v>66</v>
      </c>
      <c r="W127" t="str">
        <f t="shared" ca="1" si="5"/>
        <v>Inactive</v>
      </c>
    </row>
    <row r="128" spans="1:23" x14ac:dyDescent="0.2">
      <c r="A128">
        <v>1637</v>
      </c>
      <c r="B128" t="s">
        <v>4587</v>
      </c>
      <c r="C128" t="s">
        <v>4594</v>
      </c>
      <c r="D128" s="1" t="s">
        <v>577</v>
      </c>
      <c r="E128" t="s">
        <v>4589</v>
      </c>
      <c r="F128" t="s">
        <v>546</v>
      </c>
      <c r="G128" s="4" t="s">
        <v>5424</v>
      </c>
      <c r="H128" t="s">
        <v>4438</v>
      </c>
      <c r="I128" t="s">
        <v>136</v>
      </c>
      <c r="J128" s="4" t="s">
        <v>5417</v>
      </c>
      <c r="K128" t="s">
        <v>4595</v>
      </c>
      <c r="L128">
        <v>3</v>
      </c>
      <c r="M128" t="s">
        <v>582</v>
      </c>
      <c r="N128" t="s">
        <v>582</v>
      </c>
      <c r="O128" t="s">
        <v>779</v>
      </c>
      <c r="P128" s="2" t="str">
        <f t="shared" si="3"/>
        <v>06/02/2025 to 11/02/2025</v>
      </c>
      <c r="Q128" s="3">
        <v>45696</v>
      </c>
      <c r="R128" t="str">
        <f t="shared" si="4"/>
        <v>On-Time</v>
      </c>
      <c r="S128" t="s">
        <v>780</v>
      </c>
      <c r="T128">
        <v>33.5</v>
      </c>
      <c r="U128" t="s">
        <v>79</v>
      </c>
      <c r="V128" t="s">
        <v>72</v>
      </c>
      <c r="W128" t="str">
        <f t="shared" ca="1" si="5"/>
        <v>Inactive</v>
      </c>
    </row>
    <row r="129" spans="1:23" x14ac:dyDescent="0.2">
      <c r="A129">
        <v>244</v>
      </c>
      <c r="B129" t="s">
        <v>1086</v>
      </c>
      <c r="C129" t="s">
        <v>1087</v>
      </c>
      <c r="D129" s="1" t="s">
        <v>582</v>
      </c>
      <c r="E129" t="s">
        <v>1088</v>
      </c>
      <c r="F129" t="s">
        <v>57</v>
      </c>
      <c r="G129" s="4" t="s">
        <v>5421</v>
      </c>
      <c r="H129" t="s">
        <v>1089</v>
      </c>
      <c r="I129" t="s">
        <v>112</v>
      </c>
      <c r="J129" s="4" t="s">
        <v>5417</v>
      </c>
      <c r="K129" t="s">
        <v>1090</v>
      </c>
      <c r="L129">
        <v>2</v>
      </c>
      <c r="M129" t="s">
        <v>583</v>
      </c>
      <c r="N129" t="s">
        <v>459</v>
      </c>
      <c r="O129" t="s">
        <v>779</v>
      </c>
      <c r="P129" s="2" t="str">
        <f t="shared" si="3"/>
        <v>07/02/2025 to 12/02/2025</v>
      </c>
      <c r="Q129" s="3">
        <v>45694</v>
      </c>
      <c r="R129" t="str">
        <f t="shared" si="4"/>
        <v>Late</v>
      </c>
      <c r="S129" t="s">
        <v>128</v>
      </c>
      <c r="T129">
        <v>18</v>
      </c>
      <c r="U129" t="s">
        <v>79</v>
      </c>
      <c r="V129" t="s">
        <v>72</v>
      </c>
      <c r="W129" t="str">
        <f t="shared" ca="1" si="5"/>
        <v>Inactive</v>
      </c>
    </row>
    <row r="130" spans="1:23" x14ac:dyDescent="0.2">
      <c r="A130">
        <v>245</v>
      </c>
      <c r="B130" t="s">
        <v>1086</v>
      </c>
      <c r="C130" t="s">
        <v>1091</v>
      </c>
      <c r="D130" s="1" t="s">
        <v>582</v>
      </c>
      <c r="E130" t="s">
        <v>1088</v>
      </c>
      <c r="F130" t="s">
        <v>57</v>
      </c>
      <c r="G130" s="4" t="s">
        <v>5427</v>
      </c>
      <c r="H130" t="s">
        <v>1089</v>
      </c>
      <c r="I130" t="s">
        <v>112</v>
      </c>
      <c r="J130" s="4" t="s">
        <v>74</v>
      </c>
      <c r="K130" t="s">
        <v>1092</v>
      </c>
      <c r="L130">
        <v>2</v>
      </c>
      <c r="M130" t="s">
        <v>582</v>
      </c>
      <c r="N130" t="s">
        <v>582</v>
      </c>
      <c r="O130" t="s">
        <v>582</v>
      </c>
      <c r="P130" s="2" t="str">
        <f t="shared" ref="P130:P193" si="6">IF(ISBLANK(M130), "", TEXT(WORKDAY(M130, 7), "dd/mm/yyyy") &amp; " to " &amp; TEXT(WORKDAY(M130, 10), "dd/mm/yyyy"))</f>
        <v>06/02/2025 to 11/02/2025</v>
      </c>
      <c r="Q130" s="3">
        <v>45698</v>
      </c>
      <c r="R130" t="str">
        <f t="shared" ref="R130:R193" si="7">IF(Q130="","In Progress",
IF(AND(--Q130&gt;=DATEVALUE(LEFT(P130,10)),
       --Q130&lt;=DATEVALUE(TRIM(MID(P130,FIND("to",P130)+3,10)))),
   "On-Time","Late"))</f>
        <v>On-Time</v>
      </c>
      <c r="S130" t="s">
        <v>782</v>
      </c>
      <c r="T130">
        <v>18</v>
      </c>
      <c r="U130" t="s">
        <v>65</v>
      </c>
      <c r="V130" t="s">
        <v>72</v>
      </c>
      <c r="W130" t="str">
        <f t="shared" ca="1" si="5"/>
        <v>Inactive</v>
      </c>
    </row>
    <row r="131" spans="1:23" x14ac:dyDescent="0.2">
      <c r="A131">
        <v>246</v>
      </c>
      <c r="B131" t="s">
        <v>1086</v>
      </c>
      <c r="C131" t="s">
        <v>1093</v>
      </c>
      <c r="D131" s="1" t="s">
        <v>582</v>
      </c>
      <c r="E131" t="s">
        <v>1088</v>
      </c>
      <c r="F131" t="s">
        <v>57</v>
      </c>
      <c r="G131" s="4" t="s">
        <v>5428</v>
      </c>
      <c r="H131" t="s">
        <v>1089</v>
      </c>
      <c r="I131" t="s">
        <v>112</v>
      </c>
      <c r="J131" s="4" t="s">
        <v>60</v>
      </c>
      <c r="K131" t="s">
        <v>24</v>
      </c>
      <c r="L131">
        <v>1</v>
      </c>
      <c r="M131" t="s">
        <v>779</v>
      </c>
      <c r="N131" t="s">
        <v>779</v>
      </c>
      <c r="O131" t="s">
        <v>462</v>
      </c>
      <c r="P131" s="2" t="str">
        <f t="shared" si="6"/>
        <v>10/02/2025 to 13/02/2025</v>
      </c>
      <c r="Q131" s="3">
        <v>45696</v>
      </c>
      <c r="R131" t="str">
        <f t="shared" si="7"/>
        <v>Late</v>
      </c>
      <c r="S131" t="s">
        <v>782</v>
      </c>
      <c r="T131">
        <v>8</v>
      </c>
      <c r="U131" t="s">
        <v>65</v>
      </c>
      <c r="V131" t="s">
        <v>80</v>
      </c>
      <c r="W131" t="str">
        <f t="shared" ref="W131:W194" ca="1" si="8">IF(D131="","",
IF(TODAY()-D131&lt;=120,"Active",
IF(TODAY()-D131&lt;=210,"At Risk",
IF(TODAY()-D131&lt;=395,"Dormant",
IF(TODAY()-D131&lt;=730,"Inactive","Archived")))))</f>
        <v>Inactive</v>
      </c>
    </row>
    <row r="132" spans="1:23" x14ac:dyDescent="0.2">
      <c r="A132">
        <v>247</v>
      </c>
      <c r="B132" t="s">
        <v>1086</v>
      </c>
      <c r="C132" t="s">
        <v>1094</v>
      </c>
      <c r="D132" s="1" t="s">
        <v>582</v>
      </c>
      <c r="E132" t="s">
        <v>1088</v>
      </c>
      <c r="F132" t="s">
        <v>57</v>
      </c>
      <c r="G132" s="4" t="s">
        <v>5422</v>
      </c>
      <c r="H132" t="s">
        <v>1089</v>
      </c>
      <c r="I132" t="s">
        <v>112</v>
      </c>
      <c r="J132" s="4" t="s">
        <v>5417</v>
      </c>
      <c r="K132" t="s">
        <v>1095</v>
      </c>
      <c r="L132">
        <v>3</v>
      </c>
      <c r="M132" t="s">
        <v>779</v>
      </c>
      <c r="N132" t="s">
        <v>459</v>
      </c>
      <c r="O132" t="s">
        <v>779</v>
      </c>
      <c r="P132" s="2" t="str">
        <f t="shared" si="6"/>
        <v>10/02/2025 to 13/02/2025</v>
      </c>
      <c r="Q132" s="3">
        <v>45696</v>
      </c>
      <c r="R132" t="str">
        <f t="shared" si="7"/>
        <v>Late</v>
      </c>
      <c r="S132" t="s">
        <v>780</v>
      </c>
      <c r="T132">
        <v>27.5</v>
      </c>
      <c r="U132" t="s">
        <v>65</v>
      </c>
      <c r="V132" t="s">
        <v>66</v>
      </c>
      <c r="W132" t="str">
        <f t="shared" ca="1" si="8"/>
        <v>Inactive</v>
      </c>
    </row>
    <row r="133" spans="1:23" x14ac:dyDescent="0.2">
      <c r="A133">
        <v>248</v>
      </c>
      <c r="B133" t="s">
        <v>1086</v>
      </c>
      <c r="C133" t="s">
        <v>1096</v>
      </c>
      <c r="D133" s="1" t="s">
        <v>582</v>
      </c>
      <c r="E133" t="s">
        <v>1088</v>
      </c>
      <c r="F133" t="s">
        <v>57</v>
      </c>
      <c r="G133" s="4" t="s">
        <v>5427</v>
      </c>
      <c r="H133" t="s">
        <v>1089</v>
      </c>
      <c r="I133" t="s">
        <v>112</v>
      </c>
      <c r="J133" s="4" t="s">
        <v>5417</v>
      </c>
      <c r="K133" t="s">
        <v>24</v>
      </c>
      <c r="L133">
        <v>1</v>
      </c>
      <c r="M133" t="s">
        <v>779</v>
      </c>
      <c r="N133" t="s">
        <v>462</v>
      </c>
      <c r="O133" t="s">
        <v>459</v>
      </c>
      <c r="P133" s="2" t="str">
        <f t="shared" si="6"/>
        <v>10/02/2025 to 13/02/2025</v>
      </c>
      <c r="Q133" s="3">
        <v>45698</v>
      </c>
      <c r="R133" t="str">
        <f t="shared" si="7"/>
        <v>On-Time</v>
      </c>
      <c r="S133" t="s">
        <v>782</v>
      </c>
      <c r="T133">
        <v>8</v>
      </c>
      <c r="U133" t="s">
        <v>79</v>
      </c>
      <c r="V133" t="s">
        <v>66</v>
      </c>
      <c r="W133" t="str">
        <f t="shared" ca="1" si="8"/>
        <v>Inactive</v>
      </c>
    </row>
    <row r="134" spans="1:23" x14ac:dyDescent="0.2">
      <c r="A134">
        <v>584</v>
      </c>
      <c r="B134" t="s">
        <v>2042</v>
      </c>
      <c r="C134" t="s">
        <v>2043</v>
      </c>
      <c r="D134" s="1" t="s">
        <v>582</v>
      </c>
      <c r="E134" t="s">
        <v>2044</v>
      </c>
      <c r="F134" t="s">
        <v>286</v>
      </c>
      <c r="G134" s="4" t="s">
        <v>5427</v>
      </c>
      <c r="H134" t="s">
        <v>2045</v>
      </c>
      <c r="I134" t="s">
        <v>93</v>
      </c>
      <c r="J134" s="4" t="s">
        <v>74</v>
      </c>
      <c r="K134" t="s">
        <v>26</v>
      </c>
      <c r="L134">
        <v>1</v>
      </c>
      <c r="M134" t="s">
        <v>582</v>
      </c>
      <c r="N134" t="s">
        <v>583</v>
      </c>
      <c r="O134" t="s">
        <v>583</v>
      </c>
      <c r="P134" s="2" t="str">
        <f t="shared" si="6"/>
        <v>06/02/2025 to 11/02/2025</v>
      </c>
      <c r="Q134" s="3">
        <v>45697</v>
      </c>
      <c r="R134" t="str">
        <f t="shared" si="7"/>
        <v>On-Time</v>
      </c>
      <c r="S134" t="s">
        <v>780</v>
      </c>
      <c r="T134">
        <v>9</v>
      </c>
      <c r="U134" t="s">
        <v>65</v>
      </c>
      <c r="V134" t="s">
        <v>80</v>
      </c>
      <c r="W134" t="str">
        <f t="shared" ca="1" si="8"/>
        <v>Inactive</v>
      </c>
    </row>
    <row r="135" spans="1:23" x14ac:dyDescent="0.2">
      <c r="A135">
        <v>585</v>
      </c>
      <c r="B135" t="s">
        <v>2042</v>
      </c>
      <c r="C135" t="s">
        <v>2046</v>
      </c>
      <c r="D135" s="1" t="s">
        <v>582</v>
      </c>
      <c r="E135" t="s">
        <v>2044</v>
      </c>
      <c r="F135" t="s">
        <v>286</v>
      </c>
      <c r="G135" s="4" t="s">
        <v>5419</v>
      </c>
      <c r="H135" t="s">
        <v>2045</v>
      </c>
      <c r="I135" t="s">
        <v>93</v>
      </c>
      <c r="J135" s="4" t="s">
        <v>60</v>
      </c>
      <c r="K135" t="s">
        <v>2047</v>
      </c>
      <c r="L135">
        <v>4</v>
      </c>
      <c r="M135" t="s">
        <v>779</v>
      </c>
      <c r="N135" t="s">
        <v>462</v>
      </c>
      <c r="O135" t="s">
        <v>459</v>
      </c>
      <c r="P135" s="2" t="str">
        <f t="shared" si="6"/>
        <v>10/02/2025 to 13/02/2025</v>
      </c>
      <c r="Q135" s="3">
        <v>45698</v>
      </c>
      <c r="R135" t="str">
        <f t="shared" si="7"/>
        <v>On-Time</v>
      </c>
      <c r="S135" t="s">
        <v>783</v>
      </c>
      <c r="T135">
        <v>41</v>
      </c>
      <c r="U135" t="s">
        <v>65</v>
      </c>
      <c r="V135" t="s">
        <v>72</v>
      </c>
      <c r="W135" t="str">
        <f t="shared" ca="1" si="8"/>
        <v>Inactive</v>
      </c>
    </row>
    <row r="136" spans="1:23" x14ac:dyDescent="0.2">
      <c r="A136">
        <v>586</v>
      </c>
      <c r="B136" t="s">
        <v>2042</v>
      </c>
      <c r="C136" t="s">
        <v>2048</v>
      </c>
      <c r="D136" s="1" t="s">
        <v>582</v>
      </c>
      <c r="E136" t="s">
        <v>2044</v>
      </c>
      <c r="F136" t="s">
        <v>286</v>
      </c>
      <c r="G136" s="4" t="s">
        <v>5428</v>
      </c>
      <c r="H136" t="s">
        <v>2045</v>
      </c>
      <c r="I136" t="s">
        <v>93</v>
      </c>
      <c r="J136" s="4" t="s">
        <v>68</v>
      </c>
      <c r="K136" t="s">
        <v>20</v>
      </c>
      <c r="L136">
        <v>1</v>
      </c>
      <c r="M136" t="s">
        <v>583</v>
      </c>
      <c r="N136" t="s">
        <v>779</v>
      </c>
      <c r="O136" t="s">
        <v>459</v>
      </c>
      <c r="P136" s="2" t="str">
        <f t="shared" si="6"/>
        <v>07/02/2025 to 12/02/2025</v>
      </c>
      <c r="Q136" s="3">
        <v>45698</v>
      </c>
      <c r="R136" t="str">
        <f t="shared" si="7"/>
        <v>On-Time</v>
      </c>
      <c r="S136" t="s">
        <v>605</v>
      </c>
      <c r="T136">
        <v>10.5</v>
      </c>
      <c r="U136" t="s">
        <v>79</v>
      </c>
      <c r="V136" t="s">
        <v>80</v>
      </c>
      <c r="W136" t="str">
        <f t="shared" ca="1" si="8"/>
        <v>Inactive</v>
      </c>
    </row>
    <row r="137" spans="1:23" x14ac:dyDescent="0.2">
      <c r="A137">
        <v>587</v>
      </c>
      <c r="B137" t="s">
        <v>2042</v>
      </c>
      <c r="C137" t="s">
        <v>2049</v>
      </c>
      <c r="D137" s="1" t="s">
        <v>582</v>
      </c>
      <c r="E137" t="s">
        <v>2044</v>
      </c>
      <c r="F137" t="s">
        <v>286</v>
      </c>
      <c r="G137" s="4" t="s">
        <v>5419</v>
      </c>
      <c r="H137" t="s">
        <v>2045</v>
      </c>
      <c r="I137" t="s">
        <v>93</v>
      </c>
      <c r="J137" s="4" t="s">
        <v>5417</v>
      </c>
      <c r="K137" t="s">
        <v>2050</v>
      </c>
      <c r="L137">
        <v>3</v>
      </c>
      <c r="M137" t="s">
        <v>779</v>
      </c>
      <c r="N137" t="s">
        <v>779</v>
      </c>
      <c r="O137" t="s">
        <v>459</v>
      </c>
      <c r="P137" s="2" t="str">
        <f t="shared" si="6"/>
        <v>10/02/2025 to 13/02/2025</v>
      </c>
      <c r="Q137" s="3">
        <v>45700</v>
      </c>
      <c r="R137" t="str">
        <f t="shared" si="7"/>
        <v>On-Time</v>
      </c>
      <c r="S137" t="s">
        <v>125</v>
      </c>
      <c r="T137">
        <v>26</v>
      </c>
      <c r="U137" t="s">
        <v>79</v>
      </c>
      <c r="V137" t="s">
        <v>80</v>
      </c>
      <c r="W137" t="str">
        <f t="shared" ca="1" si="8"/>
        <v>Inactive</v>
      </c>
    </row>
    <row r="138" spans="1:23" x14ac:dyDescent="0.2">
      <c r="A138">
        <v>672</v>
      </c>
      <c r="B138" t="s">
        <v>2268</v>
      </c>
      <c r="C138" t="s">
        <v>2269</v>
      </c>
      <c r="D138" s="1" t="s">
        <v>582</v>
      </c>
      <c r="E138" t="s">
        <v>2270</v>
      </c>
      <c r="F138" t="s">
        <v>881</v>
      </c>
      <c r="G138" s="4" t="s">
        <v>5419</v>
      </c>
      <c r="H138" t="s">
        <v>2271</v>
      </c>
      <c r="I138" t="s">
        <v>59</v>
      </c>
      <c r="J138" s="4" t="s">
        <v>5417</v>
      </c>
      <c r="K138" t="s">
        <v>30</v>
      </c>
      <c r="L138">
        <v>1</v>
      </c>
      <c r="M138" t="s">
        <v>583</v>
      </c>
      <c r="N138" t="s">
        <v>779</v>
      </c>
      <c r="O138" t="s">
        <v>583</v>
      </c>
      <c r="P138" s="2" t="str">
        <f t="shared" si="6"/>
        <v>07/02/2025 to 12/02/2025</v>
      </c>
      <c r="Q138" s="3">
        <v>45694</v>
      </c>
      <c r="R138" t="str">
        <f t="shared" si="7"/>
        <v>Late</v>
      </c>
      <c r="S138" t="s">
        <v>124</v>
      </c>
      <c r="T138">
        <v>12</v>
      </c>
      <c r="U138" t="s">
        <v>79</v>
      </c>
      <c r="V138" t="s">
        <v>66</v>
      </c>
      <c r="W138" t="str">
        <f t="shared" ca="1" si="8"/>
        <v>Inactive</v>
      </c>
    </row>
    <row r="139" spans="1:23" x14ac:dyDescent="0.2">
      <c r="A139">
        <v>673</v>
      </c>
      <c r="B139" t="s">
        <v>2268</v>
      </c>
      <c r="C139" t="s">
        <v>2272</v>
      </c>
      <c r="D139" s="1" t="s">
        <v>582</v>
      </c>
      <c r="E139" t="s">
        <v>2270</v>
      </c>
      <c r="F139" t="s">
        <v>881</v>
      </c>
      <c r="G139" s="4" t="s">
        <v>5420</v>
      </c>
      <c r="H139" t="s">
        <v>2271</v>
      </c>
      <c r="I139" t="s">
        <v>59</v>
      </c>
      <c r="J139" s="4" t="s">
        <v>5417</v>
      </c>
      <c r="K139" t="s">
        <v>20</v>
      </c>
      <c r="L139">
        <v>1</v>
      </c>
      <c r="M139" t="s">
        <v>583</v>
      </c>
      <c r="N139" t="s">
        <v>583</v>
      </c>
      <c r="O139" t="s">
        <v>459</v>
      </c>
      <c r="P139" s="2" t="str">
        <f t="shared" si="6"/>
        <v>07/02/2025 to 12/02/2025</v>
      </c>
      <c r="Q139" s="3">
        <v>45699</v>
      </c>
      <c r="R139" t="str">
        <f t="shared" si="7"/>
        <v>On-Time</v>
      </c>
      <c r="S139" t="s">
        <v>605</v>
      </c>
      <c r="T139">
        <v>10.5</v>
      </c>
      <c r="U139" t="s">
        <v>79</v>
      </c>
      <c r="V139" t="s">
        <v>66</v>
      </c>
      <c r="W139" t="str">
        <f t="shared" ca="1" si="8"/>
        <v>Inactive</v>
      </c>
    </row>
    <row r="140" spans="1:23" x14ac:dyDescent="0.2">
      <c r="A140">
        <v>674</v>
      </c>
      <c r="B140" t="s">
        <v>2268</v>
      </c>
      <c r="C140" t="s">
        <v>2273</v>
      </c>
      <c r="D140" s="1" t="s">
        <v>582</v>
      </c>
      <c r="E140" t="s">
        <v>2270</v>
      </c>
      <c r="F140" t="s">
        <v>881</v>
      </c>
      <c r="G140" s="4" t="s">
        <v>5421</v>
      </c>
      <c r="H140" t="s">
        <v>2271</v>
      </c>
      <c r="I140" t="s">
        <v>59</v>
      </c>
      <c r="J140" s="4" t="s">
        <v>68</v>
      </c>
      <c r="K140" t="s">
        <v>2274</v>
      </c>
      <c r="L140">
        <v>3</v>
      </c>
      <c r="M140" t="s">
        <v>582</v>
      </c>
      <c r="N140" t="s">
        <v>582</v>
      </c>
      <c r="O140" t="s">
        <v>582</v>
      </c>
      <c r="P140" s="2" t="str">
        <f t="shared" si="6"/>
        <v>06/02/2025 to 11/02/2025</v>
      </c>
      <c r="Q140" s="3">
        <v>45692</v>
      </c>
      <c r="R140" t="str">
        <f t="shared" si="7"/>
        <v>Late</v>
      </c>
      <c r="S140" t="s">
        <v>584</v>
      </c>
      <c r="T140">
        <v>28.5</v>
      </c>
      <c r="U140" t="s">
        <v>65</v>
      </c>
      <c r="V140" t="s">
        <v>66</v>
      </c>
      <c r="W140" t="str">
        <f t="shared" ca="1" si="8"/>
        <v>Inactive</v>
      </c>
    </row>
    <row r="141" spans="1:23" x14ac:dyDescent="0.2">
      <c r="A141">
        <v>153</v>
      </c>
      <c r="B141" t="s">
        <v>775</v>
      </c>
      <c r="C141" t="s">
        <v>776</v>
      </c>
      <c r="D141" s="1" t="s">
        <v>583</v>
      </c>
      <c r="E141" t="s">
        <v>777</v>
      </c>
      <c r="F141" t="s">
        <v>110</v>
      </c>
      <c r="G141" s="4" t="s">
        <v>5428</v>
      </c>
      <c r="H141" t="s">
        <v>778</v>
      </c>
      <c r="I141" t="s">
        <v>93</v>
      </c>
      <c r="J141" s="4" t="s">
        <v>5417</v>
      </c>
      <c r="K141" t="s">
        <v>32</v>
      </c>
      <c r="L141">
        <v>1</v>
      </c>
      <c r="M141" t="s">
        <v>583</v>
      </c>
      <c r="N141" t="s">
        <v>779</v>
      </c>
      <c r="O141" t="s">
        <v>779</v>
      </c>
      <c r="P141" s="2" t="str">
        <f t="shared" si="6"/>
        <v>07/02/2025 to 12/02/2025</v>
      </c>
      <c r="Q141" s="3">
        <v>45697</v>
      </c>
      <c r="R141" t="str">
        <f t="shared" si="7"/>
        <v>On-Time</v>
      </c>
      <c r="S141" t="s">
        <v>780</v>
      </c>
      <c r="T141">
        <v>14</v>
      </c>
      <c r="U141" t="s">
        <v>79</v>
      </c>
      <c r="V141" t="s">
        <v>66</v>
      </c>
      <c r="W141" t="str">
        <f t="shared" ca="1" si="8"/>
        <v>Inactive</v>
      </c>
    </row>
    <row r="142" spans="1:23" x14ac:dyDescent="0.2">
      <c r="A142">
        <v>154</v>
      </c>
      <c r="B142" t="s">
        <v>775</v>
      </c>
      <c r="C142" t="s">
        <v>781</v>
      </c>
      <c r="D142" s="1" t="s">
        <v>583</v>
      </c>
      <c r="E142" t="s">
        <v>777</v>
      </c>
      <c r="F142" t="s">
        <v>110</v>
      </c>
      <c r="G142" s="4" t="s">
        <v>5418</v>
      </c>
      <c r="H142" t="s">
        <v>778</v>
      </c>
      <c r="I142" t="s">
        <v>93</v>
      </c>
      <c r="J142" s="4" t="s">
        <v>60</v>
      </c>
      <c r="K142" t="s">
        <v>32</v>
      </c>
      <c r="L142">
        <v>1</v>
      </c>
      <c r="M142" t="s">
        <v>779</v>
      </c>
      <c r="N142" t="s">
        <v>462</v>
      </c>
      <c r="O142" t="s">
        <v>459</v>
      </c>
      <c r="P142" s="2" t="str">
        <f t="shared" si="6"/>
        <v>10/02/2025 to 13/02/2025</v>
      </c>
      <c r="Q142" s="3">
        <v>45698</v>
      </c>
      <c r="R142" t="str">
        <f t="shared" si="7"/>
        <v>On-Time</v>
      </c>
      <c r="S142" t="s">
        <v>783</v>
      </c>
      <c r="T142">
        <v>14</v>
      </c>
      <c r="U142" t="s">
        <v>79</v>
      </c>
      <c r="V142" t="s">
        <v>66</v>
      </c>
      <c r="W142" t="str">
        <f t="shared" ca="1" si="8"/>
        <v>Inactive</v>
      </c>
    </row>
    <row r="143" spans="1:23" x14ac:dyDescent="0.2">
      <c r="A143">
        <v>1536</v>
      </c>
      <c r="B143" t="s">
        <v>4362</v>
      </c>
      <c r="C143" t="s">
        <v>4363</v>
      </c>
      <c r="D143" s="1" t="s">
        <v>779</v>
      </c>
      <c r="E143" t="s">
        <v>4364</v>
      </c>
      <c r="F143" t="s">
        <v>1217</v>
      </c>
      <c r="G143" s="4" t="s">
        <v>5419</v>
      </c>
      <c r="H143" t="s">
        <v>1101</v>
      </c>
      <c r="I143" t="s">
        <v>112</v>
      </c>
      <c r="J143" s="4" t="s">
        <v>60</v>
      </c>
      <c r="K143" t="s">
        <v>4365</v>
      </c>
      <c r="L143">
        <v>3</v>
      </c>
      <c r="M143" t="s">
        <v>779</v>
      </c>
      <c r="N143" t="s">
        <v>462</v>
      </c>
      <c r="O143" t="s">
        <v>459</v>
      </c>
      <c r="P143" s="2" t="str">
        <f t="shared" si="6"/>
        <v>10/02/2025 to 13/02/2025</v>
      </c>
      <c r="Q143" s="3">
        <v>45696</v>
      </c>
      <c r="R143" t="str">
        <f t="shared" si="7"/>
        <v>Late</v>
      </c>
      <c r="S143" t="s">
        <v>529</v>
      </c>
      <c r="T143">
        <v>26.5</v>
      </c>
      <c r="U143" t="s">
        <v>65</v>
      </c>
      <c r="V143" t="s">
        <v>66</v>
      </c>
      <c r="W143" t="str">
        <f t="shared" ca="1" si="8"/>
        <v>Inactive</v>
      </c>
    </row>
    <row r="144" spans="1:23" x14ac:dyDescent="0.2">
      <c r="A144">
        <v>1537</v>
      </c>
      <c r="B144" t="s">
        <v>4362</v>
      </c>
      <c r="C144" t="s">
        <v>4366</v>
      </c>
      <c r="D144" s="1" t="s">
        <v>779</v>
      </c>
      <c r="E144" t="s">
        <v>4364</v>
      </c>
      <c r="F144" t="s">
        <v>1217</v>
      </c>
      <c r="G144" s="4" t="s">
        <v>5423</v>
      </c>
      <c r="H144" t="s">
        <v>1101</v>
      </c>
      <c r="I144" t="s">
        <v>112</v>
      </c>
      <c r="J144" s="4" t="s">
        <v>5417</v>
      </c>
      <c r="K144" t="s">
        <v>18</v>
      </c>
      <c r="L144">
        <v>1</v>
      </c>
      <c r="M144" t="s">
        <v>459</v>
      </c>
      <c r="N144" t="s">
        <v>463</v>
      </c>
      <c r="O144" t="s">
        <v>462</v>
      </c>
      <c r="P144" s="2" t="str">
        <f t="shared" si="6"/>
        <v>11/02/2025 to 14/02/2025</v>
      </c>
      <c r="Q144" s="3">
        <v>45698</v>
      </c>
      <c r="R144" t="str">
        <f t="shared" si="7"/>
        <v>Late</v>
      </c>
      <c r="S144" t="s">
        <v>783</v>
      </c>
      <c r="T144">
        <v>8.5</v>
      </c>
      <c r="U144" t="s">
        <v>79</v>
      </c>
      <c r="V144" t="s">
        <v>72</v>
      </c>
      <c r="W144" t="str">
        <f t="shared" ca="1" si="8"/>
        <v>Inactive</v>
      </c>
    </row>
    <row r="145" spans="1:23" x14ac:dyDescent="0.2">
      <c r="A145">
        <v>1538</v>
      </c>
      <c r="B145" t="s">
        <v>4362</v>
      </c>
      <c r="C145" t="s">
        <v>4367</v>
      </c>
      <c r="D145" s="1" t="s">
        <v>779</v>
      </c>
      <c r="E145" t="s">
        <v>4364</v>
      </c>
      <c r="F145" t="s">
        <v>1217</v>
      </c>
      <c r="G145" s="4" t="s">
        <v>5424</v>
      </c>
      <c r="H145" t="s">
        <v>1101</v>
      </c>
      <c r="I145" t="s">
        <v>112</v>
      </c>
      <c r="J145" s="4" t="s">
        <v>60</v>
      </c>
      <c r="K145" t="s">
        <v>1356</v>
      </c>
      <c r="L145">
        <v>2</v>
      </c>
      <c r="M145" t="s">
        <v>779</v>
      </c>
      <c r="N145" t="s">
        <v>459</v>
      </c>
      <c r="O145" t="s">
        <v>779</v>
      </c>
      <c r="P145" s="2" t="str">
        <f t="shared" si="6"/>
        <v>10/02/2025 to 13/02/2025</v>
      </c>
      <c r="Q145" s="3">
        <v>45698</v>
      </c>
      <c r="R145" t="str">
        <f t="shared" si="7"/>
        <v>On-Time</v>
      </c>
      <c r="S145" t="s">
        <v>605</v>
      </c>
      <c r="T145">
        <v>18.5</v>
      </c>
      <c r="U145" t="s">
        <v>65</v>
      </c>
      <c r="V145" t="s">
        <v>80</v>
      </c>
      <c r="W145" t="str">
        <f t="shared" ca="1" si="8"/>
        <v>Inactive</v>
      </c>
    </row>
    <row r="146" spans="1:23" x14ac:dyDescent="0.2">
      <c r="A146">
        <v>1539</v>
      </c>
      <c r="B146" t="s">
        <v>4362</v>
      </c>
      <c r="C146" t="s">
        <v>4368</v>
      </c>
      <c r="D146" s="1" t="s">
        <v>779</v>
      </c>
      <c r="E146" t="s">
        <v>4364</v>
      </c>
      <c r="F146" t="s">
        <v>1217</v>
      </c>
      <c r="G146" s="4" t="s">
        <v>5420</v>
      </c>
      <c r="H146" t="s">
        <v>1101</v>
      </c>
      <c r="I146" t="s">
        <v>112</v>
      </c>
      <c r="J146" s="4" t="s">
        <v>5417</v>
      </c>
      <c r="K146" t="s">
        <v>16</v>
      </c>
      <c r="L146">
        <v>1</v>
      </c>
      <c r="M146" t="s">
        <v>459</v>
      </c>
      <c r="N146" t="s">
        <v>459</v>
      </c>
      <c r="O146" t="s">
        <v>462</v>
      </c>
      <c r="P146" s="2" t="str">
        <f t="shared" si="6"/>
        <v>11/02/2025 to 14/02/2025</v>
      </c>
      <c r="Q146" s="3">
        <v>45697</v>
      </c>
      <c r="R146" t="str">
        <f t="shared" si="7"/>
        <v>Late</v>
      </c>
      <c r="S146" t="s">
        <v>782</v>
      </c>
      <c r="T146">
        <v>11</v>
      </c>
      <c r="U146" t="s">
        <v>65</v>
      </c>
      <c r="V146" t="s">
        <v>72</v>
      </c>
      <c r="W146" t="str">
        <f t="shared" ca="1" si="8"/>
        <v>Inactive</v>
      </c>
    </row>
    <row r="147" spans="1:23" x14ac:dyDescent="0.2">
      <c r="A147">
        <v>1540</v>
      </c>
      <c r="B147" t="s">
        <v>4362</v>
      </c>
      <c r="C147" t="s">
        <v>4369</v>
      </c>
      <c r="D147" s="1" t="s">
        <v>779</v>
      </c>
      <c r="E147" t="s">
        <v>4364</v>
      </c>
      <c r="F147" t="s">
        <v>1217</v>
      </c>
      <c r="G147" s="4" t="s">
        <v>5425</v>
      </c>
      <c r="H147" t="s">
        <v>1101</v>
      </c>
      <c r="I147" t="s">
        <v>112</v>
      </c>
      <c r="J147" s="4" t="s">
        <v>74</v>
      </c>
      <c r="K147" t="s">
        <v>1709</v>
      </c>
      <c r="L147">
        <v>2</v>
      </c>
      <c r="M147" t="s">
        <v>462</v>
      </c>
      <c r="N147" t="s">
        <v>462</v>
      </c>
      <c r="O147" t="s">
        <v>463</v>
      </c>
      <c r="P147" s="2" t="str">
        <f t="shared" si="6"/>
        <v>11/02/2025 to 14/02/2025</v>
      </c>
      <c r="Q147" s="3">
        <v>45699</v>
      </c>
      <c r="R147" t="str">
        <f t="shared" si="7"/>
        <v>On-Time</v>
      </c>
      <c r="S147" t="s">
        <v>605</v>
      </c>
      <c r="T147">
        <v>22</v>
      </c>
      <c r="U147" t="s">
        <v>65</v>
      </c>
      <c r="V147" t="s">
        <v>72</v>
      </c>
      <c r="W147" t="str">
        <f t="shared" ca="1" si="8"/>
        <v>Inactive</v>
      </c>
    </row>
    <row r="148" spans="1:23" x14ac:dyDescent="0.2">
      <c r="A148">
        <v>82</v>
      </c>
      <c r="B148" t="s">
        <v>457</v>
      </c>
      <c r="C148" t="s">
        <v>458</v>
      </c>
      <c r="D148" s="1" t="s">
        <v>459</v>
      </c>
      <c r="E148" t="s">
        <v>460</v>
      </c>
      <c r="F148" t="s">
        <v>209</v>
      </c>
      <c r="G148" s="4" t="s">
        <v>5427</v>
      </c>
      <c r="H148" t="s">
        <v>461</v>
      </c>
      <c r="I148" t="s">
        <v>136</v>
      </c>
      <c r="J148" s="4" t="s">
        <v>74</v>
      </c>
      <c r="K148" t="s">
        <v>32</v>
      </c>
      <c r="L148">
        <v>1</v>
      </c>
      <c r="M148" t="s">
        <v>462</v>
      </c>
      <c r="N148" t="s">
        <v>463</v>
      </c>
      <c r="O148" t="s">
        <v>462</v>
      </c>
      <c r="P148" s="2" t="str">
        <f t="shared" si="6"/>
        <v>11/02/2025 to 14/02/2025</v>
      </c>
      <c r="Q148" s="3">
        <v>45702</v>
      </c>
      <c r="R148" t="str">
        <f t="shared" si="7"/>
        <v>On-Time</v>
      </c>
      <c r="S148" t="s">
        <v>464</v>
      </c>
      <c r="T148">
        <v>14</v>
      </c>
      <c r="U148" t="s">
        <v>65</v>
      </c>
      <c r="V148" t="s">
        <v>72</v>
      </c>
      <c r="W148" t="str">
        <f t="shared" ca="1" si="8"/>
        <v>Inactive</v>
      </c>
    </row>
    <row r="149" spans="1:23" x14ac:dyDescent="0.2">
      <c r="A149">
        <v>298</v>
      </c>
      <c r="B149" t="s">
        <v>1250</v>
      </c>
      <c r="C149" t="s">
        <v>1251</v>
      </c>
      <c r="D149" s="1" t="s">
        <v>459</v>
      </c>
      <c r="E149" t="s">
        <v>1252</v>
      </c>
      <c r="F149" t="s">
        <v>371</v>
      </c>
      <c r="G149" s="4" t="s">
        <v>5418</v>
      </c>
      <c r="H149" t="s">
        <v>1253</v>
      </c>
      <c r="I149" t="s">
        <v>201</v>
      </c>
      <c r="J149" s="4" t="s">
        <v>74</v>
      </c>
      <c r="K149" t="s">
        <v>20</v>
      </c>
      <c r="L149">
        <v>1</v>
      </c>
      <c r="M149" t="s">
        <v>459</v>
      </c>
      <c r="N149" t="s">
        <v>462</v>
      </c>
      <c r="O149" t="s">
        <v>463</v>
      </c>
      <c r="P149" s="2" t="str">
        <f t="shared" si="6"/>
        <v>11/02/2025 to 14/02/2025</v>
      </c>
      <c r="Q149" s="3">
        <v>45702</v>
      </c>
      <c r="R149" t="str">
        <f t="shared" si="7"/>
        <v>On-Time</v>
      </c>
      <c r="S149" t="s">
        <v>530</v>
      </c>
      <c r="T149">
        <v>10.5</v>
      </c>
      <c r="U149" t="s">
        <v>79</v>
      </c>
      <c r="V149" t="s">
        <v>72</v>
      </c>
      <c r="W149" t="str">
        <f t="shared" ca="1" si="8"/>
        <v>Inactive</v>
      </c>
    </row>
    <row r="150" spans="1:23" x14ac:dyDescent="0.2">
      <c r="A150">
        <v>299</v>
      </c>
      <c r="B150" t="s">
        <v>1250</v>
      </c>
      <c r="C150" t="s">
        <v>1254</v>
      </c>
      <c r="D150" s="1" t="s">
        <v>459</v>
      </c>
      <c r="E150" t="s">
        <v>1252</v>
      </c>
      <c r="F150" t="s">
        <v>371</v>
      </c>
      <c r="G150" s="4" t="s">
        <v>38</v>
      </c>
      <c r="H150" t="s">
        <v>1253</v>
      </c>
      <c r="I150" t="s">
        <v>201</v>
      </c>
      <c r="J150" s="4" t="s">
        <v>60</v>
      </c>
      <c r="K150" t="s">
        <v>1255</v>
      </c>
      <c r="L150">
        <v>2</v>
      </c>
      <c r="M150" t="s">
        <v>462</v>
      </c>
      <c r="N150" t="s">
        <v>462</v>
      </c>
      <c r="O150" t="s">
        <v>462</v>
      </c>
      <c r="P150" s="2" t="str">
        <f t="shared" si="6"/>
        <v>11/02/2025 to 14/02/2025</v>
      </c>
      <c r="Q150" s="3">
        <v>45697</v>
      </c>
      <c r="R150" t="str">
        <f t="shared" si="7"/>
        <v>Late</v>
      </c>
      <c r="S150" t="s">
        <v>782</v>
      </c>
      <c r="T150">
        <v>16.5</v>
      </c>
      <c r="U150" t="s">
        <v>65</v>
      </c>
      <c r="V150" t="s">
        <v>66</v>
      </c>
      <c r="W150" t="str">
        <f t="shared" ca="1" si="8"/>
        <v>Inactive</v>
      </c>
    </row>
    <row r="151" spans="1:23" x14ac:dyDescent="0.2">
      <c r="A151">
        <v>300</v>
      </c>
      <c r="B151" t="s">
        <v>1250</v>
      </c>
      <c r="C151" t="s">
        <v>1256</v>
      </c>
      <c r="D151" s="1" t="s">
        <v>459</v>
      </c>
      <c r="E151" t="s">
        <v>1252</v>
      </c>
      <c r="F151" t="s">
        <v>371</v>
      </c>
      <c r="G151" s="4" t="s">
        <v>5419</v>
      </c>
      <c r="H151" t="s">
        <v>1253</v>
      </c>
      <c r="I151" t="s">
        <v>201</v>
      </c>
      <c r="J151" s="4" t="s">
        <v>68</v>
      </c>
      <c r="K151" t="s">
        <v>14</v>
      </c>
      <c r="L151">
        <v>1</v>
      </c>
      <c r="M151" t="s">
        <v>463</v>
      </c>
      <c r="N151" t="s">
        <v>463</v>
      </c>
      <c r="O151" t="s">
        <v>119</v>
      </c>
      <c r="P151" s="2" t="str">
        <f t="shared" si="6"/>
        <v>11/02/2025 to 14/02/2025</v>
      </c>
      <c r="Q151" s="3">
        <v>45705</v>
      </c>
      <c r="R151" t="str">
        <f t="shared" si="7"/>
        <v>Late</v>
      </c>
      <c r="S151" t="s">
        <v>531</v>
      </c>
      <c r="T151">
        <v>9.5</v>
      </c>
      <c r="U151" t="s">
        <v>65</v>
      </c>
      <c r="V151" t="s">
        <v>80</v>
      </c>
      <c r="W151" t="str">
        <f t="shared" ca="1" si="8"/>
        <v>Inactive</v>
      </c>
    </row>
    <row r="152" spans="1:23" x14ac:dyDescent="0.2">
      <c r="A152">
        <v>301</v>
      </c>
      <c r="B152" t="s">
        <v>1250</v>
      </c>
      <c r="C152" t="s">
        <v>1257</v>
      </c>
      <c r="D152" s="1" t="s">
        <v>459</v>
      </c>
      <c r="E152" t="s">
        <v>1252</v>
      </c>
      <c r="F152" t="s">
        <v>371</v>
      </c>
      <c r="G152" s="4" t="s">
        <v>5424</v>
      </c>
      <c r="H152" t="s">
        <v>1253</v>
      </c>
      <c r="I152" t="s">
        <v>201</v>
      </c>
      <c r="J152" s="4" t="s">
        <v>5417</v>
      </c>
      <c r="K152" t="s">
        <v>1258</v>
      </c>
      <c r="L152">
        <v>2</v>
      </c>
      <c r="M152" t="s">
        <v>463</v>
      </c>
      <c r="N152" t="s">
        <v>463</v>
      </c>
      <c r="O152" t="s">
        <v>1259</v>
      </c>
      <c r="P152" s="2" t="str">
        <f t="shared" si="6"/>
        <v>11/02/2025 to 14/02/2025</v>
      </c>
      <c r="Q152" s="3">
        <v>45700</v>
      </c>
      <c r="R152" t="str">
        <f t="shared" si="7"/>
        <v>On-Time</v>
      </c>
      <c r="S152" t="s">
        <v>614</v>
      </c>
      <c r="T152">
        <v>19</v>
      </c>
      <c r="U152" t="s">
        <v>65</v>
      </c>
      <c r="V152" t="s">
        <v>66</v>
      </c>
      <c r="W152" t="str">
        <f t="shared" ca="1" si="8"/>
        <v>Inactive</v>
      </c>
    </row>
    <row r="153" spans="1:23" x14ac:dyDescent="0.2">
      <c r="A153">
        <v>537</v>
      </c>
      <c r="B153" t="s">
        <v>1917</v>
      </c>
      <c r="C153" t="s">
        <v>1918</v>
      </c>
      <c r="D153" s="1" t="s">
        <v>459</v>
      </c>
      <c r="E153" t="s">
        <v>1919</v>
      </c>
      <c r="F153" t="s">
        <v>1920</v>
      </c>
      <c r="G153" s="4" t="s">
        <v>5424</v>
      </c>
      <c r="H153" t="s">
        <v>1921</v>
      </c>
      <c r="I153" t="s">
        <v>112</v>
      </c>
      <c r="J153" s="4" t="s">
        <v>60</v>
      </c>
      <c r="K153" t="s">
        <v>1922</v>
      </c>
      <c r="L153">
        <v>4</v>
      </c>
      <c r="M153" t="s">
        <v>463</v>
      </c>
      <c r="N153" t="s">
        <v>463</v>
      </c>
      <c r="O153" t="s">
        <v>1259</v>
      </c>
      <c r="P153" s="2" t="str">
        <f t="shared" si="6"/>
        <v>11/02/2025 to 14/02/2025</v>
      </c>
      <c r="Q153" s="3">
        <v>45702</v>
      </c>
      <c r="R153" t="str">
        <f t="shared" si="7"/>
        <v>On-Time</v>
      </c>
      <c r="S153" t="s">
        <v>125</v>
      </c>
      <c r="T153">
        <v>37</v>
      </c>
      <c r="U153" t="s">
        <v>65</v>
      </c>
      <c r="V153" t="s">
        <v>66</v>
      </c>
      <c r="W153" t="str">
        <f t="shared" ca="1" si="8"/>
        <v>Inactive</v>
      </c>
    </row>
    <row r="154" spans="1:23" x14ac:dyDescent="0.2">
      <c r="A154">
        <v>538</v>
      </c>
      <c r="B154" t="s">
        <v>1917</v>
      </c>
      <c r="C154" t="s">
        <v>1923</v>
      </c>
      <c r="D154" s="1" t="s">
        <v>459</v>
      </c>
      <c r="E154" t="s">
        <v>1919</v>
      </c>
      <c r="F154" t="s">
        <v>1920</v>
      </c>
      <c r="G154" s="4" t="s">
        <v>5425</v>
      </c>
      <c r="H154" t="s">
        <v>1921</v>
      </c>
      <c r="I154" t="s">
        <v>112</v>
      </c>
      <c r="J154" s="4" t="s">
        <v>5417</v>
      </c>
      <c r="K154" t="s">
        <v>1924</v>
      </c>
      <c r="L154">
        <v>2</v>
      </c>
      <c r="M154" t="s">
        <v>459</v>
      </c>
      <c r="N154" t="s">
        <v>462</v>
      </c>
      <c r="O154" t="s">
        <v>459</v>
      </c>
      <c r="P154" s="2" t="str">
        <f t="shared" si="6"/>
        <v>11/02/2025 to 14/02/2025</v>
      </c>
      <c r="Q154" s="3">
        <v>45698</v>
      </c>
      <c r="R154" t="str">
        <f t="shared" si="7"/>
        <v>Late</v>
      </c>
      <c r="S154" t="s">
        <v>783</v>
      </c>
      <c r="T154">
        <v>23.5</v>
      </c>
      <c r="U154" t="s">
        <v>65</v>
      </c>
      <c r="V154" t="s">
        <v>72</v>
      </c>
      <c r="W154" t="str">
        <f t="shared" ca="1" si="8"/>
        <v>Inactive</v>
      </c>
    </row>
    <row r="155" spans="1:23" x14ac:dyDescent="0.2">
      <c r="A155">
        <v>539</v>
      </c>
      <c r="B155" t="s">
        <v>1917</v>
      </c>
      <c r="C155" t="s">
        <v>1925</v>
      </c>
      <c r="D155" s="1" t="s">
        <v>459</v>
      </c>
      <c r="E155" t="s">
        <v>1919</v>
      </c>
      <c r="F155" t="s">
        <v>1920</v>
      </c>
      <c r="G155" s="4" t="s">
        <v>5425</v>
      </c>
      <c r="H155" t="s">
        <v>1921</v>
      </c>
      <c r="I155" t="s">
        <v>112</v>
      </c>
      <c r="J155" s="4" t="s">
        <v>74</v>
      </c>
      <c r="K155" t="s">
        <v>1926</v>
      </c>
      <c r="L155">
        <v>2</v>
      </c>
      <c r="M155" t="s">
        <v>463</v>
      </c>
      <c r="N155" t="s">
        <v>119</v>
      </c>
      <c r="O155" t="s">
        <v>1259</v>
      </c>
      <c r="P155" s="2" t="str">
        <f t="shared" si="6"/>
        <v>11/02/2025 to 14/02/2025</v>
      </c>
      <c r="Q155" s="3">
        <v>45699</v>
      </c>
      <c r="R155" t="str">
        <f t="shared" si="7"/>
        <v>On-Time</v>
      </c>
      <c r="S155" t="s">
        <v>605</v>
      </c>
      <c r="T155">
        <v>17</v>
      </c>
      <c r="U155" t="s">
        <v>79</v>
      </c>
      <c r="V155" t="s">
        <v>80</v>
      </c>
      <c r="W155" t="str">
        <f t="shared" ca="1" si="8"/>
        <v>Inactive</v>
      </c>
    </row>
    <row r="156" spans="1:23" x14ac:dyDescent="0.2">
      <c r="A156">
        <v>540</v>
      </c>
      <c r="B156" t="s">
        <v>1917</v>
      </c>
      <c r="C156" t="s">
        <v>1927</v>
      </c>
      <c r="D156" s="1" t="s">
        <v>459</v>
      </c>
      <c r="E156" t="s">
        <v>1919</v>
      </c>
      <c r="F156" t="s">
        <v>1920</v>
      </c>
      <c r="G156" s="4" t="s">
        <v>5421</v>
      </c>
      <c r="H156" t="s">
        <v>1921</v>
      </c>
      <c r="I156" t="s">
        <v>112</v>
      </c>
      <c r="J156" s="4" t="s">
        <v>68</v>
      </c>
      <c r="K156" t="s">
        <v>1928</v>
      </c>
      <c r="L156">
        <v>4</v>
      </c>
      <c r="M156" t="s">
        <v>459</v>
      </c>
      <c r="N156" t="s">
        <v>459</v>
      </c>
      <c r="O156" t="s">
        <v>463</v>
      </c>
      <c r="P156" s="2" t="str">
        <f t="shared" si="6"/>
        <v>11/02/2025 to 14/02/2025</v>
      </c>
      <c r="Q156" s="3">
        <v>45699</v>
      </c>
      <c r="R156" t="str">
        <f t="shared" si="7"/>
        <v>On-Time</v>
      </c>
      <c r="S156" t="s">
        <v>614</v>
      </c>
      <c r="T156">
        <v>41</v>
      </c>
      <c r="U156" t="s">
        <v>79</v>
      </c>
      <c r="V156" t="s">
        <v>72</v>
      </c>
      <c r="W156" t="str">
        <f t="shared" ca="1" si="8"/>
        <v>Inactive</v>
      </c>
    </row>
    <row r="157" spans="1:23" x14ac:dyDescent="0.2">
      <c r="A157">
        <v>541</v>
      </c>
      <c r="B157" t="s">
        <v>1917</v>
      </c>
      <c r="C157" t="s">
        <v>1929</v>
      </c>
      <c r="D157" s="1" t="s">
        <v>459</v>
      </c>
      <c r="E157" t="s">
        <v>1919</v>
      </c>
      <c r="F157" t="s">
        <v>1920</v>
      </c>
      <c r="G157" s="4" t="s">
        <v>5424</v>
      </c>
      <c r="H157" t="s">
        <v>1921</v>
      </c>
      <c r="I157" t="s">
        <v>112</v>
      </c>
      <c r="J157" s="4" t="s">
        <v>74</v>
      </c>
      <c r="K157" t="s">
        <v>18</v>
      </c>
      <c r="L157">
        <v>1</v>
      </c>
      <c r="M157" t="s">
        <v>462</v>
      </c>
      <c r="N157" t="s">
        <v>462</v>
      </c>
      <c r="O157" t="s">
        <v>463</v>
      </c>
      <c r="P157" s="2" t="str">
        <f t="shared" si="6"/>
        <v>11/02/2025 to 14/02/2025</v>
      </c>
      <c r="Q157" s="3">
        <v>45702</v>
      </c>
      <c r="R157" t="str">
        <f t="shared" si="7"/>
        <v>On-Time</v>
      </c>
      <c r="S157" t="s">
        <v>464</v>
      </c>
      <c r="T157">
        <v>8.5</v>
      </c>
      <c r="U157" t="s">
        <v>79</v>
      </c>
      <c r="V157" t="s">
        <v>72</v>
      </c>
      <c r="W157" t="str">
        <f t="shared" ca="1" si="8"/>
        <v>Inactive</v>
      </c>
    </row>
    <row r="158" spans="1:23" x14ac:dyDescent="0.2">
      <c r="A158">
        <v>567</v>
      </c>
      <c r="B158" t="s">
        <v>1998</v>
      </c>
      <c r="C158" t="s">
        <v>1999</v>
      </c>
      <c r="D158" s="1" t="s">
        <v>462</v>
      </c>
      <c r="E158" t="s">
        <v>2000</v>
      </c>
      <c r="F158" t="s">
        <v>110</v>
      </c>
      <c r="G158" s="4" t="s">
        <v>5422</v>
      </c>
      <c r="H158" t="s">
        <v>2001</v>
      </c>
      <c r="I158" t="s">
        <v>112</v>
      </c>
      <c r="J158" s="4" t="s">
        <v>5417</v>
      </c>
      <c r="K158" t="s">
        <v>2002</v>
      </c>
      <c r="L158">
        <v>4</v>
      </c>
      <c r="M158" t="s">
        <v>1259</v>
      </c>
      <c r="N158" t="s">
        <v>119</v>
      </c>
      <c r="O158" t="s">
        <v>584</v>
      </c>
      <c r="P158" s="2" t="str">
        <f t="shared" si="6"/>
        <v>12/02/2025 to 17/02/2025</v>
      </c>
      <c r="Q158" s="3">
        <v>45705</v>
      </c>
      <c r="R158" t="str">
        <f t="shared" si="7"/>
        <v>On-Time</v>
      </c>
      <c r="S158" t="s">
        <v>1001</v>
      </c>
      <c r="T158">
        <v>39.5</v>
      </c>
      <c r="U158" t="s">
        <v>79</v>
      </c>
      <c r="V158" t="s">
        <v>66</v>
      </c>
      <c r="W158" t="str">
        <f t="shared" ca="1" si="8"/>
        <v>Inactive</v>
      </c>
    </row>
    <row r="159" spans="1:23" x14ac:dyDescent="0.2">
      <c r="A159">
        <v>1386</v>
      </c>
      <c r="B159" t="s">
        <v>3990</v>
      </c>
      <c r="C159" t="s">
        <v>3991</v>
      </c>
      <c r="D159" s="1" t="s">
        <v>463</v>
      </c>
      <c r="E159" t="s">
        <v>3992</v>
      </c>
      <c r="F159" t="s">
        <v>607</v>
      </c>
      <c r="G159" s="4" t="s">
        <v>5419</v>
      </c>
      <c r="H159" t="s">
        <v>3993</v>
      </c>
      <c r="I159" t="s">
        <v>136</v>
      </c>
      <c r="J159" s="4" t="s">
        <v>5417</v>
      </c>
      <c r="K159" t="s">
        <v>3994</v>
      </c>
      <c r="L159">
        <v>4</v>
      </c>
      <c r="M159" t="s">
        <v>119</v>
      </c>
      <c r="N159" t="s">
        <v>119</v>
      </c>
      <c r="O159" t="s">
        <v>124</v>
      </c>
      <c r="P159" s="2" t="str">
        <f t="shared" si="6"/>
        <v>13/02/2025 to 18/02/2025</v>
      </c>
      <c r="Q159" s="3">
        <v>45707</v>
      </c>
      <c r="R159" t="str">
        <f t="shared" si="7"/>
        <v>Late</v>
      </c>
      <c r="S159" t="s">
        <v>1005</v>
      </c>
      <c r="T159">
        <v>36.5</v>
      </c>
      <c r="U159" t="s">
        <v>65</v>
      </c>
      <c r="V159" t="s">
        <v>66</v>
      </c>
      <c r="W159" t="str">
        <f t="shared" ca="1" si="8"/>
        <v>Inactive</v>
      </c>
    </row>
    <row r="160" spans="1:23" x14ac:dyDescent="0.2">
      <c r="A160">
        <v>1387</v>
      </c>
      <c r="B160" t="s">
        <v>3990</v>
      </c>
      <c r="C160" t="s">
        <v>3995</v>
      </c>
      <c r="D160" s="1" t="s">
        <v>463</v>
      </c>
      <c r="E160" t="s">
        <v>3992</v>
      </c>
      <c r="F160" t="s">
        <v>607</v>
      </c>
      <c r="G160" s="4" t="s">
        <v>5420</v>
      </c>
      <c r="H160" t="s">
        <v>3993</v>
      </c>
      <c r="I160" t="s">
        <v>136</v>
      </c>
      <c r="J160" s="4" t="s">
        <v>68</v>
      </c>
      <c r="K160" t="s">
        <v>216</v>
      </c>
      <c r="L160">
        <v>2</v>
      </c>
      <c r="M160" t="s">
        <v>119</v>
      </c>
      <c r="N160" t="s">
        <v>584</v>
      </c>
      <c r="O160" t="s">
        <v>119</v>
      </c>
      <c r="P160" s="2" t="str">
        <f t="shared" si="6"/>
        <v>13/02/2025 to 18/02/2025</v>
      </c>
      <c r="Q160" s="3">
        <v>45704</v>
      </c>
      <c r="R160" t="str">
        <f t="shared" si="7"/>
        <v>On-Time</v>
      </c>
      <c r="S160" t="s">
        <v>531</v>
      </c>
      <c r="T160">
        <v>19</v>
      </c>
      <c r="U160" t="s">
        <v>79</v>
      </c>
      <c r="V160" t="s">
        <v>72</v>
      </c>
      <c r="W160" t="str">
        <f t="shared" ca="1" si="8"/>
        <v>Inactive</v>
      </c>
    </row>
    <row r="161" spans="1:23" x14ac:dyDescent="0.2">
      <c r="A161">
        <v>1388</v>
      </c>
      <c r="B161" t="s">
        <v>3990</v>
      </c>
      <c r="C161" t="s">
        <v>3996</v>
      </c>
      <c r="D161" s="1" t="s">
        <v>463</v>
      </c>
      <c r="E161" t="s">
        <v>3992</v>
      </c>
      <c r="F161" t="s">
        <v>607</v>
      </c>
      <c r="G161" s="4" t="s">
        <v>38</v>
      </c>
      <c r="H161" t="s">
        <v>3993</v>
      </c>
      <c r="I161" t="s">
        <v>136</v>
      </c>
      <c r="J161" s="4" t="s">
        <v>68</v>
      </c>
      <c r="K161" t="s">
        <v>3997</v>
      </c>
      <c r="L161">
        <v>4</v>
      </c>
      <c r="M161" t="s">
        <v>119</v>
      </c>
      <c r="N161" t="s">
        <v>119</v>
      </c>
      <c r="O161" t="s">
        <v>584</v>
      </c>
      <c r="P161" s="2" t="str">
        <f t="shared" si="6"/>
        <v>13/02/2025 to 18/02/2025</v>
      </c>
      <c r="Q161" s="3">
        <v>45700</v>
      </c>
      <c r="R161" t="str">
        <f t="shared" si="7"/>
        <v>Late</v>
      </c>
      <c r="S161" t="s">
        <v>125</v>
      </c>
      <c r="T161">
        <v>40.5</v>
      </c>
      <c r="U161" t="s">
        <v>79</v>
      </c>
      <c r="V161" t="s">
        <v>80</v>
      </c>
      <c r="W161" t="str">
        <f t="shared" ca="1" si="8"/>
        <v>Inactive</v>
      </c>
    </row>
    <row r="162" spans="1:23" x14ac:dyDescent="0.2">
      <c r="A162">
        <v>1389</v>
      </c>
      <c r="B162" t="s">
        <v>3990</v>
      </c>
      <c r="C162" t="s">
        <v>3998</v>
      </c>
      <c r="D162" s="1" t="s">
        <v>463</v>
      </c>
      <c r="E162" t="s">
        <v>3992</v>
      </c>
      <c r="F162" t="s">
        <v>607</v>
      </c>
      <c r="G162" s="4" t="s">
        <v>5424</v>
      </c>
      <c r="H162" t="s">
        <v>3993</v>
      </c>
      <c r="I162" t="s">
        <v>136</v>
      </c>
      <c r="J162" s="4" t="s">
        <v>68</v>
      </c>
      <c r="K162" t="s">
        <v>3999</v>
      </c>
      <c r="L162">
        <v>4</v>
      </c>
      <c r="M162" t="s">
        <v>119</v>
      </c>
      <c r="N162" t="s">
        <v>584</v>
      </c>
      <c r="O162" t="s">
        <v>119</v>
      </c>
      <c r="P162" s="2" t="str">
        <f t="shared" si="6"/>
        <v>13/02/2025 to 18/02/2025</v>
      </c>
      <c r="Q162" s="3">
        <v>45699</v>
      </c>
      <c r="R162" t="str">
        <f t="shared" si="7"/>
        <v>Late</v>
      </c>
      <c r="S162" t="s">
        <v>783</v>
      </c>
      <c r="T162">
        <v>44</v>
      </c>
      <c r="U162" t="s">
        <v>65</v>
      </c>
      <c r="V162" t="s">
        <v>66</v>
      </c>
      <c r="W162" t="str">
        <f t="shared" ca="1" si="8"/>
        <v>Inactive</v>
      </c>
    </row>
    <row r="163" spans="1:23" x14ac:dyDescent="0.2">
      <c r="A163">
        <v>1390</v>
      </c>
      <c r="B163" t="s">
        <v>3990</v>
      </c>
      <c r="C163" t="s">
        <v>4000</v>
      </c>
      <c r="D163" s="1" t="s">
        <v>463</v>
      </c>
      <c r="E163" t="s">
        <v>3992</v>
      </c>
      <c r="F163" t="s">
        <v>607</v>
      </c>
      <c r="G163" s="4" t="s">
        <v>5427</v>
      </c>
      <c r="H163" t="s">
        <v>3993</v>
      </c>
      <c r="I163" t="s">
        <v>136</v>
      </c>
      <c r="J163" s="4" t="s">
        <v>68</v>
      </c>
      <c r="K163" t="s">
        <v>4001</v>
      </c>
      <c r="L163">
        <v>4</v>
      </c>
      <c r="M163" t="s">
        <v>119</v>
      </c>
      <c r="N163" t="s">
        <v>124</v>
      </c>
      <c r="O163" t="s">
        <v>584</v>
      </c>
      <c r="P163" s="2" t="str">
        <f t="shared" si="6"/>
        <v>13/02/2025 to 18/02/2025</v>
      </c>
      <c r="Q163" s="3">
        <v>45704</v>
      </c>
      <c r="R163" t="str">
        <f t="shared" si="7"/>
        <v>On-Time</v>
      </c>
      <c r="S163" t="s">
        <v>531</v>
      </c>
      <c r="T163">
        <v>43.5</v>
      </c>
      <c r="U163" t="s">
        <v>79</v>
      </c>
      <c r="V163" t="s">
        <v>80</v>
      </c>
      <c r="W163" t="str">
        <f t="shared" ca="1" si="8"/>
        <v>Inactive</v>
      </c>
    </row>
    <row r="164" spans="1:23" x14ac:dyDescent="0.2">
      <c r="A164">
        <v>1624</v>
      </c>
      <c r="B164" t="s">
        <v>4570</v>
      </c>
      <c r="C164" t="s">
        <v>4571</v>
      </c>
      <c r="D164" s="1" t="s">
        <v>463</v>
      </c>
      <c r="E164" t="s">
        <v>4572</v>
      </c>
      <c r="F164" t="s">
        <v>134</v>
      </c>
      <c r="G164" s="4" t="s">
        <v>5421</v>
      </c>
      <c r="H164" t="s">
        <v>4573</v>
      </c>
      <c r="I164" t="s">
        <v>59</v>
      </c>
      <c r="J164" s="4" t="s">
        <v>68</v>
      </c>
      <c r="K164" t="s">
        <v>4574</v>
      </c>
      <c r="L164">
        <v>4</v>
      </c>
      <c r="M164" t="s">
        <v>1259</v>
      </c>
      <c r="N164" t="s">
        <v>584</v>
      </c>
      <c r="O164" t="s">
        <v>1259</v>
      </c>
      <c r="P164" s="2" t="str">
        <f t="shared" si="6"/>
        <v>12/02/2025 to 17/02/2025</v>
      </c>
      <c r="Q164" s="3">
        <v>45701</v>
      </c>
      <c r="R164" t="str">
        <f t="shared" si="7"/>
        <v>On-Time</v>
      </c>
      <c r="S164" t="s">
        <v>464</v>
      </c>
      <c r="T164">
        <v>38.5</v>
      </c>
      <c r="U164" t="s">
        <v>79</v>
      </c>
      <c r="V164" t="s">
        <v>72</v>
      </c>
      <c r="W164" t="str">
        <f t="shared" ca="1" si="8"/>
        <v>Inactive</v>
      </c>
    </row>
    <row r="165" spans="1:23" x14ac:dyDescent="0.2">
      <c r="A165">
        <v>1625</v>
      </c>
      <c r="B165" t="s">
        <v>4570</v>
      </c>
      <c r="C165" t="s">
        <v>4575</v>
      </c>
      <c r="D165" s="1" t="s">
        <v>463</v>
      </c>
      <c r="E165" t="s">
        <v>4572</v>
      </c>
      <c r="F165" t="s">
        <v>134</v>
      </c>
      <c r="G165" s="4" t="s">
        <v>5418</v>
      </c>
      <c r="H165" t="s">
        <v>4573</v>
      </c>
      <c r="I165" t="s">
        <v>59</v>
      </c>
      <c r="J165" s="4" t="s">
        <v>60</v>
      </c>
      <c r="K165" t="s">
        <v>1070</v>
      </c>
      <c r="L165">
        <v>2</v>
      </c>
      <c r="M165" t="s">
        <v>119</v>
      </c>
      <c r="N165" t="s">
        <v>119</v>
      </c>
      <c r="O165" t="s">
        <v>119</v>
      </c>
      <c r="P165" s="2" t="str">
        <f t="shared" si="6"/>
        <v>13/02/2025 to 18/02/2025</v>
      </c>
      <c r="Q165" s="3">
        <v>45700</v>
      </c>
      <c r="R165" t="str">
        <f t="shared" si="7"/>
        <v>Late</v>
      </c>
      <c r="S165" t="s">
        <v>605</v>
      </c>
      <c r="T165">
        <v>16</v>
      </c>
      <c r="U165" t="s">
        <v>65</v>
      </c>
      <c r="V165" t="s">
        <v>66</v>
      </c>
      <c r="W165" t="str">
        <f t="shared" ca="1" si="8"/>
        <v>Inactive</v>
      </c>
    </row>
    <row r="166" spans="1:23" x14ac:dyDescent="0.2">
      <c r="A166">
        <v>1626</v>
      </c>
      <c r="B166" t="s">
        <v>4570</v>
      </c>
      <c r="C166" t="s">
        <v>4576</v>
      </c>
      <c r="D166" s="1" t="s">
        <v>463</v>
      </c>
      <c r="E166" t="s">
        <v>4572</v>
      </c>
      <c r="F166" t="s">
        <v>134</v>
      </c>
      <c r="G166" s="4" t="s">
        <v>5422</v>
      </c>
      <c r="H166" t="s">
        <v>4573</v>
      </c>
      <c r="I166" t="s">
        <v>59</v>
      </c>
      <c r="J166" s="4" t="s">
        <v>60</v>
      </c>
      <c r="K166" t="s">
        <v>186</v>
      </c>
      <c r="L166">
        <v>2</v>
      </c>
      <c r="M166" t="s">
        <v>1259</v>
      </c>
      <c r="N166" t="s">
        <v>584</v>
      </c>
      <c r="O166" t="s">
        <v>1259</v>
      </c>
      <c r="P166" s="2" t="str">
        <f t="shared" si="6"/>
        <v>12/02/2025 to 17/02/2025</v>
      </c>
      <c r="Q166" s="3">
        <v>45701</v>
      </c>
      <c r="R166" t="str">
        <f t="shared" si="7"/>
        <v>On-Time</v>
      </c>
      <c r="S166" t="s">
        <v>125</v>
      </c>
      <c r="T166">
        <v>19</v>
      </c>
      <c r="U166" t="s">
        <v>79</v>
      </c>
      <c r="V166" t="s">
        <v>72</v>
      </c>
      <c r="W166" t="str">
        <f t="shared" ca="1" si="8"/>
        <v>Inactive</v>
      </c>
    </row>
    <row r="167" spans="1:23" x14ac:dyDescent="0.2">
      <c r="A167">
        <v>1627</v>
      </c>
      <c r="B167" t="s">
        <v>4570</v>
      </c>
      <c r="C167" t="s">
        <v>4577</v>
      </c>
      <c r="D167" s="1" t="s">
        <v>463</v>
      </c>
      <c r="E167" t="s">
        <v>4572</v>
      </c>
      <c r="F167" t="s">
        <v>134</v>
      </c>
      <c r="G167" s="4" t="s">
        <v>38</v>
      </c>
      <c r="H167" t="s">
        <v>4573</v>
      </c>
      <c r="I167" t="s">
        <v>59</v>
      </c>
      <c r="J167" s="4" t="s">
        <v>74</v>
      </c>
      <c r="K167" t="s">
        <v>373</v>
      </c>
      <c r="L167">
        <v>2</v>
      </c>
      <c r="M167" t="s">
        <v>119</v>
      </c>
      <c r="N167" t="s">
        <v>584</v>
      </c>
      <c r="O167" t="s">
        <v>124</v>
      </c>
      <c r="P167" s="2" t="str">
        <f t="shared" si="6"/>
        <v>13/02/2025 to 18/02/2025</v>
      </c>
      <c r="Q167" s="3">
        <v>45707</v>
      </c>
      <c r="R167" t="str">
        <f t="shared" si="7"/>
        <v>Late</v>
      </c>
      <c r="S167" t="s">
        <v>1005</v>
      </c>
      <c r="T167">
        <v>19.5</v>
      </c>
      <c r="U167" t="s">
        <v>79</v>
      </c>
      <c r="V167" t="s">
        <v>66</v>
      </c>
      <c r="W167" t="str">
        <f t="shared" ca="1" si="8"/>
        <v>Inactive</v>
      </c>
    </row>
    <row r="168" spans="1:23" x14ac:dyDescent="0.2">
      <c r="A168">
        <v>1628</v>
      </c>
      <c r="B168" t="s">
        <v>4570</v>
      </c>
      <c r="C168" t="s">
        <v>4578</v>
      </c>
      <c r="D168" s="1" t="s">
        <v>463</v>
      </c>
      <c r="E168" t="s">
        <v>4572</v>
      </c>
      <c r="F168" t="s">
        <v>134</v>
      </c>
      <c r="G168" s="4" t="s">
        <v>5426</v>
      </c>
      <c r="H168" t="s">
        <v>4573</v>
      </c>
      <c r="I168" t="s">
        <v>59</v>
      </c>
      <c r="J168" s="4" t="s">
        <v>68</v>
      </c>
      <c r="K168" t="s">
        <v>1293</v>
      </c>
      <c r="L168">
        <v>2</v>
      </c>
      <c r="M168" t="s">
        <v>463</v>
      </c>
      <c r="N168" t="s">
        <v>1259</v>
      </c>
      <c r="O168" t="s">
        <v>1259</v>
      </c>
      <c r="P168" s="2" t="str">
        <f t="shared" si="6"/>
        <v>11/02/2025 to 14/02/2025</v>
      </c>
      <c r="Q168" s="3">
        <v>45702</v>
      </c>
      <c r="R168" t="str">
        <f t="shared" si="7"/>
        <v>On-Time</v>
      </c>
      <c r="S168" t="s">
        <v>464</v>
      </c>
      <c r="T168">
        <v>17</v>
      </c>
      <c r="U168" t="s">
        <v>79</v>
      </c>
      <c r="V168" t="s">
        <v>66</v>
      </c>
      <c r="W168" t="str">
        <f t="shared" ca="1" si="8"/>
        <v>Inactive</v>
      </c>
    </row>
    <row r="169" spans="1:23" x14ac:dyDescent="0.2">
      <c r="A169">
        <v>10</v>
      </c>
      <c r="B169" t="s">
        <v>117</v>
      </c>
      <c r="C169" t="s">
        <v>118</v>
      </c>
      <c r="D169" s="1" t="s">
        <v>119</v>
      </c>
      <c r="E169" t="s">
        <v>120</v>
      </c>
      <c r="F169" t="s">
        <v>121</v>
      </c>
      <c r="G169" s="4" t="s">
        <v>5427</v>
      </c>
      <c r="H169" t="s">
        <v>122</v>
      </c>
      <c r="I169" t="s">
        <v>93</v>
      </c>
      <c r="J169" s="4" t="s">
        <v>60</v>
      </c>
      <c r="K169" t="s">
        <v>123</v>
      </c>
      <c r="L169">
        <v>3</v>
      </c>
      <c r="M169" t="s">
        <v>119</v>
      </c>
      <c r="N169" t="s">
        <v>119</v>
      </c>
      <c r="O169" t="s">
        <v>124</v>
      </c>
      <c r="P169" s="2" t="str">
        <f t="shared" si="6"/>
        <v>13/02/2025 to 18/02/2025</v>
      </c>
      <c r="Q169" s="3">
        <v>45702</v>
      </c>
      <c r="R169" t="str">
        <f t="shared" si="7"/>
        <v>On-Time</v>
      </c>
      <c r="S169" t="s">
        <v>125</v>
      </c>
      <c r="T169">
        <v>25.5</v>
      </c>
      <c r="U169" t="s">
        <v>79</v>
      </c>
      <c r="V169" t="s">
        <v>66</v>
      </c>
      <c r="W169" t="str">
        <f t="shared" ca="1" si="8"/>
        <v>Inactive</v>
      </c>
    </row>
    <row r="170" spans="1:23" x14ac:dyDescent="0.2">
      <c r="A170">
        <v>11</v>
      </c>
      <c r="B170" t="s">
        <v>117</v>
      </c>
      <c r="C170" t="s">
        <v>126</v>
      </c>
      <c r="D170" s="1" t="s">
        <v>119</v>
      </c>
      <c r="E170" t="s">
        <v>120</v>
      </c>
      <c r="F170" t="s">
        <v>121</v>
      </c>
      <c r="G170" s="4" t="s">
        <v>5419</v>
      </c>
      <c r="H170" t="s">
        <v>122</v>
      </c>
      <c r="I170" t="s">
        <v>93</v>
      </c>
      <c r="J170" s="4" t="s">
        <v>60</v>
      </c>
      <c r="K170" t="s">
        <v>127</v>
      </c>
      <c r="L170">
        <v>3</v>
      </c>
      <c r="M170" t="s">
        <v>124</v>
      </c>
      <c r="N170" t="s">
        <v>124</v>
      </c>
      <c r="O170" t="s">
        <v>128</v>
      </c>
      <c r="P170" s="2" t="str">
        <f t="shared" si="6"/>
        <v>17/02/2025 to 20/02/2025</v>
      </c>
      <c r="Q170" s="3">
        <v>45707</v>
      </c>
      <c r="R170" t="str">
        <f t="shared" si="7"/>
        <v>On-Time</v>
      </c>
      <c r="S170" t="s">
        <v>129</v>
      </c>
      <c r="T170">
        <v>29</v>
      </c>
      <c r="U170" t="s">
        <v>79</v>
      </c>
      <c r="V170" t="s">
        <v>80</v>
      </c>
      <c r="W170" t="str">
        <f t="shared" ca="1" si="8"/>
        <v>Inactive</v>
      </c>
    </row>
    <row r="171" spans="1:23" x14ac:dyDescent="0.2">
      <c r="A171">
        <v>97</v>
      </c>
      <c r="B171" t="s">
        <v>524</v>
      </c>
      <c r="C171" t="s">
        <v>525</v>
      </c>
      <c r="D171" s="1" t="s">
        <v>119</v>
      </c>
      <c r="E171" t="s">
        <v>526</v>
      </c>
      <c r="F171" t="s">
        <v>490</v>
      </c>
      <c r="G171" s="4" t="s">
        <v>5424</v>
      </c>
      <c r="H171" t="s">
        <v>527</v>
      </c>
      <c r="I171" t="s">
        <v>201</v>
      </c>
      <c r="J171" s="4" t="s">
        <v>5417</v>
      </c>
      <c r="K171" t="s">
        <v>528</v>
      </c>
      <c r="L171">
        <v>4</v>
      </c>
      <c r="M171" t="s">
        <v>124</v>
      </c>
      <c r="N171" t="s">
        <v>124</v>
      </c>
      <c r="O171" t="s">
        <v>529</v>
      </c>
      <c r="P171" s="2" t="str">
        <f t="shared" si="6"/>
        <v>17/02/2025 to 20/02/2025</v>
      </c>
      <c r="Q171" s="3">
        <v>45704</v>
      </c>
      <c r="R171" t="str">
        <f t="shared" si="7"/>
        <v>Late</v>
      </c>
      <c r="S171" t="s">
        <v>531</v>
      </c>
      <c r="T171">
        <v>35</v>
      </c>
      <c r="U171" t="s">
        <v>79</v>
      </c>
      <c r="V171" t="s">
        <v>80</v>
      </c>
      <c r="W171" t="str">
        <f t="shared" ca="1" si="8"/>
        <v>Inactive</v>
      </c>
    </row>
    <row r="172" spans="1:23" x14ac:dyDescent="0.2">
      <c r="A172">
        <v>254</v>
      </c>
      <c r="B172" t="s">
        <v>1113</v>
      </c>
      <c r="C172" t="s">
        <v>1114</v>
      </c>
      <c r="D172" s="1" t="s">
        <v>119</v>
      </c>
      <c r="E172" t="s">
        <v>1115</v>
      </c>
      <c r="F172" t="s">
        <v>1036</v>
      </c>
      <c r="G172" s="4" t="s">
        <v>5425</v>
      </c>
      <c r="H172" t="s">
        <v>1116</v>
      </c>
      <c r="I172" t="s">
        <v>136</v>
      </c>
      <c r="J172" s="4" t="s">
        <v>5417</v>
      </c>
      <c r="K172" t="s">
        <v>1117</v>
      </c>
      <c r="L172">
        <v>2</v>
      </c>
      <c r="M172" t="s">
        <v>584</v>
      </c>
      <c r="N172" t="s">
        <v>584</v>
      </c>
      <c r="O172" t="s">
        <v>584</v>
      </c>
      <c r="P172" s="2" t="str">
        <f t="shared" si="6"/>
        <v>14/02/2025 to 19/02/2025</v>
      </c>
      <c r="Q172" s="3">
        <v>45701</v>
      </c>
      <c r="R172" t="str">
        <f t="shared" si="7"/>
        <v>Late</v>
      </c>
      <c r="S172" t="s">
        <v>464</v>
      </c>
      <c r="T172">
        <v>17.5</v>
      </c>
      <c r="U172" t="s">
        <v>65</v>
      </c>
      <c r="V172" t="s">
        <v>66</v>
      </c>
      <c r="W172" t="str">
        <f t="shared" ca="1" si="8"/>
        <v>Inactive</v>
      </c>
    </row>
    <row r="173" spans="1:23" x14ac:dyDescent="0.2">
      <c r="A173">
        <v>494</v>
      </c>
      <c r="B173" t="s">
        <v>1804</v>
      </c>
      <c r="C173" t="s">
        <v>1805</v>
      </c>
      <c r="D173" s="1" t="s">
        <v>584</v>
      </c>
      <c r="E173" t="s">
        <v>1806</v>
      </c>
      <c r="F173" t="s">
        <v>134</v>
      </c>
      <c r="G173" s="4" t="s">
        <v>5419</v>
      </c>
      <c r="H173" t="s">
        <v>1807</v>
      </c>
      <c r="I173" t="s">
        <v>136</v>
      </c>
      <c r="J173" s="4" t="s">
        <v>5417</v>
      </c>
      <c r="K173" t="s">
        <v>1808</v>
      </c>
      <c r="L173">
        <v>4</v>
      </c>
      <c r="M173" t="s">
        <v>584</v>
      </c>
      <c r="N173" t="s">
        <v>584</v>
      </c>
      <c r="O173" t="s">
        <v>128</v>
      </c>
      <c r="P173" s="2" t="str">
        <f t="shared" si="6"/>
        <v>14/02/2025 to 19/02/2025</v>
      </c>
      <c r="Q173" s="3">
        <v>45702</v>
      </c>
      <c r="R173" t="str">
        <f t="shared" si="7"/>
        <v>On-Time</v>
      </c>
      <c r="S173" t="s">
        <v>125</v>
      </c>
      <c r="T173">
        <v>40</v>
      </c>
      <c r="U173" t="s">
        <v>79</v>
      </c>
      <c r="V173" t="s">
        <v>72</v>
      </c>
      <c r="W173" t="str">
        <f t="shared" ca="1" si="8"/>
        <v>Inactive</v>
      </c>
    </row>
    <row r="174" spans="1:23" x14ac:dyDescent="0.2">
      <c r="A174">
        <v>495</v>
      </c>
      <c r="B174" t="s">
        <v>1804</v>
      </c>
      <c r="C174" t="s">
        <v>1809</v>
      </c>
      <c r="D174" s="1" t="s">
        <v>584</v>
      </c>
      <c r="E174" t="s">
        <v>1806</v>
      </c>
      <c r="F174" t="s">
        <v>134</v>
      </c>
      <c r="G174" s="4" t="s">
        <v>5425</v>
      </c>
      <c r="H174" t="s">
        <v>1807</v>
      </c>
      <c r="I174" t="s">
        <v>136</v>
      </c>
      <c r="J174" s="4" t="s">
        <v>5417</v>
      </c>
      <c r="K174" t="s">
        <v>204</v>
      </c>
      <c r="L174">
        <v>2</v>
      </c>
      <c r="M174" t="s">
        <v>124</v>
      </c>
      <c r="N174" t="s">
        <v>124</v>
      </c>
      <c r="O174" t="s">
        <v>128</v>
      </c>
      <c r="P174" s="2" t="str">
        <f t="shared" si="6"/>
        <v>17/02/2025 to 20/02/2025</v>
      </c>
      <c r="Q174" s="3">
        <v>45705</v>
      </c>
      <c r="R174" t="str">
        <f t="shared" si="7"/>
        <v>On-Time</v>
      </c>
      <c r="S174" t="s">
        <v>129</v>
      </c>
      <c r="T174">
        <v>20</v>
      </c>
      <c r="U174" t="s">
        <v>79</v>
      </c>
      <c r="V174" t="s">
        <v>66</v>
      </c>
      <c r="W174" t="str">
        <f t="shared" ca="1" si="8"/>
        <v>Inactive</v>
      </c>
    </row>
    <row r="175" spans="1:23" x14ac:dyDescent="0.2">
      <c r="A175">
        <v>496</v>
      </c>
      <c r="B175" t="s">
        <v>1804</v>
      </c>
      <c r="C175" t="s">
        <v>1810</v>
      </c>
      <c r="D175" s="1" t="s">
        <v>584</v>
      </c>
      <c r="E175" t="s">
        <v>1806</v>
      </c>
      <c r="F175" t="s">
        <v>134</v>
      </c>
      <c r="G175" s="4" t="s">
        <v>5426</v>
      </c>
      <c r="H175" t="s">
        <v>1807</v>
      </c>
      <c r="I175" t="s">
        <v>136</v>
      </c>
      <c r="J175" s="4" t="s">
        <v>74</v>
      </c>
      <c r="K175" t="s">
        <v>755</v>
      </c>
      <c r="L175">
        <v>2</v>
      </c>
      <c r="M175" t="s">
        <v>584</v>
      </c>
      <c r="N175" t="s">
        <v>584</v>
      </c>
      <c r="O175" t="s">
        <v>584</v>
      </c>
      <c r="P175" s="2" t="str">
        <f t="shared" si="6"/>
        <v>14/02/2025 to 19/02/2025</v>
      </c>
      <c r="Q175" s="3">
        <v>45703</v>
      </c>
      <c r="R175" t="str">
        <f t="shared" si="7"/>
        <v>On-Time</v>
      </c>
      <c r="S175" t="s">
        <v>530</v>
      </c>
      <c r="T175">
        <v>23.5</v>
      </c>
      <c r="U175" t="s">
        <v>79</v>
      </c>
      <c r="V175" t="s">
        <v>72</v>
      </c>
      <c r="W175" t="str">
        <f t="shared" ca="1" si="8"/>
        <v>Inactive</v>
      </c>
    </row>
    <row r="176" spans="1:23" x14ac:dyDescent="0.2">
      <c r="A176">
        <v>497</v>
      </c>
      <c r="B176" t="s">
        <v>1804</v>
      </c>
      <c r="C176" t="s">
        <v>1811</v>
      </c>
      <c r="D176" s="1" t="s">
        <v>584</v>
      </c>
      <c r="E176" t="s">
        <v>1806</v>
      </c>
      <c r="F176" t="s">
        <v>134</v>
      </c>
      <c r="G176" s="4" t="s">
        <v>5426</v>
      </c>
      <c r="H176" t="s">
        <v>1807</v>
      </c>
      <c r="I176" t="s">
        <v>136</v>
      </c>
      <c r="J176" s="4" t="s">
        <v>5417</v>
      </c>
      <c r="K176" t="s">
        <v>1812</v>
      </c>
      <c r="L176">
        <v>3</v>
      </c>
      <c r="M176" t="s">
        <v>128</v>
      </c>
      <c r="N176" t="s">
        <v>128</v>
      </c>
      <c r="O176" t="s">
        <v>780</v>
      </c>
      <c r="P176" s="2" t="str">
        <f t="shared" si="6"/>
        <v>18/02/2025 to 21/02/2025</v>
      </c>
      <c r="Q176" s="3">
        <v>45707</v>
      </c>
      <c r="R176" t="str">
        <f t="shared" si="7"/>
        <v>On-Time</v>
      </c>
      <c r="S176" t="s">
        <v>618</v>
      </c>
      <c r="T176">
        <v>28</v>
      </c>
      <c r="U176" t="s">
        <v>79</v>
      </c>
      <c r="V176" t="s">
        <v>80</v>
      </c>
      <c r="W176" t="str">
        <f t="shared" ca="1" si="8"/>
        <v>Inactive</v>
      </c>
    </row>
    <row r="177" spans="1:23" x14ac:dyDescent="0.2">
      <c r="A177">
        <v>498</v>
      </c>
      <c r="B177" t="s">
        <v>1804</v>
      </c>
      <c r="C177" t="s">
        <v>1813</v>
      </c>
      <c r="D177" s="1" t="s">
        <v>584</v>
      </c>
      <c r="E177" t="s">
        <v>1806</v>
      </c>
      <c r="F177" t="s">
        <v>134</v>
      </c>
      <c r="G177" s="4" t="s">
        <v>5428</v>
      </c>
      <c r="H177" t="s">
        <v>1807</v>
      </c>
      <c r="I177" t="s">
        <v>136</v>
      </c>
      <c r="J177" s="4" t="s">
        <v>68</v>
      </c>
      <c r="K177" t="s">
        <v>1814</v>
      </c>
      <c r="L177">
        <v>3</v>
      </c>
      <c r="M177" t="s">
        <v>584</v>
      </c>
      <c r="N177" t="s">
        <v>124</v>
      </c>
      <c r="O177" t="s">
        <v>584</v>
      </c>
      <c r="P177" s="2" t="str">
        <f t="shared" si="6"/>
        <v>14/02/2025 to 19/02/2025</v>
      </c>
      <c r="Q177" s="3">
        <v>45700</v>
      </c>
      <c r="R177" t="str">
        <f t="shared" si="7"/>
        <v>Late</v>
      </c>
      <c r="S177" t="s">
        <v>605</v>
      </c>
      <c r="T177">
        <v>27.5</v>
      </c>
      <c r="U177" t="s">
        <v>79</v>
      </c>
      <c r="V177" t="s">
        <v>72</v>
      </c>
      <c r="W177" t="str">
        <f t="shared" ca="1" si="8"/>
        <v>Inactive</v>
      </c>
    </row>
    <row r="178" spans="1:23" x14ac:dyDescent="0.2">
      <c r="A178">
        <v>1291</v>
      </c>
      <c r="B178" t="s">
        <v>3758</v>
      </c>
      <c r="C178" t="s">
        <v>3759</v>
      </c>
      <c r="D178" s="1" t="s">
        <v>584</v>
      </c>
      <c r="E178" t="s">
        <v>3760</v>
      </c>
      <c r="F178" t="s">
        <v>626</v>
      </c>
      <c r="G178" s="4" t="s">
        <v>5418</v>
      </c>
      <c r="H178" t="s">
        <v>3423</v>
      </c>
      <c r="I178" t="s">
        <v>59</v>
      </c>
      <c r="J178" s="4" t="s">
        <v>60</v>
      </c>
      <c r="K178" t="s">
        <v>3761</v>
      </c>
      <c r="L178">
        <v>4</v>
      </c>
      <c r="M178" t="s">
        <v>128</v>
      </c>
      <c r="N178" t="s">
        <v>780</v>
      </c>
      <c r="O178" t="s">
        <v>780</v>
      </c>
      <c r="P178" s="2" t="str">
        <f t="shared" si="6"/>
        <v>18/02/2025 to 21/02/2025</v>
      </c>
      <c r="Q178" s="3">
        <v>45707</v>
      </c>
      <c r="R178" t="str">
        <f t="shared" si="7"/>
        <v>On-Time</v>
      </c>
      <c r="S178" t="s">
        <v>1005</v>
      </c>
      <c r="T178">
        <v>39</v>
      </c>
      <c r="U178" t="s">
        <v>79</v>
      </c>
      <c r="V178" t="s">
        <v>72</v>
      </c>
      <c r="W178" t="str">
        <f t="shared" ca="1" si="8"/>
        <v>Inactive</v>
      </c>
    </row>
    <row r="179" spans="1:23" x14ac:dyDescent="0.2">
      <c r="A179">
        <v>1292</v>
      </c>
      <c r="B179" t="s">
        <v>3758</v>
      </c>
      <c r="C179" t="s">
        <v>3762</v>
      </c>
      <c r="D179" s="1" t="s">
        <v>584</v>
      </c>
      <c r="E179" t="s">
        <v>3760</v>
      </c>
      <c r="F179" t="s">
        <v>626</v>
      </c>
      <c r="G179" s="4" t="s">
        <v>5419</v>
      </c>
      <c r="H179" t="s">
        <v>3423</v>
      </c>
      <c r="I179" t="s">
        <v>59</v>
      </c>
      <c r="J179" s="4" t="s">
        <v>74</v>
      </c>
      <c r="K179" t="s">
        <v>3763</v>
      </c>
      <c r="L179">
        <v>3</v>
      </c>
      <c r="M179" t="s">
        <v>124</v>
      </c>
      <c r="N179" t="s">
        <v>128</v>
      </c>
      <c r="O179" t="s">
        <v>124</v>
      </c>
      <c r="P179" s="2" t="str">
        <f t="shared" si="6"/>
        <v>17/02/2025 to 20/02/2025</v>
      </c>
      <c r="Q179" s="3">
        <v>45703</v>
      </c>
      <c r="R179" t="str">
        <f t="shared" si="7"/>
        <v>Late</v>
      </c>
      <c r="S179" t="s">
        <v>530</v>
      </c>
      <c r="T179">
        <v>26.5</v>
      </c>
      <c r="U179" t="s">
        <v>65</v>
      </c>
      <c r="V179" t="s">
        <v>66</v>
      </c>
      <c r="W179" t="str">
        <f t="shared" ca="1" si="8"/>
        <v>Inactive</v>
      </c>
    </row>
    <row r="180" spans="1:23" x14ac:dyDescent="0.2">
      <c r="A180">
        <v>1293</v>
      </c>
      <c r="B180" t="s">
        <v>3758</v>
      </c>
      <c r="C180" t="s">
        <v>3764</v>
      </c>
      <c r="D180" s="1" t="s">
        <v>584</v>
      </c>
      <c r="E180" t="s">
        <v>3760</v>
      </c>
      <c r="F180" t="s">
        <v>626</v>
      </c>
      <c r="G180" s="4" t="s">
        <v>5420</v>
      </c>
      <c r="H180" t="s">
        <v>3423</v>
      </c>
      <c r="I180" t="s">
        <v>59</v>
      </c>
      <c r="J180" s="4" t="s">
        <v>5417</v>
      </c>
      <c r="K180" t="s">
        <v>3765</v>
      </c>
      <c r="L180">
        <v>3</v>
      </c>
      <c r="M180" t="s">
        <v>584</v>
      </c>
      <c r="N180" t="s">
        <v>584</v>
      </c>
      <c r="O180" t="s">
        <v>584</v>
      </c>
      <c r="P180" s="2" t="str">
        <f t="shared" si="6"/>
        <v>14/02/2025 to 19/02/2025</v>
      </c>
      <c r="Q180" s="3">
        <v>45700</v>
      </c>
      <c r="R180" t="str">
        <f t="shared" si="7"/>
        <v>Late</v>
      </c>
      <c r="S180" t="s">
        <v>605</v>
      </c>
      <c r="T180">
        <v>27.5</v>
      </c>
      <c r="U180" t="s">
        <v>65</v>
      </c>
      <c r="V180" t="s">
        <v>72</v>
      </c>
      <c r="W180" t="str">
        <f t="shared" ca="1" si="8"/>
        <v>Inactive</v>
      </c>
    </row>
    <row r="181" spans="1:23" x14ac:dyDescent="0.2">
      <c r="A181">
        <v>1294</v>
      </c>
      <c r="B181" t="s">
        <v>3758</v>
      </c>
      <c r="C181" t="s">
        <v>3766</v>
      </c>
      <c r="D181" s="1" t="s">
        <v>584</v>
      </c>
      <c r="E181" t="s">
        <v>3760</v>
      </c>
      <c r="F181" t="s">
        <v>626</v>
      </c>
      <c r="G181" s="4" t="s">
        <v>38</v>
      </c>
      <c r="H181" t="s">
        <v>3423</v>
      </c>
      <c r="I181" t="s">
        <v>59</v>
      </c>
      <c r="J181" s="4" t="s">
        <v>5417</v>
      </c>
      <c r="K181" t="s">
        <v>3767</v>
      </c>
      <c r="L181">
        <v>3</v>
      </c>
      <c r="M181" t="s">
        <v>124</v>
      </c>
      <c r="N181" t="s">
        <v>124</v>
      </c>
      <c r="O181" t="s">
        <v>124</v>
      </c>
      <c r="P181" s="2" t="str">
        <f t="shared" si="6"/>
        <v>17/02/2025 to 20/02/2025</v>
      </c>
      <c r="Q181" s="3">
        <v>45706</v>
      </c>
      <c r="R181" t="str">
        <f t="shared" si="7"/>
        <v>On-Time</v>
      </c>
      <c r="S181" t="s">
        <v>1005</v>
      </c>
      <c r="T181">
        <v>31</v>
      </c>
      <c r="U181" t="s">
        <v>79</v>
      </c>
      <c r="V181" t="s">
        <v>80</v>
      </c>
      <c r="W181" t="str">
        <f t="shared" ca="1" si="8"/>
        <v>Inactive</v>
      </c>
    </row>
    <row r="182" spans="1:23" x14ac:dyDescent="0.2">
      <c r="A182">
        <v>1295</v>
      </c>
      <c r="B182" t="s">
        <v>3758</v>
      </c>
      <c r="C182" t="s">
        <v>3768</v>
      </c>
      <c r="D182" s="1" t="s">
        <v>584</v>
      </c>
      <c r="E182" t="s">
        <v>3760</v>
      </c>
      <c r="F182" t="s">
        <v>626</v>
      </c>
      <c r="G182" s="4" t="s">
        <v>5420</v>
      </c>
      <c r="H182" t="s">
        <v>3423</v>
      </c>
      <c r="I182" t="s">
        <v>59</v>
      </c>
      <c r="J182" s="4" t="s">
        <v>68</v>
      </c>
      <c r="K182" t="s">
        <v>3769</v>
      </c>
      <c r="L182">
        <v>4</v>
      </c>
      <c r="M182" t="s">
        <v>124</v>
      </c>
      <c r="N182" t="s">
        <v>124</v>
      </c>
      <c r="O182" t="s">
        <v>124</v>
      </c>
      <c r="P182" s="2" t="str">
        <f t="shared" si="6"/>
        <v>17/02/2025 to 20/02/2025</v>
      </c>
      <c r="Q182" s="3">
        <v>45706</v>
      </c>
      <c r="R182" t="str">
        <f t="shared" si="7"/>
        <v>On-Time</v>
      </c>
      <c r="S182" t="s">
        <v>1005</v>
      </c>
      <c r="T182">
        <v>37</v>
      </c>
      <c r="U182" t="s">
        <v>79</v>
      </c>
      <c r="V182" t="s">
        <v>80</v>
      </c>
      <c r="W182" t="str">
        <f t="shared" ca="1" si="8"/>
        <v>Inactive</v>
      </c>
    </row>
    <row r="183" spans="1:23" x14ac:dyDescent="0.2">
      <c r="A183">
        <v>909</v>
      </c>
      <c r="B183" t="s">
        <v>2836</v>
      </c>
      <c r="C183" t="s">
        <v>2837</v>
      </c>
      <c r="D183" s="1" t="s">
        <v>124</v>
      </c>
      <c r="E183" t="s">
        <v>2838</v>
      </c>
      <c r="F183" t="s">
        <v>910</v>
      </c>
      <c r="G183" s="4" t="s">
        <v>5422</v>
      </c>
      <c r="H183" t="s">
        <v>2839</v>
      </c>
      <c r="I183" t="s">
        <v>112</v>
      </c>
      <c r="J183" s="4" t="s">
        <v>5417</v>
      </c>
      <c r="K183" t="s">
        <v>2840</v>
      </c>
      <c r="L183">
        <v>3</v>
      </c>
      <c r="M183" t="s">
        <v>124</v>
      </c>
      <c r="N183" t="s">
        <v>128</v>
      </c>
      <c r="O183" t="s">
        <v>529</v>
      </c>
      <c r="P183" s="2" t="str">
        <f t="shared" si="6"/>
        <v>17/02/2025 to 20/02/2025</v>
      </c>
      <c r="Q183" s="3">
        <v>45708</v>
      </c>
      <c r="R183" t="str">
        <f t="shared" si="7"/>
        <v>On-Time</v>
      </c>
      <c r="S183" t="s">
        <v>1005</v>
      </c>
      <c r="T183">
        <v>29.5</v>
      </c>
      <c r="U183" t="s">
        <v>79</v>
      </c>
      <c r="V183" t="s">
        <v>66</v>
      </c>
      <c r="W183" t="str">
        <f t="shared" ca="1" si="8"/>
        <v>Inactive</v>
      </c>
    </row>
    <row r="184" spans="1:23" x14ac:dyDescent="0.2">
      <c r="A184">
        <v>1696</v>
      </c>
      <c r="B184" t="s">
        <v>4723</v>
      </c>
      <c r="C184" t="s">
        <v>4724</v>
      </c>
      <c r="D184" s="1" t="s">
        <v>124</v>
      </c>
      <c r="E184" t="s">
        <v>4725</v>
      </c>
      <c r="F184" t="s">
        <v>546</v>
      </c>
      <c r="G184" s="4" t="s">
        <v>5422</v>
      </c>
      <c r="H184" t="s">
        <v>4726</v>
      </c>
      <c r="I184" t="s">
        <v>112</v>
      </c>
      <c r="J184" s="4" t="s">
        <v>74</v>
      </c>
      <c r="K184" t="s">
        <v>2691</v>
      </c>
      <c r="L184">
        <v>2</v>
      </c>
      <c r="M184" t="s">
        <v>128</v>
      </c>
      <c r="N184" t="s">
        <v>780</v>
      </c>
      <c r="O184" t="s">
        <v>128</v>
      </c>
      <c r="P184" s="2" t="str">
        <f t="shared" si="6"/>
        <v>18/02/2025 to 21/02/2025</v>
      </c>
      <c r="Q184" s="3">
        <v>45704</v>
      </c>
      <c r="R184" t="str">
        <f t="shared" si="7"/>
        <v>Late</v>
      </c>
      <c r="S184" t="s">
        <v>530</v>
      </c>
      <c r="T184">
        <v>16</v>
      </c>
      <c r="U184" t="s">
        <v>65</v>
      </c>
      <c r="V184" t="s">
        <v>66</v>
      </c>
      <c r="W184" t="str">
        <f t="shared" ca="1" si="8"/>
        <v>Inactive</v>
      </c>
    </row>
    <row r="185" spans="1:23" x14ac:dyDescent="0.2">
      <c r="A185">
        <v>1697</v>
      </c>
      <c r="B185" t="s">
        <v>4723</v>
      </c>
      <c r="C185" t="s">
        <v>4727</v>
      </c>
      <c r="D185" s="1" t="s">
        <v>124</v>
      </c>
      <c r="E185" t="s">
        <v>4725</v>
      </c>
      <c r="F185" t="s">
        <v>546</v>
      </c>
      <c r="G185" s="4" t="s">
        <v>5428</v>
      </c>
      <c r="H185" t="s">
        <v>4726</v>
      </c>
      <c r="I185" t="s">
        <v>112</v>
      </c>
      <c r="J185" s="4" t="s">
        <v>5417</v>
      </c>
      <c r="K185" t="s">
        <v>1234</v>
      </c>
      <c r="L185">
        <v>2</v>
      </c>
      <c r="M185" t="s">
        <v>124</v>
      </c>
      <c r="N185" t="s">
        <v>124</v>
      </c>
      <c r="O185" t="s">
        <v>128</v>
      </c>
      <c r="P185" s="2" t="str">
        <f t="shared" si="6"/>
        <v>17/02/2025 to 20/02/2025</v>
      </c>
      <c r="Q185" s="3">
        <v>45706</v>
      </c>
      <c r="R185" t="str">
        <f t="shared" si="7"/>
        <v>On-Time</v>
      </c>
      <c r="S185" t="s">
        <v>1005</v>
      </c>
      <c r="T185">
        <v>17</v>
      </c>
      <c r="U185" t="s">
        <v>79</v>
      </c>
      <c r="V185" t="s">
        <v>72</v>
      </c>
      <c r="W185" t="str">
        <f t="shared" ca="1" si="8"/>
        <v>Inactive</v>
      </c>
    </row>
    <row r="186" spans="1:23" x14ac:dyDescent="0.2">
      <c r="A186">
        <v>1698</v>
      </c>
      <c r="B186" t="s">
        <v>4723</v>
      </c>
      <c r="C186" t="s">
        <v>4728</v>
      </c>
      <c r="D186" s="1" t="s">
        <v>124</v>
      </c>
      <c r="E186" t="s">
        <v>4725</v>
      </c>
      <c r="F186" t="s">
        <v>546</v>
      </c>
      <c r="G186" s="4" t="s">
        <v>5425</v>
      </c>
      <c r="H186" t="s">
        <v>4726</v>
      </c>
      <c r="I186" t="s">
        <v>112</v>
      </c>
      <c r="J186" s="4" t="s">
        <v>5417</v>
      </c>
      <c r="K186" t="s">
        <v>4729</v>
      </c>
      <c r="L186">
        <v>3</v>
      </c>
      <c r="M186" t="s">
        <v>124</v>
      </c>
      <c r="N186" t="s">
        <v>128</v>
      </c>
      <c r="O186" t="s">
        <v>529</v>
      </c>
      <c r="P186" s="2" t="str">
        <f t="shared" si="6"/>
        <v>17/02/2025 to 20/02/2025</v>
      </c>
      <c r="Q186" s="3">
        <v>45709</v>
      </c>
      <c r="R186" t="str">
        <f t="shared" si="7"/>
        <v>Late</v>
      </c>
      <c r="S186" t="s">
        <v>618</v>
      </c>
      <c r="T186">
        <v>31.5</v>
      </c>
      <c r="U186" t="s">
        <v>65</v>
      </c>
      <c r="V186" t="s">
        <v>66</v>
      </c>
      <c r="W186" t="str">
        <f t="shared" ca="1" si="8"/>
        <v>Inactive</v>
      </c>
    </row>
    <row r="187" spans="1:23" x14ac:dyDescent="0.2">
      <c r="A187">
        <v>1699</v>
      </c>
      <c r="B187" t="s">
        <v>4723</v>
      </c>
      <c r="C187" t="s">
        <v>4730</v>
      </c>
      <c r="D187" s="1" t="s">
        <v>124</v>
      </c>
      <c r="E187" t="s">
        <v>4725</v>
      </c>
      <c r="F187" t="s">
        <v>546</v>
      </c>
      <c r="G187" s="4" t="s">
        <v>5426</v>
      </c>
      <c r="H187" t="s">
        <v>4726</v>
      </c>
      <c r="I187" t="s">
        <v>112</v>
      </c>
      <c r="J187" s="4" t="s">
        <v>60</v>
      </c>
      <c r="K187" t="s">
        <v>4731</v>
      </c>
      <c r="L187">
        <v>3</v>
      </c>
      <c r="M187" t="s">
        <v>529</v>
      </c>
      <c r="N187" t="s">
        <v>780</v>
      </c>
      <c r="O187" t="s">
        <v>529</v>
      </c>
      <c r="P187" s="2" t="str">
        <f t="shared" si="6"/>
        <v>18/02/2025 to 21/02/2025</v>
      </c>
      <c r="Q187" s="3">
        <v>45708</v>
      </c>
      <c r="R187" t="str">
        <f t="shared" si="7"/>
        <v>On-Time</v>
      </c>
      <c r="S187" t="s">
        <v>618</v>
      </c>
      <c r="T187">
        <v>32</v>
      </c>
      <c r="U187" t="s">
        <v>65</v>
      </c>
      <c r="V187" t="s">
        <v>80</v>
      </c>
      <c r="W187" t="str">
        <f t="shared" ca="1" si="8"/>
        <v>Inactive</v>
      </c>
    </row>
    <row r="188" spans="1:23" x14ac:dyDescent="0.2">
      <c r="A188">
        <v>1700</v>
      </c>
      <c r="B188" t="s">
        <v>4723</v>
      </c>
      <c r="C188" t="s">
        <v>4732</v>
      </c>
      <c r="D188" s="1" t="s">
        <v>124</v>
      </c>
      <c r="E188" t="s">
        <v>4725</v>
      </c>
      <c r="F188" t="s">
        <v>546</v>
      </c>
      <c r="G188" s="4" t="s">
        <v>5424</v>
      </c>
      <c r="H188" t="s">
        <v>4726</v>
      </c>
      <c r="I188" t="s">
        <v>112</v>
      </c>
      <c r="J188" s="4" t="s">
        <v>5417</v>
      </c>
      <c r="K188" t="s">
        <v>4733</v>
      </c>
      <c r="L188">
        <v>4</v>
      </c>
      <c r="M188" t="s">
        <v>128</v>
      </c>
      <c r="N188" t="s">
        <v>529</v>
      </c>
      <c r="O188" t="s">
        <v>780</v>
      </c>
      <c r="P188" s="2" t="str">
        <f t="shared" si="6"/>
        <v>18/02/2025 to 21/02/2025</v>
      </c>
      <c r="Q188" s="3">
        <v>45704</v>
      </c>
      <c r="R188" t="str">
        <f t="shared" si="7"/>
        <v>Late</v>
      </c>
      <c r="S188" t="s">
        <v>531</v>
      </c>
      <c r="T188">
        <v>36.5</v>
      </c>
      <c r="U188" t="s">
        <v>65</v>
      </c>
      <c r="V188" t="s">
        <v>66</v>
      </c>
      <c r="W188" t="str">
        <f t="shared" ca="1" si="8"/>
        <v>Inactive</v>
      </c>
    </row>
    <row r="189" spans="1:23" x14ac:dyDescent="0.2">
      <c r="A189">
        <v>675</v>
      </c>
      <c r="B189" t="s">
        <v>2275</v>
      </c>
      <c r="C189" t="s">
        <v>2276</v>
      </c>
      <c r="D189" s="1" t="s">
        <v>128</v>
      </c>
      <c r="E189" t="s">
        <v>2277</v>
      </c>
      <c r="F189" t="s">
        <v>1154</v>
      </c>
      <c r="G189" s="4" t="s">
        <v>5425</v>
      </c>
      <c r="H189" t="s">
        <v>2278</v>
      </c>
      <c r="I189" t="s">
        <v>201</v>
      </c>
      <c r="J189" s="4" t="s">
        <v>5417</v>
      </c>
      <c r="K189" t="s">
        <v>2279</v>
      </c>
      <c r="L189">
        <v>3</v>
      </c>
      <c r="M189" t="s">
        <v>780</v>
      </c>
      <c r="N189" t="s">
        <v>783</v>
      </c>
      <c r="O189" t="s">
        <v>782</v>
      </c>
      <c r="P189" s="2" t="str">
        <f t="shared" si="6"/>
        <v>18/02/2025 to 21/02/2025</v>
      </c>
      <c r="Q189" s="3">
        <v>45711</v>
      </c>
      <c r="R189" t="str">
        <f t="shared" si="7"/>
        <v>Late</v>
      </c>
      <c r="S189" t="s">
        <v>1771</v>
      </c>
      <c r="T189">
        <v>31</v>
      </c>
      <c r="U189" t="s">
        <v>79</v>
      </c>
      <c r="V189" t="s">
        <v>66</v>
      </c>
      <c r="W189" t="str">
        <f t="shared" ca="1" si="8"/>
        <v>Inactive</v>
      </c>
    </row>
    <row r="190" spans="1:23" x14ac:dyDescent="0.2">
      <c r="A190">
        <v>676</v>
      </c>
      <c r="B190" t="s">
        <v>2275</v>
      </c>
      <c r="C190" t="s">
        <v>2280</v>
      </c>
      <c r="D190" s="1" t="s">
        <v>128</v>
      </c>
      <c r="E190" t="s">
        <v>2277</v>
      </c>
      <c r="F190" t="s">
        <v>1154</v>
      </c>
      <c r="G190" s="4" t="s">
        <v>5418</v>
      </c>
      <c r="H190" t="s">
        <v>2278</v>
      </c>
      <c r="I190" t="s">
        <v>201</v>
      </c>
      <c r="J190" s="4" t="s">
        <v>68</v>
      </c>
      <c r="K190" t="s">
        <v>8</v>
      </c>
      <c r="L190">
        <v>1</v>
      </c>
      <c r="M190" t="s">
        <v>780</v>
      </c>
      <c r="N190" t="s">
        <v>782</v>
      </c>
      <c r="O190" t="s">
        <v>780</v>
      </c>
      <c r="P190" s="2" t="str">
        <f t="shared" si="6"/>
        <v>18/02/2025 to 21/02/2025</v>
      </c>
      <c r="Q190" s="3">
        <v>45706</v>
      </c>
      <c r="R190" t="str">
        <f t="shared" si="7"/>
        <v>On-Time</v>
      </c>
      <c r="S190" t="s">
        <v>1001</v>
      </c>
      <c r="T190">
        <v>9</v>
      </c>
      <c r="U190" t="s">
        <v>65</v>
      </c>
      <c r="V190" t="s">
        <v>66</v>
      </c>
      <c r="W190" t="str">
        <f t="shared" ca="1" si="8"/>
        <v>Inactive</v>
      </c>
    </row>
    <row r="191" spans="1:23" x14ac:dyDescent="0.2">
      <c r="A191">
        <v>647</v>
      </c>
      <c r="B191" t="s">
        <v>2210</v>
      </c>
      <c r="C191" t="s">
        <v>2211</v>
      </c>
      <c r="D191" s="1" t="s">
        <v>780</v>
      </c>
      <c r="E191" t="s">
        <v>2212</v>
      </c>
      <c r="F191" t="s">
        <v>1217</v>
      </c>
      <c r="G191" s="4" t="s">
        <v>5421</v>
      </c>
      <c r="H191" t="s">
        <v>2213</v>
      </c>
      <c r="I191" t="s">
        <v>112</v>
      </c>
      <c r="J191" s="4" t="s">
        <v>74</v>
      </c>
      <c r="K191" t="s">
        <v>2214</v>
      </c>
      <c r="L191">
        <v>3</v>
      </c>
      <c r="M191" t="s">
        <v>780</v>
      </c>
      <c r="N191" t="s">
        <v>782</v>
      </c>
      <c r="O191" t="s">
        <v>780</v>
      </c>
      <c r="P191" s="2" t="str">
        <f t="shared" si="6"/>
        <v>18/02/2025 to 21/02/2025</v>
      </c>
      <c r="Q191" s="3">
        <v>45705</v>
      </c>
      <c r="R191" t="str">
        <f t="shared" si="7"/>
        <v>Late</v>
      </c>
      <c r="S191" t="s">
        <v>531</v>
      </c>
      <c r="T191">
        <v>27.5</v>
      </c>
      <c r="U191" t="s">
        <v>79</v>
      </c>
      <c r="V191" t="s">
        <v>66</v>
      </c>
      <c r="W191" t="str">
        <f t="shared" ca="1" si="8"/>
        <v>Inactive</v>
      </c>
    </row>
    <row r="192" spans="1:23" x14ac:dyDescent="0.2">
      <c r="A192">
        <v>648</v>
      </c>
      <c r="B192" t="s">
        <v>2210</v>
      </c>
      <c r="C192" t="s">
        <v>2215</v>
      </c>
      <c r="D192" s="1" t="s">
        <v>780</v>
      </c>
      <c r="E192" t="s">
        <v>2212</v>
      </c>
      <c r="F192" t="s">
        <v>1217</v>
      </c>
      <c r="G192" s="4" t="s">
        <v>5419</v>
      </c>
      <c r="H192" t="s">
        <v>2213</v>
      </c>
      <c r="I192" t="s">
        <v>112</v>
      </c>
      <c r="J192" s="4" t="s">
        <v>74</v>
      </c>
      <c r="K192" t="s">
        <v>22</v>
      </c>
      <c r="L192">
        <v>1</v>
      </c>
      <c r="M192" t="s">
        <v>783</v>
      </c>
      <c r="N192" t="s">
        <v>614</v>
      </c>
      <c r="O192" t="s">
        <v>614</v>
      </c>
      <c r="P192" s="2" t="str">
        <f t="shared" si="6"/>
        <v>20/02/2025 to 25/02/2025</v>
      </c>
      <c r="Q192" s="3">
        <v>45710</v>
      </c>
      <c r="R192" t="str">
        <f t="shared" si="7"/>
        <v>On-Time</v>
      </c>
      <c r="S192" t="s">
        <v>615</v>
      </c>
      <c r="T192">
        <v>8</v>
      </c>
      <c r="U192" t="s">
        <v>65</v>
      </c>
      <c r="V192" t="s">
        <v>80</v>
      </c>
      <c r="W192" t="str">
        <f t="shared" ca="1" si="8"/>
        <v>Inactive</v>
      </c>
    </row>
    <row r="193" spans="1:23" x14ac:dyDescent="0.2">
      <c r="A193">
        <v>649</v>
      </c>
      <c r="B193" t="s">
        <v>2210</v>
      </c>
      <c r="C193" t="s">
        <v>2216</v>
      </c>
      <c r="D193" s="1" t="s">
        <v>780</v>
      </c>
      <c r="E193" t="s">
        <v>2212</v>
      </c>
      <c r="F193" t="s">
        <v>1217</v>
      </c>
      <c r="G193" s="4" t="s">
        <v>5420</v>
      </c>
      <c r="H193" t="s">
        <v>2213</v>
      </c>
      <c r="I193" t="s">
        <v>112</v>
      </c>
      <c r="J193" s="4" t="s">
        <v>74</v>
      </c>
      <c r="K193" t="s">
        <v>1277</v>
      </c>
      <c r="L193">
        <v>2</v>
      </c>
      <c r="M193" t="s">
        <v>780</v>
      </c>
      <c r="N193" t="s">
        <v>782</v>
      </c>
      <c r="O193" t="s">
        <v>782</v>
      </c>
      <c r="P193" s="2" t="str">
        <f t="shared" si="6"/>
        <v>18/02/2025 to 21/02/2025</v>
      </c>
      <c r="Q193" s="3">
        <v>45707</v>
      </c>
      <c r="R193" t="str">
        <f t="shared" si="7"/>
        <v>On-Time</v>
      </c>
      <c r="S193" t="s">
        <v>1005</v>
      </c>
      <c r="T193">
        <v>19</v>
      </c>
      <c r="U193" t="s">
        <v>79</v>
      </c>
      <c r="V193" t="s">
        <v>66</v>
      </c>
      <c r="W193" t="str">
        <f t="shared" ca="1" si="8"/>
        <v>Inactive</v>
      </c>
    </row>
    <row r="194" spans="1:23" x14ac:dyDescent="0.2">
      <c r="A194">
        <v>960</v>
      </c>
      <c r="B194" t="s">
        <v>2966</v>
      </c>
      <c r="C194" t="s">
        <v>2967</v>
      </c>
      <c r="D194" s="1" t="s">
        <v>780</v>
      </c>
      <c r="E194" t="s">
        <v>2968</v>
      </c>
      <c r="F194" t="s">
        <v>872</v>
      </c>
      <c r="G194" s="4" t="s">
        <v>5423</v>
      </c>
      <c r="H194" t="s">
        <v>2969</v>
      </c>
      <c r="I194" t="s">
        <v>59</v>
      </c>
      <c r="J194" s="4" t="s">
        <v>68</v>
      </c>
      <c r="K194" t="s">
        <v>14</v>
      </c>
      <c r="L194">
        <v>1</v>
      </c>
      <c r="M194" t="s">
        <v>783</v>
      </c>
      <c r="N194" t="s">
        <v>614</v>
      </c>
      <c r="O194" t="s">
        <v>605</v>
      </c>
      <c r="P194" s="2" t="str">
        <f t="shared" ref="P194:P257" si="9">IF(ISBLANK(M194), "", TEXT(WORKDAY(M194, 7), "dd/mm/yyyy") &amp; " to " &amp; TEXT(WORKDAY(M194, 10), "dd/mm/yyyy"))</f>
        <v>20/02/2025 to 25/02/2025</v>
      </c>
      <c r="Q194" s="3">
        <v>45712</v>
      </c>
      <c r="R194" t="str">
        <f t="shared" ref="R194:R257" si="10">IF(Q194="","In Progress",
IF(AND(--Q194&gt;=DATEVALUE(LEFT(P194,10)),
       --Q194&lt;=DATEVALUE(TRIM(MID(P194,FIND("to",P194)+3,10)))),
   "On-Time","Late"))</f>
        <v>On-Time</v>
      </c>
      <c r="S194" t="s">
        <v>1774</v>
      </c>
      <c r="T194">
        <v>9.5</v>
      </c>
      <c r="U194" t="s">
        <v>79</v>
      </c>
      <c r="V194" t="s">
        <v>80</v>
      </c>
      <c r="W194" t="str">
        <f t="shared" ca="1" si="8"/>
        <v>Inactive</v>
      </c>
    </row>
    <row r="195" spans="1:23" x14ac:dyDescent="0.2">
      <c r="A195">
        <v>961</v>
      </c>
      <c r="B195" t="s">
        <v>2966</v>
      </c>
      <c r="C195" t="s">
        <v>2970</v>
      </c>
      <c r="D195" s="1" t="s">
        <v>780</v>
      </c>
      <c r="E195" t="s">
        <v>2968</v>
      </c>
      <c r="F195" t="s">
        <v>872</v>
      </c>
      <c r="G195" s="4" t="s">
        <v>5420</v>
      </c>
      <c r="H195" t="s">
        <v>2969</v>
      </c>
      <c r="I195" t="s">
        <v>59</v>
      </c>
      <c r="J195" s="4" t="s">
        <v>74</v>
      </c>
      <c r="K195" t="s">
        <v>2971</v>
      </c>
      <c r="L195">
        <v>3</v>
      </c>
      <c r="M195" t="s">
        <v>783</v>
      </c>
      <c r="N195" t="s">
        <v>614</v>
      </c>
      <c r="O195" t="s">
        <v>783</v>
      </c>
      <c r="P195" s="2" t="str">
        <f t="shared" si="9"/>
        <v>20/02/2025 to 25/02/2025</v>
      </c>
      <c r="Q195" s="3">
        <v>45706</v>
      </c>
      <c r="R195" t="str">
        <f t="shared" si="10"/>
        <v>Late</v>
      </c>
      <c r="S195" t="s">
        <v>1005</v>
      </c>
      <c r="T195">
        <v>31.5</v>
      </c>
      <c r="U195" t="s">
        <v>79</v>
      </c>
      <c r="V195" t="s">
        <v>80</v>
      </c>
      <c r="W195" t="str">
        <f t="shared" ref="W195:W258" ca="1" si="11">IF(D195="","",
IF(TODAY()-D195&lt;=120,"Active",
IF(TODAY()-D195&lt;=210,"At Risk",
IF(TODAY()-D195&lt;=395,"Dormant",
IF(TODAY()-D195&lt;=730,"Inactive","Archived")))))</f>
        <v>Inactive</v>
      </c>
    </row>
    <row r="196" spans="1:23" x14ac:dyDescent="0.2">
      <c r="A196">
        <v>1817</v>
      </c>
      <c r="B196" t="s">
        <v>4998</v>
      </c>
      <c r="C196" t="s">
        <v>4999</v>
      </c>
      <c r="D196" s="1" t="s">
        <v>780</v>
      </c>
      <c r="E196" t="s">
        <v>5000</v>
      </c>
      <c r="F196" t="s">
        <v>881</v>
      </c>
      <c r="G196" s="4" t="s">
        <v>5428</v>
      </c>
      <c r="H196" t="s">
        <v>4645</v>
      </c>
      <c r="I196" t="s">
        <v>136</v>
      </c>
      <c r="J196" s="4" t="s">
        <v>68</v>
      </c>
      <c r="K196" t="s">
        <v>28</v>
      </c>
      <c r="L196">
        <v>1</v>
      </c>
      <c r="M196" t="s">
        <v>780</v>
      </c>
      <c r="N196" t="s">
        <v>780</v>
      </c>
      <c r="O196" t="s">
        <v>780</v>
      </c>
      <c r="P196" s="2" t="str">
        <f t="shared" si="9"/>
        <v>18/02/2025 to 21/02/2025</v>
      </c>
      <c r="Q196" s="3">
        <v>45707</v>
      </c>
      <c r="R196" t="str">
        <f t="shared" si="10"/>
        <v>On-Time</v>
      </c>
      <c r="S196" t="s">
        <v>618</v>
      </c>
      <c r="T196">
        <v>9</v>
      </c>
      <c r="U196" t="s">
        <v>79</v>
      </c>
      <c r="V196" t="s">
        <v>66</v>
      </c>
      <c r="W196" t="str">
        <f t="shared" ca="1" si="11"/>
        <v>Inactive</v>
      </c>
    </row>
    <row r="197" spans="1:23" x14ac:dyDescent="0.2">
      <c r="A197">
        <v>1818</v>
      </c>
      <c r="B197" t="s">
        <v>4998</v>
      </c>
      <c r="C197" t="s">
        <v>5001</v>
      </c>
      <c r="D197" s="1" t="s">
        <v>780</v>
      </c>
      <c r="E197" t="s">
        <v>5000</v>
      </c>
      <c r="F197" t="s">
        <v>881</v>
      </c>
      <c r="G197" s="4" t="s">
        <v>5419</v>
      </c>
      <c r="H197" t="s">
        <v>4645</v>
      </c>
      <c r="I197" t="s">
        <v>136</v>
      </c>
      <c r="J197" s="4" t="s">
        <v>5417</v>
      </c>
      <c r="K197" t="s">
        <v>5002</v>
      </c>
      <c r="L197">
        <v>4</v>
      </c>
      <c r="M197" t="s">
        <v>783</v>
      </c>
      <c r="N197" t="s">
        <v>614</v>
      </c>
      <c r="O197" t="s">
        <v>783</v>
      </c>
      <c r="P197" s="2" t="str">
        <f t="shared" si="9"/>
        <v>20/02/2025 to 25/02/2025</v>
      </c>
      <c r="Q197" s="3">
        <v>45712</v>
      </c>
      <c r="R197" t="str">
        <f t="shared" si="10"/>
        <v>On-Time</v>
      </c>
      <c r="S197" t="s">
        <v>622</v>
      </c>
      <c r="T197">
        <v>38</v>
      </c>
      <c r="U197" t="s">
        <v>79</v>
      </c>
      <c r="V197" t="s">
        <v>66</v>
      </c>
      <c r="W197" t="str">
        <f t="shared" ca="1" si="11"/>
        <v>Inactive</v>
      </c>
    </row>
    <row r="198" spans="1:23" x14ac:dyDescent="0.2">
      <c r="A198">
        <v>1819</v>
      </c>
      <c r="B198" t="s">
        <v>4998</v>
      </c>
      <c r="C198" t="s">
        <v>5003</v>
      </c>
      <c r="D198" s="1" t="s">
        <v>780</v>
      </c>
      <c r="E198" t="s">
        <v>5000</v>
      </c>
      <c r="F198" t="s">
        <v>881</v>
      </c>
      <c r="G198" s="4" t="s">
        <v>5423</v>
      </c>
      <c r="H198" t="s">
        <v>4645</v>
      </c>
      <c r="I198" t="s">
        <v>136</v>
      </c>
      <c r="J198" s="4" t="s">
        <v>60</v>
      </c>
      <c r="K198" t="s">
        <v>548</v>
      </c>
      <c r="L198">
        <v>2</v>
      </c>
      <c r="M198" t="s">
        <v>782</v>
      </c>
      <c r="N198" t="s">
        <v>605</v>
      </c>
      <c r="O198" t="s">
        <v>782</v>
      </c>
      <c r="P198" s="2" t="str">
        <f t="shared" si="9"/>
        <v>19/02/2025 to 24/02/2025</v>
      </c>
      <c r="Q198" s="3">
        <v>45706</v>
      </c>
      <c r="R198" t="str">
        <f t="shared" si="10"/>
        <v>Late</v>
      </c>
      <c r="S198" t="s">
        <v>1005</v>
      </c>
      <c r="T198">
        <v>16.5</v>
      </c>
      <c r="U198" t="s">
        <v>79</v>
      </c>
      <c r="V198" t="s">
        <v>80</v>
      </c>
      <c r="W198" t="str">
        <f t="shared" ca="1" si="11"/>
        <v>Inactive</v>
      </c>
    </row>
    <row r="199" spans="1:23" x14ac:dyDescent="0.2">
      <c r="A199">
        <v>1820</v>
      </c>
      <c r="B199" t="s">
        <v>4998</v>
      </c>
      <c r="C199" t="s">
        <v>5004</v>
      </c>
      <c r="D199" s="1" t="s">
        <v>780</v>
      </c>
      <c r="E199" t="s">
        <v>5000</v>
      </c>
      <c r="F199" t="s">
        <v>881</v>
      </c>
      <c r="G199" s="4" t="s">
        <v>38</v>
      </c>
      <c r="H199" t="s">
        <v>4645</v>
      </c>
      <c r="I199" t="s">
        <v>136</v>
      </c>
      <c r="J199" s="4" t="s">
        <v>60</v>
      </c>
      <c r="K199" t="s">
        <v>5005</v>
      </c>
      <c r="L199">
        <v>3</v>
      </c>
      <c r="M199" t="s">
        <v>783</v>
      </c>
      <c r="N199" t="s">
        <v>614</v>
      </c>
      <c r="O199" t="s">
        <v>605</v>
      </c>
      <c r="P199" s="2" t="str">
        <f t="shared" si="9"/>
        <v>20/02/2025 to 25/02/2025</v>
      </c>
      <c r="Q199" s="3">
        <v>45712</v>
      </c>
      <c r="R199" t="str">
        <f t="shared" si="10"/>
        <v>On-Time</v>
      </c>
      <c r="S199" t="s">
        <v>1774</v>
      </c>
      <c r="T199">
        <v>26</v>
      </c>
      <c r="U199" t="s">
        <v>79</v>
      </c>
      <c r="V199" t="s">
        <v>72</v>
      </c>
      <c r="W199" t="str">
        <f t="shared" ca="1" si="11"/>
        <v>Inactive</v>
      </c>
    </row>
    <row r="200" spans="1:23" x14ac:dyDescent="0.2">
      <c r="A200">
        <v>1821</v>
      </c>
      <c r="B200" t="s">
        <v>4998</v>
      </c>
      <c r="C200" t="s">
        <v>5006</v>
      </c>
      <c r="D200" s="1" t="s">
        <v>780</v>
      </c>
      <c r="E200" t="s">
        <v>5000</v>
      </c>
      <c r="F200" t="s">
        <v>881</v>
      </c>
      <c r="G200" s="4" t="s">
        <v>5424</v>
      </c>
      <c r="H200" t="s">
        <v>4645</v>
      </c>
      <c r="I200" t="s">
        <v>136</v>
      </c>
      <c r="J200" s="4" t="s">
        <v>74</v>
      </c>
      <c r="K200" t="s">
        <v>5007</v>
      </c>
      <c r="L200">
        <v>3</v>
      </c>
      <c r="M200" t="s">
        <v>783</v>
      </c>
      <c r="N200" t="s">
        <v>614</v>
      </c>
      <c r="O200" t="s">
        <v>783</v>
      </c>
      <c r="P200" s="2" t="str">
        <f t="shared" si="9"/>
        <v>20/02/2025 to 25/02/2025</v>
      </c>
      <c r="Q200" s="3">
        <v>45712</v>
      </c>
      <c r="R200" t="str">
        <f t="shared" si="10"/>
        <v>On-Time</v>
      </c>
      <c r="S200" t="s">
        <v>1771</v>
      </c>
      <c r="T200">
        <v>35</v>
      </c>
      <c r="U200" t="s">
        <v>65</v>
      </c>
      <c r="V200" t="s">
        <v>66</v>
      </c>
      <c r="W200" t="str">
        <f t="shared" ca="1" si="11"/>
        <v>Inactive</v>
      </c>
    </row>
    <row r="201" spans="1:23" x14ac:dyDescent="0.2">
      <c r="A201">
        <v>732</v>
      </c>
      <c r="B201" t="s">
        <v>2411</v>
      </c>
      <c r="C201" t="s">
        <v>2412</v>
      </c>
      <c r="D201" s="1" t="s">
        <v>782</v>
      </c>
      <c r="E201" t="s">
        <v>2413</v>
      </c>
      <c r="F201" t="s">
        <v>209</v>
      </c>
      <c r="G201" s="4" t="s">
        <v>5421</v>
      </c>
      <c r="H201" t="s">
        <v>2414</v>
      </c>
      <c r="I201" t="s">
        <v>59</v>
      </c>
      <c r="J201" s="4" t="s">
        <v>5417</v>
      </c>
      <c r="K201" t="s">
        <v>20</v>
      </c>
      <c r="L201">
        <v>1</v>
      </c>
      <c r="M201" t="s">
        <v>783</v>
      </c>
      <c r="N201" t="s">
        <v>783</v>
      </c>
      <c r="O201" t="s">
        <v>614</v>
      </c>
      <c r="P201" s="2" t="str">
        <f t="shared" si="9"/>
        <v>20/02/2025 to 25/02/2025</v>
      </c>
      <c r="Q201" s="3">
        <v>45714</v>
      </c>
      <c r="R201" t="str">
        <f t="shared" si="10"/>
        <v>Late</v>
      </c>
      <c r="S201" t="s">
        <v>610</v>
      </c>
      <c r="T201">
        <v>10.5</v>
      </c>
      <c r="U201" t="s">
        <v>79</v>
      </c>
      <c r="V201" t="s">
        <v>72</v>
      </c>
      <c r="W201" t="str">
        <f t="shared" ca="1" si="11"/>
        <v>Inactive</v>
      </c>
    </row>
    <row r="202" spans="1:23" x14ac:dyDescent="0.2">
      <c r="A202">
        <v>733</v>
      </c>
      <c r="B202" t="s">
        <v>2411</v>
      </c>
      <c r="C202" t="s">
        <v>2415</v>
      </c>
      <c r="D202" s="1" t="s">
        <v>782</v>
      </c>
      <c r="E202" t="s">
        <v>2413</v>
      </c>
      <c r="F202" t="s">
        <v>209</v>
      </c>
      <c r="G202" s="4" t="s">
        <v>5420</v>
      </c>
      <c r="H202" t="s">
        <v>2414</v>
      </c>
      <c r="I202" t="s">
        <v>59</v>
      </c>
      <c r="J202" s="4" t="s">
        <v>74</v>
      </c>
      <c r="K202" t="s">
        <v>934</v>
      </c>
      <c r="L202">
        <v>2</v>
      </c>
      <c r="M202" t="s">
        <v>783</v>
      </c>
      <c r="N202" t="s">
        <v>605</v>
      </c>
      <c r="O202" t="s">
        <v>783</v>
      </c>
      <c r="P202" s="2" t="str">
        <f t="shared" si="9"/>
        <v>20/02/2025 to 25/02/2025</v>
      </c>
      <c r="Q202" s="3">
        <v>45711</v>
      </c>
      <c r="R202" t="str">
        <f t="shared" si="10"/>
        <v>On-Time</v>
      </c>
      <c r="S202" t="s">
        <v>621</v>
      </c>
      <c r="T202">
        <v>18</v>
      </c>
      <c r="U202" t="s">
        <v>79</v>
      </c>
      <c r="V202" t="s">
        <v>80</v>
      </c>
      <c r="W202" t="str">
        <f t="shared" ca="1" si="11"/>
        <v>Inactive</v>
      </c>
    </row>
    <row r="203" spans="1:23" x14ac:dyDescent="0.2">
      <c r="A203">
        <v>734</v>
      </c>
      <c r="B203" t="s">
        <v>2411</v>
      </c>
      <c r="C203" t="s">
        <v>2416</v>
      </c>
      <c r="D203" s="1" t="s">
        <v>782</v>
      </c>
      <c r="E203" t="s">
        <v>2413</v>
      </c>
      <c r="F203" t="s">
        <v>209</v>
      </c>
      <c r="G203" s="4" t="s">
        <v>5423</v>
      </c>
      <c r="H203" t="s">
        <v>2414</v>
      </c>
      <c r="I203" t="s">
        <v>59</v>
      </c>
      <c r="J203" s="4" t="s">
        <v>60</v>
      </c>
      <c r="K203" t="s">
        <v>918</v>
      </c>
      <c r="L203">
        <v>2</v>
      </c>
      <c r="M203" t="s">
        <v>782</v>
      </c>
      <c r="N203" t="s">
        <v>782</v>
      </c>
      <c r="O203" t="s">
        <v>605</v>
      </c>
      <c r="P203" s="2" t="str">
        <f t="shared" si="9"/>
        <v>19/02/2025 to 24/02/2025</v>
      </c>
      <c r="Q203" s="3">
        <v>45708</v>
      </c>
      <c r="R203" t="str">
        <f t="shared" si="10"/>
        <v>On-Time</v>
      </c>
      <c r="S203" t="s">
        <v>615</v>
      </c>
      <c r="T203">
        <v>24</v>
      </c>
      <c r="U203" t="s">
        <v>65</v>
      </c>
      <c r="V203" t="s">
        <v>80</v>
      </c>
      <c r="W203" t="str">
        <f t="shared" ca="1" si="11"/>
        <v>Inactive</v>
      </c>
    </row>
    <row r="204" spans="1:23" x14ac:dyDescent="0.2">
      <c r="A204">
        <v>735</v>
      </c>
      <c r="B204" t="s">
        <v>2411</v>
      </c>
      <c r="C204" t="s">
        <v>2417</v>
      </c>
      <c r="D204" s="1" t="s">
        <v>782</v>
      </c>
      <c r="E204" t="s">
        <v>2413</v>
      </c>
      <c r="F204" t="s">
        <v>209</v>
      </c>
      <c r="G204" s="4" t="s">
        <v>5421</v>
      </c>
      <c r="H204" t="s">
        <v>2414</v>
      </c>
      <c r="I204" t="s">
        <v>59</v>
      </c>
      <c r="J204" s="4" t="s">
        <v>74</v>
      </c>
      <c r="K204" t="s">
        <v>2418</v>
      </c>
      <c r="L204">
        <v>3</v>
      </c>
      <c r="M204" t="s">
        <v>782</v>
      </c>
      <c r="N204" t="s">
        <v>782</v>
      </c>
      <c r="O204" t="s">
        <v>782</v>
      </c>
      <c r="P204" s="2" t="str">
        <f t="shared" si="9"/>
        <v>19/02/2025 to 24/02/2025</v>
      </c>
      <c r="Q204" s="3">
        <v>45706</v>
      </c>
      <c r="R204" t="str">
        <f t="shared" si="10"/>
        <v>Late</v>
      </c>
      <c r="S204" t="s">
        <v>129</v>
      </c>
      <c r="T204">
        <v>27.5</v>
      </c>
      <c r="U204" t="s">
        <v>79</v>
      </c>
      <c r="V204" t="s">
        <v>66</v>
      </c>
      <c r="W204" t="str">
        <f t="shared" ca="1" si="11"/>
        <v>Inactive</v>
      </c>
    </row>
    <row r="205" spans="1:23" x14ac:dyDescent="0.2">
      <c r="A205">
        <v>1077</v>
      </c>
      <c r="B205" t="s">
        <v>3251</v>
      </c>
      <c r="C205" t="s">
        <v>3252</v>
      </c>
      <c r="D205" s="1" t="s">
        <v>782</v>
      </c>
      <c r="E205" t="s">
        <v>3253</v>
      </c>
      <c r="F205" t="s">
        <v>335</v>
      </c>
      <c r="G205" s="4" t="s">
        <v>38</v>
      </c>
      <c r="H205" t="s">
        <v>3254</v>
      </c>
      <c r="I205" t="s">
        <v>201</v>
      </c>
      <c r="J205" s="4" t="s">
        <v>60</v>
      </c>
      <c r="K205" t="s">
        <v>3255</v>
      </c>
      <c r="L205">
        <v>3</v>
      </c>
      <c r="M205" t="s">
        <v>782</v>
      </c>
      <c r="N205" t="s">
        <v>783</v>
      </c>
      <c r="O205" t="s">
        <v>783</v>
      </c>
      <c r="P205" s="2" t="str">
        <f t="shared" si="9"/>
        <v>19/02/2025 to 24/02/2025</v>
      </c>
      <c r="Q205" s="3">
        <v>45706</v>
      </c>
      <c r="R205" t="str">
        <f t="shared" si="10"/>
        <v>Late</v>
      </c>
      <c r="S205" t="s">
        <v>129</v>
      </c>
      <c r="T205">
        <v>24.5</v>
      </c>
      <c r="U205" t="s">
        <v>79</v>
      </c>
      <c r="V205" t="s">
        <v>80</v>
      </c>
      <c r="W205" t="str">
        <f t="shared" ca="1" si="11"/>
        <v>Inactive</v>
      </c>
    </row>
    <row r="206" spans="1:23" x14ac:dyDescent="0.2">
      <c r="A206">
        <v>1078</v>
      </c>
      <c r="B206" t="s">
        <v>3251</v>
      </c>
      <c r="C206" t="s">
        <v>3256</v>
      </c>
      <c r="D206" s="1" t="s">
        <v>782</v>
      </c>
      <c r="E206" t="s">
        <v>3253</v>
      </c>
      <c r="F206" t="s">
        <v>335</v>
      </c>
      <c r="G206" s="4" t="s">
        <v>5425</v>
      </c>
      <c r="H206" t="s">
        <v>3254</v>
      </c>
      <c r="I206" t="s">
        <v>201</v>
      </c>
      <c r="J206" s="4" t="s">
        <v>68</v>
      </c>
      <c r="K206" t="s">
        <v>3257</v>
      </c>
      <c r="L206">
        <v>3</v>
      </c>
      <c r="M206" t="s">
        <v>782</v>
      </c>
      <c r="N206" t="s">
        <v>783</v>
      </c>
      <c r="O206" t="s">
        <v>605</v>
      </c>
      <c r="P206" s="2" t="str">
        <f t="shared" si="9"/>
        <v>19/02/2025 to 24/02/2025</v>
      </c>
      <c r="Q206" s="3">
        <v>45707</v>
      </c>
      <c r="R206" t="str">
        <f t="shared" si="10"/>
        <v>On-Time</v>
      </c>
      <c r="S206" t="s">
        <v>129</v>
      </c>
      <c r="T206">
        <v>27.5</v>
      </c>
      <c r="U206" t="s">
        <v>65</v>
      </c>
      <c r="V206" t="s">
        <v>66</v>
      </c>
      <c r="W206" t="str">
        <f t="shared" ca="1" si="11"/>
        <v>Inactive</v>
      </c>
    </row>
    <row r="207" spans="1:23" x14ac:dyDescent="0.2">
      <c r="A207">
        <v>1079</v>
      </c>
      <c r="B207" t="s">
        <v>3251</v>
      </c>
      <c r="C207" t="s">
        <v>3258</v>
      </c>
      <c r="D207" s="1" t="s">
        <v>782</v>
      </c>
      <c r="E207" t="s">
        <v>3253</v>
      </c>
      <c r="F207" t="s">
        <v>335</v>
      </c>
      <c r="G207" s="4" t="s">
        <v>5424</v>
      </c>
      <c r="H207" t="s">
        <v>3254</v>
      </c>
      <c r="I207" t="s">
        <v>201</v>
      </c>
      <c r="J207" s="4" t="s">
        <v>74</v>
      </c>
      <c r="K207" t="s">
        <v>379</v>
      </c>
      <c r="L207">
        <v>2</v>
      </c>
      <c r="M207" t="s">
        <v>782</v>
      </c>
      <c r="N207" t="s">
        <v>782</v>
      </c>
      <c r="O207" t="s">
        <v>782</v>
      </c>
      <c r="P207" s="2" t="str">
        <f t="shared" si="9"/>
        <v>19/02/2025 to 24/02/2025</v>
      </c>
      <c r="Q207" s="3">
        <v>45710</v>
      </c>
      <c r="R207" t="str">
        <f t="shared" si="10"/>
        <v>On-Time</v>
      </c>
      <c r="S207" t="s">
        <v>615</v>
      </c>
      <c r="T207">
        <v>17.5</v>
      </c>
      <c r="U207" t="s">
        <v>65</v>
      </c>
      <c r="V207" t="s">
        <v>66</v>
      </c>
      <c r="W207" t="str">
        <f t="shared" ca="1" si="11"/>
        <v>Inactive</v>
      </c>
    </row>
    <row r="208" spans="1:23" x14ac:dyDescent="0.2">
      <c r="A208">
        <v>1514</v>
      </c>
      <c r="B208" t="s">
        <v>4308</v>
      </c>
      <c r="C208" t="s">
        <v>4309</v>
      </c>
      <c r="D208" s="1" t="s">
        <v>783</v>
      </c>
      <c r="E208" t="s">
        <v>4310</v>
      </c>
      <c r="F208" t="s">
        <v>110</v>
      </c>
      <c r="G208" s="4" t="s">
        <v>5421</v>
      </c>
      <c r="H208" t="s">
        <v>4114</v>
      </c>
      <c r="I208" t="s">
        <v>59</v>
      </c>
      <c r="J208" s="4" t="s">
        <v>74</v>
      </c>
      <c r="K208" t="s">
        <v>1652</v>
      </c>
      <c r="L208">
        <v>2</v>
      </c>
      <c r="M208" t="s">
        <v>605</v>
      </c>
      <c r="N208" t="s">
        <v>614</v>
      </c>
      <c r="O208" t="s">
        <v>125</v>
      </c>
      <c r="P208" s="2" t="str">
        <f t="shared" si="9"/>
        <v>21/02/2025 to 26/02/2025</v>
      </c>
      <c r="Q208" s="3">
        <v>45715</v>
      </c>
      <c r="R208" t="str">
        <f t="shared" si="10"/>
        <v>Late</v>
      </c>
      <c r="S208" t="s">
        <v>610</v>
      </c>
      <c r="T208">
        <v>17</v>
      </c>
      <c r="U208" t="s">
        <v>65</v>
      </c>
      <c r="V208" t="s">
        <v>66</v>
      </c>
      <c r="W208" t="str">
        <f t="shared" ca="1" si="11"/>
        <v>Inactive</v>
      </c>
    </row>
    <row r="209" spans="1:23" x14ac:dyDescent="0.2">
      <c r="A209">
        <v>1515</v>
      </c>
      <c r="B209" t="s">
        <v>4308</v>
      </c>
      <c r="C209" t="s">
        <v>4311</v>
      </c>
      <c r="D209" s="1" t="s">
        <v>783</v>
      </c>
      <c r="E209" t="s">
        <v>4310</v>
      </c>
      <c r="F209" t="s">
        <v>110</v>
      </c>
      <c r="G209" s="4" t="s">
        <v>5426</v>
      </c>
      <c r="H209" t="s">
        <v>4114</v>
      </c>
      <c r="I209" t="s">
        <v>59</v>
      </c>
      <c r="J209" s="4" t="s">
        <v>60</v>
      </c>
      <c r="K209" t="s">
        <v>32</v>
      </c>
      <c r="L209">
        <v>1</v>
      </c>
      <c r="M209" t="s">
        <v>783</v>
      </c>
      <c r="N209" t="s">
        <v>614</v>
      </c>
      <c r="O209" t="s">
        <v>783</v>
      </c>
      <c r="P209" s="2" t="str">
        <f t="shared" si="9"/>
        <v>20/02/2025 to 25/02/2025</v>
      </c>
      <c r="Q209" s="3">
        <v>45707</v>
      </c>
      <c r="R209" t="str">
        <f t="shared" si="10"/>
        <v>Late</v>
      </c>
      <c r="S209" t="s">
        <v>618</v>
      </c>
      <c r="T209">
        <v>14</v>
      </c>
      <c r="U209" t="s">
        <v>79</v>
      </c>
      <c r="V209" t="s">
        <v>72</v>
      </c>
      <c r="W209" t="str">
        <f t="shared" ca="1" si="11"/>
        <v>Inactive</v>
      </c>
    </row>
    <row r="210" spans="1:23" x14ac:dyDescent="0.2">
      <c r="A210">
        <v>1516</v>
      </c>
      <c r="B210" t="s">
        <v>4308</v>
      </c>
      <c r="C210" t="s">
        <v>4312</v>
      </c>
      <c r="D210" s="1" t="s">
        <v>783</v>
      </c>
      <c r="E210" t="s">
        <v>4310</v>
      </c>
      <c r="F210" t="s">
        <v>110</v>
      </c>
      <c r="G210" s="4" t="s">
        <v>5423</v>
      </c>
      <c r="H210" t="s">
        <v>4114</v>
      </c>
      <c r="I210" t="s">
        <v>59</v>
      </c>
      <c r="J210" s="4" t="s">
        <v>60</v>
      </c>
      <c r="K210" t="s">
        <v>3715</v>
      </c>
      <c r="L210">
        <v>3</v>
      </c>
      <c r="M210" t="s">
        <v>614</v>
      </c>
      <c r="N210" t="s">
        <v>464</v>
      </c>
      <c r="O210" t="s">
        <v>464</v>
      </c>
      <c r="P210" s="2" t="str">
        <f t="shared" si="9"/>
        <v>24/02/2025 to 27/02/2025</v>
      </c>
      <c r="Q210" s="3">
        <v>45715</v>
      </c>
      <c r="R210" t="str">
        <f t="shared" si="10"/>
        <v>On-Time</v>
      </c>
      <c r="S210" t="s">
        <v>611</v>
      </c>
      <c r="T210">
        <v>24.5</v>
      </c>
      <c r="U210" t="s">
        <v>65</v>
      </c>
      <c r="V210" t="s">
        <v>80</v>
      </c>
      <c r="W210" t="str">
        <f t="shared" ca="1" si="11"/>
        <v>Inactive</v>
      </c>
    </row>
    <row r="211" spans="1:23" x14ac:dyDescent="0.2">
      <c r="A211">
        <v>1517</v>
      </c>
      <c r="B211" t="s">
        <v>4308</v>
      </c>
      <c r="C211" t="s">
        <v>4313</v>
      </c>
      <c r="D211" s="1" t="s">
        <v>783</v>
      </c>
      <c r="E211" t="s">
        <v>4310</v>
      </c>
      <c r="F211" t="s">
        <v>110</v>
      </c>
      <c r="G211" s="4" t="s">
        <v>5426</v>
      </c>
      <c r="H211" t="s">
        <v>4114</v>
      </c>
      <c r="I211" t="s">
        <v>59</v>
      </c>
      <c r="J211" s="4" t="s">
        <v>74</v>
      </c>
      <c r="K211" t="s">
        <v>4314</v>
      </c>
      <c r="L211">
        <v>3</v>
      </c>
      <c r="M211" t="s">
        <v>605</v>
      </c>
      <c r="N211" t="s">
        <v>125</v>
      </c>
      <c r="O211" t="s">
        <v>125</v>
      </c>
      <c r="P211" s="2" t="str">
        <f t="shared" si="9"/>
        <v>21/02/2025 to 26/02/2025</v>
      </c>
      <c r="Q211" s="3">
        <v>45714</v>
      </c>
      <c r="R211" t="str">
        <f t="shared" si="10"/>
        <v>On-Time</v>
      </c>
      <c r="S211" t="s">
        <v>1775</v>
      </c>
      <c r="T211">
        <v>24</v>
      </c>
      <c r="U211" t="s">
        <v>79</v>
      </c>
      <c r="V211" t="s">
        <v>66</v>
      </c>
      <c r="W211" t="str">
        <f t="shared" ca="1" si="11"/>
        <v>Inactive</v>
      </c>
    </row>
    <row r="212" spans="1:23" x14ac:dyDescent="0.2">
      <c r="A212">
        <v>1518</v>
      </c>
      <c r="B212" t="s">
        <v>4308</v>
      </c>
      <c r="C212" t="s">
        <v>4315</v>
      </c>
      <c r="D212" s="1" t="s">
        <v>783</v>
      </c>
      <c r="E212" t="s">
        <v>4310</v>
      </c>
      <c r="F212" t="s">
        <v>110</v>
      </c>
      <c r="G212" s="4" t="s">
        <v>5423</v>
      </c>
      <c r="H212" t="s">
        <v>4114</v>
      </c>
      <c r="I212" t="s">
        <v>59</v>
      </c>
      <c r="J212" s="4" t="s">
        <v>5417</v>
      </c>
      <c r="K212" t="s">
        <v>4316</v>
      </c>
      <c r="L212">
        <v>4</v>
      </c>
      <c r="M212" t="s">
        <v>783</v>
      </c>
      <c r="N212" t="s">
        <v>614</v>
      </c>
      <c r="O212" t="s">
        <v>614</v>
      </c>
      <c r="P212" s="2" t="str">
        <f t="shared" si="9"/>
        <v>20/02/2025 to 25/02/2025</v>
      </c>
      <c r="Q212" s="3">
        <v>45711</v>
      </c>
      <c r="R212" t="str">
        <f t="shared" si="10"/>
        <v>On-Time</v>
      </c>
      <c r="S212" t="s">
        <v>621</v>
      </c>
      <c r="T212">
        <v>36.5</v>
      </c>
      <c r="U212" t="s">
        <v>79</v>
      </c>
      <c r="V212" t="s">
        <v>66</v>
      </c>
      <c r="W212" t="str">
        <f t="shared" ca="1" si="11"/>
        <v>Inactive</v>
      </c>
    </row>
    <row r="213" spans="1:23" x14ac:dyDescent="0.2">
      <c r="A213">
        <v>1803</v>
      </c>
      <c r="B213" t="s">
        <v>4962</v>
      </c>
      <c r="C213" t="s">
        <v>4963</v>
      </c>
      <c r="D213" s="1" t="s">
        <v>783</v>
      </c>
      <c r="E213" t="s">
        <v>4964</v>
      </c>
      <c r="F213" t="s">
        <v>579</v>
      </c>
      <c r="G213" s="4" t="s">
        <v>38</v>
      </c>
      <c r="H213" t="s">
        <v>4965</v>
      </c>
      <c r="I213" t="s">
        <v>59</v>
      </c>
      <c r="J213" s="4" t="s">
        <v>68</v>
      </c>
      <c r="K213" t="s">
        <v>2092</v>
      </c>
      <c r="L213">
        <v>2</v>
      </c>
      <c r="M213" t="s">
        <v>605</v>
      </c>
      <c r="N213" t="s">
        <v>614</v>
      </c>
      <c r="O213" t="s">
        <v>605</v>
      </c>
      <c r="P213" s="2" t="str">
        <f t="shared" si="9"/>
        <v>21/02/2025 to 26/02/2025</v>
      </c>
      <c r="Q213" s="3">
        <v>45713</v>
      </c>
      <c r="R213" t="str">
        <f t="shared" si="10"/>
        <v>On-Time</v>
      </c>
      <c r="S213" t="s">
        <v>1775</v>
      </c>
      <c r="T213">
        <v>26</v>
      </c>
      <c r="U213" t="s">
        <v>65</v>
      </c>
      <c r="V213" t="s">
        <v>80</v>
      </c>
      <c r="W213" t="str">
        <f t="shared" ca="1" si="11"/>
        <v>Inactive</v>
      </c>
    </row>
    <row r="214" spans="1:23" x14ac:dyDescent="0.2">
      <c r="A214">
        <v>110</v>
      </c>
      <c r="B214" t="s">
        <v>603</v>
      </c>
      <c r="C214" t="s">
        <v>604</v>
      </c>
      <c r="D214" s="1" t="s">
        <v>605</v>
      </c>
      <c r="E214" t="s">
        <v>606</v>
      </c>
      <c r="F214" t="s">
        <v>607</v>
      </c>
      <c r="G214" s="4" t="s">
        <v>5428</v>
      </c>
      <c r="H214" t="s">
        <v>608</v>
      </c>
      <c r="I214" t="s">
        <v>93</v>
      </c>
      <c r="J214" s="4" t="s">
        <v>5417</v>
      </c>
      <c r="K214" t="s">
        <v>609</v>
      </c>
      <c r="L214">
        <v>4</v>
      </c>
      <c r="M214" t="s">
        <v>125</v>
      </c>
      <c r="N214" t="s">
        <v>125</v>
      </c>
      <c r="O214" t="s">
        <v>464</v>
      </c>
      <c r="P214" s="2" t="str">
        <f t="shared" si="9"/>
        <v>25/02/2025 to 28/02/2025</v>
      </c>
      <c r="Q214" s="3">
        <v>45716</v>
      </c>
      <c r="R214" t="str">
        <f t="shared" si="10"/>
        <v>On-Time</v>
      </c>
      <c r="S214" t="s">
        <v>611</v>
      </c>
      <c r="T214">
        <v>37.5</v>
      </c>
      <c r="U214" t="s">
        <v>65</v>
      </c>
      <c r="V214" t="s">
        <v>80</v>
      </c>
      <c r="W214" t="str">
        <f t="shared" ca="1" si="11"/>
        <v>Inactive</v>
      </c>
    </row>
    <row r="215" spans="1:23" x14ac:dyDescent="0.2">
      <c r="A215">
        <v>111</v>
      </c>
      <c r="B215" t="s">
        <v>603</v>
      </c>
      <c r="C215" t="s">
        <v>612</v>
      </c>
      <c r="D215" s="1" t="s">
        <v>605</v>
      </c>
      <c r="E215" t="s">
        <v>606</v>
      </c>
      <c r="F215" t="s">
        <v>607</v>
      </c>
      <c r="G215" s="4" t="s">
        <v>5418</v>
      </c>
      <c r="H215" t="s">
        <v>608</v>
      </c>
      <c r="I215" t="s">
        <v>93</v>
      </c>
      <c r="J215" s="4" t="s">
        <v>68</v>
      </c>
      <c r="K215" t="s">
        <v>613</v>
      </c>
      <c r="L215">
        <v>4</v>
      </c>
      <c r="M215" t="s">
        <v>614</v>
      </c>
      <c r="N215" t="s">
        <v>464</v>
      </c>
      <c r="O215" t="s">
        <v>464</v>
      </c>
      <c r="P215" s="2" t="str">
        <f t="shared" si="9"/>
        <v>24/02/2025 to 27/02/2025</v>
      </c>
      <c r="Q215" s="3">
        <v>45710</v>
      </c>
      <c r="R215" t="str">
        <f t="shared" si="10"/>
        <v>Late</v>
      </c>
      <c r="S215" t="s">
        <v>615</v>
      </c>
      <c r="T215">
        <v>40.5</v>
      </c>
      <c r="U215" t="s">
        <v>79</v>
      </c>
      <c r="V215" t="s">
        <v>80</v>
      </c>
      <c r="W215" t="str">
        <f t="shared" ca="1" si="11"/>
        <v>Inactive</v>
      </c>
    </row>
    <row r="216" spans="1:23" x14ac:dyDescent="0.2">
      <c r="A216">
        <v>112</v>
      </c>
      <c r="B216" t="s">
        <v>603</v>
      </c>
      <c r="C216" t="s">
        <v>616</v>
      </c>
      <c r="D216" s="1" t="s">
        <v>605</v>
      </c>
      <c r="E216" t="s">
        <v>606</v>
      </c>
      <c r="F216" t="s">
        <v>607</v>
      </c>
      <c r="G216" s="4" t="s">
        <v>5428</v>
      </c>
      <c r="H216" t="s">
        <v>608</v>
      </c>
      <c r="I216" t="s">
        <v>93</v>
      </c>
      <c r="J216" s="4" t="s">
        <v>74</v>
      </c>
      <c r="K216" t="s">
        <v>617</v>
      </c>
      <c r="L216">
        <v>3</v>
      </c>
      <c r="M216" t="s">
        <v>614</v>
      </c>
      <c r="N216" t="s">
        <v>464</v>
      </c>
      <c r="O216" t="s">
        <v>614</v>
      </c>
      <c r="P216" s="2" t="str">
        <f t="shared" si="9"/>
        <v>24/02/2025 to 27/02/2025</v>
      </c>
      <c r="Q216" s="3">
        <v>45709</v>
      </c>
      <c r="R216" t="str">
        <f t="shared" si="10"/>
        <v>Late</v>
      </c>
      <c r="S216" t="s">
        <v>615</v>
      </c>
      <c r="T216">
        <v>24.5</v>
      </c>
      <c r="U216" t="s">
        <v>79</v>
      </c>
      <c r="V216" t="s">
        <v>66</v>
      </c>
      <c r="W216" t="str">
        <f t="shared" ca="1" si="11"/>
        <v>Inactive</v>
      </c>
    </row>
    <row r="217" spans="1:23" x14ac:dyDescent="0.2">
      <c r="A217">
        <v>113</v>
      </c>
      <c r="B217" t="s">
        <v>603</v>
      </c>
      <c r="C217" t="s">
        <v>619</v>
      </c>
      <c r="D217" s="1" t="s">
        <v>605</v>
      </c>
      <c r="E217" t="s">
        <v>606</v>
      </c>
      <c r="F217" t="s">
        <v>607</v>
      </c>
      <c r="G217" s="4" t="s">
        <v>5420</v>
      </c>
      <c r="H217" t="s">
        <v>608</v>
      </c>
      <c r="I217" t="s">
        <v>93</v>
      </c>
      <c r="J217" s="4" t="s">
        <v>60</v>
      </c>
      <c r="K217" t="s">
        <v>620</v>
      </c>
      <c r="L217">
        <v>3</v>
      </c>
      <c r="M217" t="s">
        <v>125</v>
      </c>
      <c r="N217" t="s">
        <v>125</v>
      </c>
      <c r="O217" t="s">
        <v>464</v>
      </c>
      <c r="P217" s="2" t="str">
        <f t="shared" si="9"/>
        <v>25/02/2025 to 28/02/2025</v>
      </c>
      <c r="Q217" s="3">
        <v>45711</v>
      </c>
      <c r="R217" t="str">
        <f t="shared" si="10"/>
        <v>Late</v>
      </c>
      <c r="S217" t="s">
        <v>622</v>
      </c>
      <c r="T217">
        <v>27.5</v>
      </c>
      <c r="U217" t="s">
        <v>79</v>
      </c>
      <c r="V217" t="s">
        <v>66</v>
      </c>
      <c r="W217" t="str">
        <f t="shared" ca="1" si="11"/>
        <v>Inactive</v>
      </c>
    </row>
    <row r="218" spans="1:23" x14ac:dyDescent="0.2">
      <c r="A218">
        <v>1140</v>
      </c>
      <c r="B218" t="s">
        <v>3405</v>
      </c>
      <c r="C218" t="s">
        <v>3406</v>
      </c>
      <c r="D218" s="1" t="s">
        <v>605</v>
      </c>
      <c r="E218" t="s">
        <v>3407</v>
      </c>
      <c r="F218" t="s">
        <v>356</v>
      </c>
      <c r="G218" s="4" t="s">
        <v>5421</v>
      </c>
      <c r="H218" t="s">
        <v>3408</v>
      </c>
      <c r="I218" t="s">
        <v>59</v>
      </c>
      <c r="J218" s="4" t="s">
        <v>68</v>
      </c>
      <c r="K218" t="s">
        <v>1888</v>
      </c>
      <c r="L218">
        <v>2</v>
      </c>
      <c r="M218" t="s">
        <v>614</v>
      </c>
      <c r="N218" t="s">
        <v>464</v>
      </c>
      <c r="O218" t="s">
        <v>614</v>
      </c>
      <c r="P218" s="2" t="str">
        <f t="shared" si="9"/>
        <v>24/02/2025 to 27/02/2025</v>
      </c>
      <c r="Q218" s="3">
        <v>45709</v>
      </c>
      <c r="R218" t="str">
        <f t="shared" si="10"/>
        <v>Late</v>
      </c>
      <c r="S218" t="s">
        <v>621</v>
      </c>
      <c r="T218">
        <v>18.5</v>
      </c>
      <c r="U218" t="s">
        <v>79</v>
      </c>
      <c r="V218" t="s">
        <v>66</v>
      </c>
      <c r="W218" t="str">
        <f t="shared" ca="1" si="11"/>
        <v>Inactive</v>
      </c>
    </row>
    <row r="219" spans="1:23" x14ac:dyDescent="0.2">
      <c r="A219">
        <v>1141</v>
      </c>
      <c r="B219" t="s">
        <v>3405</v>
      </c>
      <c r="C219" t="s">
        <v>3409</v>
      </c>
      <c r="D219" s="1" t="s">
        <v>605</v>
      </c>
      <c r="E219" t="s">
        <v>3407</v>
      </c>
      <c r="F219" t="s">
        <v>356</v>
      </c>
      <c r="G219" s="4" t="s">
        <v>5426</v>
      </c>
      <c r="H219" t="s">
        <v>3408</v>
      </c>
      <c r="I219" t="s">
        <v>59</v>
      </c>
      <c r="J219" s="4" t="s">
        <v>74</v>
      </c>
      <c r="K219" t="s">
        <v>1117</v>
      </c>
      <c r="L219">
        <v>2</v>
      </c>
      <c r="M219" t="s">
        <v>614</v>
      </c>
      <c r="N219" t="s">
        <v>464</v>
      </c>
      <c r="O219" t="s">
        <v>464</v>
      </c>
      <c r="P219" s="2" t="str">
        <f t="shared" si="9"/>
        <v>24/02/2025 to 27/02/2025</v>
      </c>
      <c r="Q219" s="3">
        <v>45712</v>
      </c>
      <c r="R219" t="str">
        <f t="shared" si="10"/>
        <v>On-Time</v>
      </c>
      <c r="S219" t="s">
        <v>1771</v>
      </c>
      <c r="T219">
        <v>17.5</v>
      </c>
      <c r="U219" t="s">
        <v>79</v>
      </c>
      <c r="V219" t="s">
        <v>72</v>
      </c>
      <c r="W219" t="str">
        <f t="shared" ca="1" si="11"/>
        <v>Inactive</v>
      </c>
    </row>
    <row r="220" spans="1:23" x14ac:dyDescent="0.2">
      <c r="A220">
        <v>1142</v>
      </c>
      <c r="B220" t="s">
        <v>3405</v>
      </c>
      <c r="C220" t="s">
        <v>3410</v>
      </c>
      <c r="D220" s="1" t="s">
        <v>605</v>
      </c>
      <c r="E220" t="s">
        <v>3407</v>
      </c>
      <c r="F220" t="s">
        <v>356</v>
      </c>
      <c r="G220" s="4" t="s">
        <v>5422</v>
      </c>
      <c r="H220" t="s">
        <v>3408</v>
      </c>
      <c r="I220" t="s">
        <v>59</v>
      </c>
      <c r="J220" s="4" t="s">
        <v>68</v>
      </c>
      <c r="K220" t="s">
        <v>3411</v>
      </c>
      <c r="L220">
        <v>3</v>
      </c>
      <c r="M220" t="s">
        <v>614</v>
      </c>
      <c r="N220" t="s">
        <v>614</v>
      </c>
      <c r="O220" t="s">
        <v>464</v>
      </c>
      <c r="P220" s="2" t="str">
        <f t="shared" si="9"/>
        <v>24/02/2025 to 27/02/2025</v>
      </c>
      <c r="Q220" s="3">
        <v>45716</v>
      </c>
      <c r="R220" t="str">
        <f t="shared" si="10"/>
        <v>Late</v>
      </c>
      <c r="S220" t="s">
        <v>610</v>
      </c>
      <c r="T220">
        <v>27</v>
      </c>
      <c r="U220" t="s">
        <v>79</v>
      </c>
      <c r="V220" t="s">
        <v>80</v>
      </c>
      <c r="W220" t="str">
        <f t="shared" ca="1" si="11"/>
        <v>Inactive</v>
      </c>
    </row>
    <row r="221" spans="1:23" x14ac:dyDescent="0.2">
      <c r="A221">
        <v>1143</v>
      </c>
      <c r="B221" t="s">
        <v>3405</v>
      </c>
      <c r="C221" t="s">
        <v>3412</v>
      </c>
      <c r="D221" s="1" t="s">
        <v>605</v>
      </c>
      <c r="E221" t="s">
        <v>3407</v>
      </c>
      <c r="F221" t="s">
        <v>356</v>
      </c>
      <c r="G221" s="4" t="s">
        <v>5421</v>
      </c>
      <c r="H221" t="s">
        <v>3408</v>
      </c>
      <c r="I221" t="s">
        <v>59</v>
      </c>
      <c r="J221" s="4" t="s">
        <v>74</v>
      </c>
      <c r="K221" t="s">
        <v>32</v>
      </c>
      <c r="L221">
        <v>1</v>
      </c>
      <c r="M221" t="s">
        <v>125</v>
      </c>
      <c r="N221" t="s">
        <v>464</v>
      </c>
      <c r="O221" t="s">
        <v>464</v>
      </c>
      <c r="P221" s="2" t="str">
        <f t="shared" si="9"/>
        <v>25/02/2025 to 28/02/2025</v>
      </c>
      <c r="Q221" s="3">
        <v>45714</v>
      </c>
      <c r="R221" t="str">
        <f t="shared" si="10"/>
        <v>On-Time</v>
      </c>
      <c r="S221" t="s">
        <v>1775</v>
      </c>
      <c r="T221">
        <v>14</v>
      </c>
      <c r="U221" t="s">
        <v>79</v>
      </c>
      <c r="V221" t="s">
        <v>80</v>
      </c>
      <c r="W221" t="str">
        <f t="shared" ca="1" si="11"/>
        <v>Inactive</v>
      </c>
    </row>
    <row r="222" spans="1:23" x14ac:dyDescent="0.2">
      <c r="A222">
        <v>1600</v>
      </c>
      <c r="B222" t="s">
        <v>4511</v>
      </c>
      <c r="C222" t="s">
        <v>4512</v>
      </c>
      <c r="D222" s="1" t="s">
        <v>605</v>
      </c>
      <c r="E222" t="s">
        <v>4513</v>
      </c>
      <c r="F222" t="s">
        <v>1139</v>
      </c>
      <c r="G222" s="4" t="s">
        <v>5418</v>
      </c>
      <c r="H222" t="s">
        <v>4514</v>
      </c>
      <c r="I222" t="s">
        <v>112</v>
      </c>
      <c r="J222" s="4" t="s">
        <v>5417</v>
      </c>
      <c r="K222" t="s">
        <v>4515</v>
      </c>
      <c r="L222">
        <v>3</v>
      </c>
      <c r="M222" t="s">
        <v>614</v>
      </c>
      <c r="N222" t="s">
        <v>464</v>
      </c>
      <c r="O222" t="s">
        <v>464</v>
      </c>
      <c r="P222" s="2" t="str">
        <f t="shared" si="9"/>
        <v>24/02/2025 to 27/02/2025</v>
      </c>
      <c r="Q222" s="3">
        <v>45716</v>
      </c>
      <c r="R222" t="str">
        <f t="shared" si="10"/>
        <v>Late</v>
      </c>
      <c r="S222" t="s">
        <v>611</v>
      </c>
      <c r="T222">
        <v>26.5</v>
      </c>
      <c r="U222" t="s">
        <v>65</v>
      </c>
      <c r="V222" t="s">
        <v>72</v>
      </c>
      <c r="W222" t="str">
        <f t="shared" ca="1" si="11"/>
        <v>Inactive</v>
      </c>
    </row>
    <row r="223" spans="1:23" x14ac:dyDescent="0.2">
      <c r="A223">
        <v>1601</v>
      </c>
      <c r="B223" t="s">
        <v>4511</v>
      </c>
      <c r="C223" t="s">
        <v>4516</v>
      </c>
      <c r="D223" s="1" t="s">
        <v>605</v>
      </c>
      <c r="E223" t="s">
        <v>4513</v>
      </c>
      <c r="F223" t="s">
        <v>1139</v>
      </c>
      <c r="G223" s="4" t="s">
        <v>5426</v>
      </c>
      <c r="H223" t="s">
        <v>4514</v>
      </c>
      <c r="I223" t="s">
        <v>112</v>
      </c>
      <c r="J223" s="4" t="s">
        <v>68</v>
      </c>
      <c r="K223" t="s">
        <v>4517</v>
      </c>
      <c r="L223">
        <v>4</v>
      </c>
      <c r="M223" t="s">
        <v>614</v>
      </c>
      <c r="N223" t="s">
        <v>125</v>
      </c>
      <c r="O223" t="s">
        <v>614</v>
      </c>
      <c r="P223" s="2" t="str">
        <f t="shared" si="9"/>
        <v>24/02/2025 to 27/02/2025</v>
      </c>
      <c r="Q223" s="3">
        <v>45709</v>
      </c>
      <c r="R223" t="str">
        <f t="shared" si="10"/>
        <v>Late</v>
      </c>
      <c r="S223" t="s">
        <v>615</v>
      </c>
      <c r="T223">
        <v>33.5</v>
      </c>
      <c r="U223" t="s">
        <v>79</v>
      </c>
      <c r="V223" t="s">
        <v>72</v>
      </c>
      <c r="W223" t="str">
        <f t="shared" ca="1" si="11"/>
        <v>Inactive</v>
      </c>
    </row>
    <row r="224" spans="1:23" x14ac:dyDescent="0.2">
      <c r="A224">
        <v>1602</v>
      </c>
      <c r="B224" t="s">
        <v>4511</v>
      </c>
      <c r="C224" t="s">
        <v>4518</v>
      </c>
      <c r="D224" s="1" t="s">
        <v>605</v>
      </c>
      <c r="E224" t="s">
        <v>4513</v>
      </c>
      <c r="F224" t="s">
        <v>1139</v>
      </c>
      <c r="G224" s="4" t="s">
        <v>5422</v>
      </c>
      <c r="H224" t="s">
        <v>4514</v>
      </c>
      <c r="I224" t="s">
        <v>112</v>
      </c>
      <c r="J224" s="4" t="s">
        <v>5417</v>
      </c>
      <c r="K224" t="s">
        <v>2995</v>
      </c>
      <c r="L224">
        <v>2</v>
      </c>
      <c r="M224" t="s">
        <v>125</v>
      </c>
      <c r="N224" t="s">
        <v>125</v>
      </c>
      <c r="O224" t="s">
        <v>125</v>
      </c>
      <c r="P224" s="2" t="str">
        <f t="shared" si="9"/>
        <v>25/02/2025 to 28/02/2025</v>
      </c>
      <c r="Q224" s="3">
        <v>45710</v>
      </c>
      <c r="R224" t="str">
        <f t="shared" si="10"/>
        <v>Late</v>
      </c>
      <c r="S224" t="s">
        <v>615</v>
      </c>
      <c r="T224">
        <v>17.5</v>
      </c>
      <c r="U224" t="s">
        <v>79</v>
      </c>
      <c r="V224" t="s">
        <v>66</v>
      </c>
      <c r="W224" t="str">
        <f t="shared" ca="1" si="11"/>
        <v>Inactive</v>
      </c>
    </row>
    <row r="225" spans="1:23" x14ac:dyDescent="0.2">
      <c r="A225">
        <v>1603</v>
      </c>
      <c r="B225" t="s">
        <v>4511</v>
      </c>
      <c r="C225" t="s">
        <v>4519</v>
      </c>
      <c r="D225" s="1" t="s">
        <v>605</v>
      </c>
      <c r="E225" t="s">
        <v>4513</v>
      </c>
      <c r="F225" t="s">
        <v>1139</v>
      </c>
      <c r="G225" s="4" t="s">
        <v>5418</v>
      </c>
      <c r="H225" t="s">
        <v>4514</v>
      </c>
      <c r="I225" t="s">
        <v>112</v>
      </c>
      <c r="J225" s="4" t="s">
        <v>68</v>
      </c>
      <c r="K225" t="s">
        <v>20</v>
      </c>
      <c r="L225">
        <v>1</v>
      </c>
      <c r="M225" t="s">
        <v>605</v>
      </c>
      <c r="N225" t="s">
        <v>614</v>
      </c>
      <c r="O225" t="s">
        <v>125</v>
      </c>
      <c r="P225" s="2" t="str">
        <f t="shared" si="9"/>
        <v>21/02/2025 to 26/02/2025</v>
      </c>
      <c r="Q225" s="3">
        <v>45711</v>
      </c>
      <c r="R225" t="str">
        <f t="shared" si="10"/>
        <v>On-Time</v>
      </c>
      <c r="S225" t="s">
        <v>621</v>
      </c>
      <c r="T225">
        <v>10.5</v>
      </c>
      <c r="U225" t="s">
        <v>65</v>
      </c>
      <c r="V225" t="s">
        <v>66</v>
      </c>
      <c r="W225" t="str">
        <f t="shared" ca="1" si="11"/>
        <v>Inactive</v>
      </c>
    </row>
    <row r="226" spans="1:23" x14ac:dyDescent="0.2">
      <c r="A226">
        <v>1604</v>
      </c>
      <c r="B226" t="s">
        <v>4511</v>
      </c>
      <c r="C226" t="s">
        <v>4520</v>
      </c>
      <c r="D226" s="1" t="s">
        <v>605</v>
      </c>
      <c r="E226" t="s">
        <v>4513</v>
      </c>
      <c r="F226" t="s">
        <v>1139</v>
      </c>
      <c r="G226" s="4" t="s">
        <v>5424</v>
      </c>
      <c r="H226" t="s">
        <v>4514</v>
      </c>
      <c r="I226" t="s">
        <v>112</v>
      </c>
      <c r="J226" s="4" t="s">
        <v>5417</v>
      </c>
      <c r="K226" t="s">
        <v>4521</v>
      </c>
      <c r="L226">
        <v>4</v>
      </c>
      <c r="M226" t="s">
        <v>605</v>
      </c>
      <c r="N226" t="s">
        <v>614</v>
      </c>
      <c r="O226" t="s">
        <v>605</v>
      </c>
      <c r="P226" s="2" t="str">
        <f t="shared" si="9"/>
        <v>21/02/2025 to 26/02/2025</v>
      </c>
      <c r="Q226" s="3">
        <v>45711</v>
      </c>
      <c r="R226" t="str">
        <f t="shared" si="10"/>
        <v>On-Time</v>
      </c>
      <c r="S226" t="s">
        <v>1771</v>
      </c>
      <c r="T226">
        <v>44</v>
      </c>
      <c r="U226" t="s">
        <v>79</v>
      </c>
      <c r="V226" t="s">
        <v>72</v>
      </c>
      <c r="W226" t="str">
        <f t="shared" ca="1" si="11"/>
        <v>Inactive</v>
      </c>
    </row>
    <row r="227" spans="1:23" x14ac:dyDescent="0.2">
      <c r="A227">
        <v>1881</v>
      </c>
      <c r="B227" t="s">
        <v>5138</v>
      </c>
      <c r="C227" t="s">
        <v>5139</v>
      </c>
      <c r="D227" s="1" t="s">
        <v>614</v>
      </c>
      <c r="E227" t="s">
        <v>5140</v>
      </c>
      <c r="F227" t="s">
        <v>303</v>
      </c>
      <c r="G227" s="4" t="s">
        <v>5421</v>
      </c>
      <c r="H227" t="s">
        <v>1768</v>
      </c>
      <c r="I227" t="s">
        <v>93</v>
      </c>
      <c r="J227" s="4" t="s">
        <v>68</v>
      </c>
      <c r="K227" t="s">
        <v>8</v>
      </c>
      <c r="L227">
        <v>1</v>
      </c>
      <c r="M227" t="s">
        <v>464</v>
      </c>
      <c r="N227" t="s">
        <v>464</v>
      </c>
      <c r="O227" t="s">
        <v>464</v>
      </c>
      <c r="P227" s="2" t="str">
        <f t="shared" si="9"/>
        <v>25/02/2025 to 28/02/2025</v>
      </c>
      <c r="Q227" s="3">
        <v>45716</v>
      </c>
      <c r="R227" t="str">
        <f t="shared" si="10"/>
        <v>On-Time</v>
      </c>
      <c r="S227" t="s">
        <v>611</v>
      </c>
      <c r="T227">
        <v>9</v>
      </c>
      <c r="U227" t="s">
        <v>65</v>
      </c>
      <c r="V227" t="s">
        <v>66</v>
      </c>
      <c r="W227" t="str">
        <f t="shared" ca="1" si="11"/>
        <v>Inactive</v>
      </c>
    </row>
    <row r="228" spans="1:23" x14ac:dyDescent="0.2">
      <c r="A228">
        <v>1882</v>
      </c>
      <c r="B228" t="s">
        <v>5138</v>
      </c>
      <c r="C228" t="s">
        <v>5141</v>
      </c>
      <c r="D228" s="1" t="s">
        <v>614</v>
      </c>
      <c r="E228" t="s">
        <v>5140</v>
      </c>
      <c r="F228" t="s">
        <v>303</v>
      </c>
      <c r="G228" s="4" t="s">
        <v>5422</v>
      </c>
      <c r="H228" t="s">
        <v>1768</v>
      </c>
      <c r="I228" t="s">
        <v>93</v>
      </c>
      <c r="J228" s="4" t="s">
        <v>60</v>
      </c>
      <c r="K228" t="s">
        <v>282</v>
      </c>
      <c r="L228">
        <v>2</v>
      </c>
      <c r="M228" t="s">
        <v>614</v>
      </c>
      <c r="N228" t="s">
        <v>614</v>
      </c>
      <c r="O228" t="s">
        <v>125</v>
      </c>
      <c r="P228" s="2" t="str">
        <f t="shared" si="9"/>
        <v>24/02/2025 to 27/02/2025</v>
      </c>
      <c r="Q228" s="3">
        <v>45710</v>
      </c>
      <c r="R228" t="str">
        <f t="shared" si="10"/>
        <v>Late</v>
      </c>
      <c r="S228" t="s">
        <v>621</v>
      </c>
      <c r="T228">
        <v>21</v>
      </c>
      <c r="U228" t="s">
        <v>65</v>
      </c>
      <c r="V228" t="s">
        <v>72</v>
      </c>
      <c r="W228" t="str">
        <f t="shared" ca="1" si="11"/>
        <v>Inactive</v>
      </c>
    </row>
    <row r="229" spans="1:23" x14ac:dyDescent="0.2">
      <c r="A229">
        <v>1883</v>
      </c>
      <c r="B229" t="s">
        <v>5138</v>
      </c>
      <c r="C229" t="s">
        <v>5142</v>
      </c>
      <c r="D229" s="1" t="s">
        <v>614</v>
      </c>
      <c r="E229" t="s">
        <v>5140</v>
      </c>
      <c r="F229" t="s">
        <v>303</v>
      </c>
      <c r="G229" s="4" t="s">
        <v>5425</v>
      </c>
      <c r="H229" t="s">
        <v>1768</v>
      </c>
      <c r="I229" t="s">
        <v>93</v>
      </c>
      <c r="J229" s="4" t="s">
        <v>5417</v>
      </c>
      <c r="K229" t="s">
        <v>10</v>
      </c>
      <c r="L229">
        <v>1</v>
      </c>
      <c r="M229" t="s">
        <v>464</v>
      </c>
      <c r="N229" t="s">
        <v>464</v>
      </c>
      <c r="O229" t="s">
        <v>531</v>
      </c>
      <c r="P229" s="2" t="str">
        <f t="shared" si="9"/>
        <v>25/02/2025 to 28/02/2025</v>
      </c>
      <c r="Q229" s="3">
        <v>45718</v>
      </c>
      <c r="R229" t="str">
        <f t="shared" si="10"/>
        <v>Late</v>
      </c>
      <c r="S229" t="s">
        <v>1008</v>
      </c>
      <c r="T229">
        <v>10</v>
      </c>
      <c r="U229" t="s">
        <v>65</v>
      </c>
      <c r="V229" t="s">
        <v>66</v>
      </c>
      <c r="W229" t="str">
        <f t="shared" ca="1" si="11"/>
        <v>Inactive</v>
      </c>
    </row>
    <row r="230" spans="1:23" x14ac:dyDescent="0.2">
      <c r="A230">
        <v>1884</v>
      </c>
      <c r="B230" t="s">
        <v>5138</v>
      </c>
      <c r="C230" t="s">
        <v>5143</v>
      </c>
      <c r="D230" s="1" t="s">
        <v>614</v>
      </c>
      <c r="E230" t="s">
        <v>5140</v>
      </c>
      <c r="F230" t="s">
        <v>303</v>
      </c>
      <c r="G230" s="4" t="s">
        <v>5427</v>
      </c>
      <c r="H230" t="s">
        <v>1768</v>
      </c>
      <c r="I230" t="s">
        <v>93</v>
      </c>
      <c r="J230" s="4" t="s">
        <v>74</v>
      </c>
      <c r="K230" t="s">
        <v>1412</v>
      </c>
      <c r="L230">
        <v>2</v>
      </c>
      <c r="M230" t="s">
        <v>125</v>
      </c>
      <c r="N230" t="s">
        <v>125</v>
      </c>
      <c r="O230" t="s">
        <v>125</v>
      </c>
      <c r="P230" s="2" t="str">
        <f t="shared" si="9"/>
        <v>25/02/2025 to 28/02/2025</v>
      </c>
      <c r="Q230" s="3">
        <v>45715</v>
      </c>
      <c r="R230" t="str">
        <f t="shared" si="10"/>
        <v>On-Time</v>
      </c>
      <c r="S230" t="s">
        <v>610</v>
      </c>
      <c r="T230">
        <v>18</v>
      </c>
      <c r="U230" t="s">
        <v>79</v>
      </c>
      <c r="V230" t="s">
        <v>80</v>
      </c>
      <c r="W230" t="str">
        <f t="shared" ca="1" si="11"/>
        <v>Inactive</v>
      </c>
    </row>
    <row r="231" spans="1:23" x14ac:dyDescent="0.2">
      <c r="A231">
        <v>1885</v>
      </c>
      <c r="B231" t="s">
        <v>5138</v>
      </c>
      <c r="C231" t="s">
        <v>5144</v>
      </c>
      <c r="D231" s="1" t="s">
        <v>614</v>
      </c>
      <c r="E231" t="s">
        <v>5140</v>
      </c>
      <c r="F231" t="s">
        <v>303</v>
      </c>
      <c r="G231" s="4" t="s">
        <v>5422</v>
      </c>
      <c r="H231" t="s">
        <v>1768</v>
      </c>
      <c r="I231" t="s">
        <v>93</v>
      </c>
      <c r="J231" s="4" t="s">
        <v>60</v>
      </c>
      <c r="K231" t="s">
        <v>5145</v>
      </c>
      <c r="L231">
        <v>2</v>
      </c>
      <c r="M231" t="s">
        <v>464</v>
      </c>
      <c r="N231" t="s">
        <v>530</v>
      </c>
      <c r="O231" t="s">
        <v>530</v>
      </c>
      <c r="P231" s="2" t="str">
        <f t="shared" si="9"/>
        <v>25/02/2025 to 28/02/2025</v>
      </c>
      <c r="Q231" s="3">
        <v>45711</v>
      </c>
      <c r="R231" t="str">
        <f t="shared" si="10"/>
        <v>Late</v>
      </c>
      <c r="S231" t="s">
        <v>1771</v>
      </c>
      <c r="T231">
        <v>18.5</v>
      </c>
      <c r="U231" t="s">
        <v>65</v>
      </c>
      <c r="V231" t="s">
        <v>80</v>
      </c>
      <c r="W231" t="str">
        <f t="shared" ca="1" si="11"/>
        <v>Inactive</v>
      </c>
    </row>
    <row r="232" spans="1:23" x14ac:dyDescent="0.2">
      <c r="A232">
        <v>606</v>
      </c>
      <c r="B232" t="s">
        <v>2093</v>
      </c>
      <c r="C232" t="s">
        <v>2094</v>
      </c>
      <c r="D232" s="1" t="s">
        <v>464</v>
      </c>
      <c r="E232" t="s">
        <v>2095</v>
      </c>
      <c r="F232" t="s">
        <v>266</v>
      </c>
      <c r="G232" s="4" t="s">
        <v>5424</v>
      </c>
      <c r="H232" t="s">
        <v>2096</v>
      </c>
      <c r="I232" t="s">
        <v>201</v>
      </c>
      <c r="J232" s="4" t="s">
        <v>5417</v>
      </c>
      <c r="K232" t="s">
        <v>2097</v>
      </c>
      <c r="L232">
        <v>3</v>
      </c>
      <c r="M232" t="s">
        <v>531</v>
      </c>
      <c r="N232" t="s">
        <v>531</v>
      </c>
      <c r="O232" t="s">
        <v>1001</v>
      </c>
      <c r="P232" s="2" t="str">
        <f t="shared" si="9"/>
        <v>26/02/2025 to 03/03/2025</v>
      </c>
      <c r="Q232" s="3">
        <v>45715</v>
      </c>
      <c r="R232" t="str">
        <f t="shared" si="10"/>
        <v>On-Time</v>
      </c>
      <c r="S232" t="s">
        <v>610</v>
      </c>
      <c r="T232">
        <v>31</v>
      </c>
      <c r="U232" t="s">
        <v>65</v>
      </c>
      <c r="V232" t="s">
        <v>72</v>
      </c>
      <c r="W232" t="str">
        <f t="shared" ca="1" si="11"/>
        <v>Inactive</v>
      </c>
    </row>
    <row r="233" spans="1:23" x14ac:dyDescent="0.2">
      <c r="A233">
        <v>607</v>
      </c>
      <c r="B233" t="s">
        <v>2093</v>
      </c>
      <c r="C233" t="s">
        <v>2098</v>
      </c>
      <c r="D233" s="1" t="s">
        <v>464</v>
      </c>
      <c r="E233" t="s">
        <v>2095</v>
      </c>
      <c r="F233" t="s">
        <v>266</v>
      </c>
      <c r="G233" s="4" t="s">
        <v>5419</v>
      </c>
      <c r="H233" t="s">
        <v>2096</v>
      </c>
      <c r="I233" t="s">
        <v>201</v>
      </c>
      <c r="J233" s="4" t="s">
        <v>74</v>
      </c>
      <c r="K233" t="s">
        <v>2099</v>
      </c>
      <c r="L233">
        <v>2</v>
      </c>
      <c r="M233" t="s">
        <v>531</v>
      </c>
      <c r="N233" t="s">
        <v>129</v>
      </c>
      <c r="O233" t="s">
        <v>531</v>
      </c>
      <c r="P233" s="2" t="str">
        <f t="shared" si="9"/>
        <v>26/02/2025 to 03/03/2025</v>
      </c>
      <c r="Q233" s="3">
        <v>45712</v>
      </c>
      <c r="R233" t="str">
        <f t="shared" si="10"/>
        <v>Late</v>
      </c>
      <c r="S233" t="s">
        <v>1771</v>
      </c>
      <c r="T233">
        <v>22.5</v>
      </c>
      <c r="U233" t="s">
        <v>65</v>
      </c>
      <c r="V233" t="s">
        <v>72</v>
      </c>
      <c r="W233" t="str">
        <f t="shared" ca="1" si="11"/>
        <v>Inactive</v>
      </c>
    </row>
    <row r="234" spans="1:23" x14ac:dyDescent="0.2">
      <c r="A234">
        <v>608</v>
      </c>
      <c r="B234" t="s">
        <v>2093</v>
      </c>
      <c r="C234" t="s">
        <v>2100</v>
      </c>
      <c r="D234" s="1" t="s">
        <v>464</v>
      </c>
      <c r="E234" t="s">
        <v>2095</v>
      </c>
      <c r="F234" t="s">
        <v>266</v>
      </c>
      <c r="G234" s="4" t="s">
        <v>5419</v>
      </c>
      <c r="H234" t="s">
        <v>2096</v>
      </c>
      <c r="I234" t="s">
        <v>201</v>
      </c>
      <c r="J234" s="4" t="s">
        <v>74</v>
      </c>
      <c r="K234" t="s">
        <v>2101</v>
      </c>
      <c r="L234">
        <v>4</v>
      </c>
      <c r="M234" t="s">
        <v>530</v>
      </c>
      <c r="N234" t="s">
        <v>531</v>
      </c>
      <c r="O234" t="s">
        <v>1001</v>
      </c>
      <c r="P234" s="2" t="str">
        <f t="shared" si="9"/>
        <v>25/02/2025 to 28/02/2025</v>
      </c>
      <c r="Q234" s="3">
        <v>45717</v>
      </c>
      <c r="R234" t="str">
        <f t="shared" si="10"/>
        <v>Late</v>
      </c>
      <c r="S234" t="s">
        <v>611</v>
      </c>
      <c r="T234">
        <v>33.5</v>
      </c>
      <c r="U234" t="s">
        <v>79</v>
      </c>
      <c r="V234" t="s">
        <v>80</v>
      </c>
      <c r="W234" t="str">
        <f t="shared" ca="1" si="11"/>
        <v>Inactive</v>
      </c>
    </row>
    <row r="235" spans="1:23" x14ac:dyDescent="0.2">
      <c r="A235">
        <v>1337</v>
      </c>
      <c r="B235" t="s">
        <v>3869</v>
      </c>
      <c r="C235" t="s">
        <v>3870</v>
      </c>
      <c r="D235" s="1" t="s">
        <v>464</v>
      </c>
      <c r="E235" t="s">
        <v>3871</v>
      </c>
      <c r="F235" t="s">
        <v>1829</v>
      </c>
      <c r="G235" s="4" t="s">
        <v>5419</v>
      </c>
      <c r="H235" t="s">
        <v>3872</v>
      </c>
      <c r="I235" t="s">
        <v>112</v>
      </c>
      <c r="J235" s="4" t="s">
        <v>68</v>
      </c>
      <c r="K235" t="s">
        <v>3457</v>
      </c>
      <c r="L235">
        <v>2</v>
      </c>
      <c r="M235" t="s">
        <v>531</v>
      </c>
      <c r="N235" t="s">
        <v>129</v>
      </c>
      <c r="O235" t="s">
        <v>1001</v>
      </c>
      <c r="P235" s="2" t="str">
        <f t="shared" si="9"/>
        <v>26/02/2025 to 03/03/2025</v>
      </c>
      <c r="Q235" s="3">
        <v>45719</v>
      </c>
      <c r="R235" t="str">
        <f t="shared" si="10"/>
        <v>On-Time</v>
      </c>
      <c r="S235" t="s">
        <v>1008</v>
      </c>
      <c r="T235">
        <v>20.5</v>
      </c>
      <c r="U235" t="s">
        <v>65</v>
      </c>
      <c r="V235" t="s">
        <v>80</v>
      </c>
      <c r="W235" t="str">
        <f t="shared" ca="1" si="11"/>
        <v>Inactive</v>
      </c>
    </row>
    <row r="236" spans="1:23" x14ac:dyDescent="0.2">
      <c r="A236">
        <v>1338</v>
      </c>
      <c r="B236" t="s">
        <v>3869</v>
      </c>
      <c r="C236" t="s">
        <v>3873</v>
      </c>
      <c r="D236" s="1" t="s">
        <v>464</v>
      </c>
      <c r="E236" t="s">
        <v>3871</v>
      </c>
      <c r="F236" t="s">
        <v>1829</v>
      </c>
      <c r="G236" s="4" t="s">
        <v>5426</v>
      </c>
      <c r="H236" t="s">
        <v>3872</v>
      </c>
      <c r="I236" t="s">
        <v>112</v>
      </c>
      <c r="J236" s="4" t="s">
        <v>5417</v>
      </c>
      <c r="K236" t="s">
        <v>10</v>
      </c>
      <c r="L236">
        <v>1</v>
      </c>
      <c r="M236" t="s">
        <v>530</v>
      </c>
      <c r="N236" t="s">
        <v>530</v>
      </c>
      <c r="O236" t="s">
        <v>530</v>
      </c>
      <c r="P236" s="2" t="str">
        <f t="shared" si="9"/>
        <v>25/02/2025 to 28/02/2025</v>
      </c>
      <c r="Q236" s="3">
        <v>45716</v>
      </c>
      <c r="R236" t="str">
        <f t="shared" si="10"/>
        <v>On-Time</v>
      </c>
      <c r="S236" t="s">
        <v>611</v>
      </c>
      <c r="T236">
        <v>10</v>
      </c>
      <c r="U236" t="s">
        <v>79</v>
      </c>
      <c r="V236" t="s">
        <v>80</v>
      </c>
      <c r="W236" t="str">
        <f t="shared" ca="1" si="11"/>
        <v>Inactive</v>
      </c>
    </row>
    <row r="237" spans="1:23" x14ac:dyDescent="0.2">
      <c r="A237">
        <v>1498</v>
      </c>
      <c r="B237" t="s">
        <v>4264</v>
      </c>
      <c r="C237" t="s">
        <v>4265</v>
      </c>
      <c r="D237" s="1" t="s">
        <v>530</v>
      </c>
      <c r="E237" t="s">
        <v>4266</v>
      </c>
      <c r="F237" t="s">
        <v>406</v>
      </c>
      <c r="G237" s="4" t="s">
        <v>5424</v>
      </c>
      <c r="H237" t="s">
        <v>1133</v>
      </c>
      <c r="I237" t="s">
        <v>112</v>
      </c>
      <c r="J237" s="4" t="s">
        <v>74</v>
      </c>
      <c r="K237" t="s">
        <v>4267</v>
      </c>
      <c r="L237">
        <v>4</v>
      </c>
      <c r="M237" t="s">
        <v>531</v>
      </c>
      <c r="N237" t="s">
        <v>129</v>
      </c>
      <c r="O237" t="s">
        <v>531</v>
      </c>
      <c r="P237" s="2" t="str">
        <f t="shared" si="9"/>
        <v>26/02/2025 to 03/03/2025</v>
      </c>
      <c r="Q237" s="3">
        <v>45713</v>
      </c>
      <c r="R237" t="str">
        <f t="shared" si="10"/>
        <v>Late</v>
      </c>
      <c r="S237" t="s">
        <v>1774</v>
      </c>
      <c r="T237">
        <v>38.5</v>
      </c>
      <c r="U237" t="s">
        <v>79</v>
      </c>
      <c r="V237" t="s">
        <v>72</v>
      </c>
      <c r="W237" t="str">
        <f t="shared" ca="1" si="11"/>
        <v>Dormant</v>
      </c>
    </row>
    <row r="238" spans="1:23" x14ac:dyDescent="0.2">
      <c r="A238">
        <v>1499</v>
      </c>
      <c r="B238" t="s">
        <v>4264</v>
      </c>
      <c r="C238" t="s">
        <v>4268</v>
      </c>
      <c r="D238" s="1" t="s">
        <v>530</v>
      </c>
      <c r="E238" t="s">
        <v>4266</v>
      </c>
      <c r="F238" t="s">
        <v>406</v>
      </c>
      <c r="G238" s="4" t="s">
        <v>5421</v>
      </c>
      <c r="H238" t="s">
        <v>1133</v>
      </c>
      <c r="I238" t="s">
        <v>112</v>
      </c>
      <c r="J238" s="4" t="s">
        <v>60</v>
      </c>
      <c r="K238" t="s">
        <v>1356</v>
      </c>
      <c r="L238">
        <v>2</v>
      </c>
      <c r="M238" t="s">
        <v>531</v>
      </c>
      <c r="N238" t="s">
        <v>1001</v>
      </c>
      <c r="O238" t="s">
        <v>129</v>
      </c>
      <c r="P238" s="2" t="str">
        <f t="shared" si="9"/>
        <v>26/02/2025 to 03/03/2025</v>
      </c>
      <c r="Q238" s="3">
        <v>45715</v>
      </c>
      <c r="R238" t="str">
        <f t="shared" si="10"/>
        <v>On-Time</v>
      </c>
      <c r="S238" t="s">
        <v>1775</v>
      </c>
      <c r="T238">
        <v>18.5</v>
      </c>
      <c r="U238" t="s">
        <v>65</v>
      </c>
      <c r="V238" t="s">
        <v>80</v>
      </c>
      <c r="W238" t="str">
        <f t="shared" ca="1" si="11"/>
        <v>Dormant</v>
      </c>
    </row>
    <row r="239" spans="1:23" x14ac:dyDescent="0.2">
      <c r="A239">
        <v>1500</v>
      </c>
      <c r="B239" t="s">
        <v>4264</v>
      </c>
      <c r="C239" t="s">
        <v>4269</v>
      </c>
      <c r="D239" s="1" t="s">
        <v>530</v>
      </c>
      <c r="E239" t="s">
        <v>4266</v>
      </c>
      <c r="F239" t="s">
        <v>406</v>
      </c>
      <c r="G239" s="4" t="s">
        <v>5422</v>
      </c>
      <c r="H239" t="s">
        <v>1133</v>
      </c>
      <c r="I239" t="s">
        <v>112</v>
      </c>
      <c r="J239" s="4" t="s">
        <v>5417</v>
      </c>
      <c r="K239" t="s">
        <v>4270</v>
      </c>
      <c r="L239">
        <v>2</v>
      </c>
      <c r="M239" t="s">
        <v>530</v>
      </c>
      <c r="N239" t="s">
        <v>1001</v>
      </c>
      <c r="O239" t="s">
        <v>530</v>
      </c>
      <c r="P239" s="2" t="str">
        <f t="shared" si="9"/>
        <v>25/02/2025 to 28/02/2025</v>
      </c>
      <c r="Q239" s="3">
        <v>45716</v>
      </c>
      <c r="R239" t="str">
        <f t="shared" si="10"/>
        <v>On-Time</v>
      </c>
      <c r="S239" t="s">
        <v>670</v>
      </c>
      <c r="T239">
        <v>16</v>
      </c>
      <c r="U239" t="s">
        <v>79</v>
      </c>
      <c r="V239" t="s">
        <v>66</v>
      </c>
      <c r="W239" t="str">
        <f t="shared" ca="1" si="11"/>
        <v>Dormant</v>
      </c>
    </row>
    <row r="240" spans="1:23" x14ac:dyDescent="0.2">
      <c r="A240">
        <v>1546</v>
      </c>
      <c r="B240" t="s">
        <v>4380</v>
      </c>
      <c r="C240" t="s">
        <v>4381</v>
      </c>
      <c r="D240" s="1" t="s">
        <v>531</v>
      </c>
      <c r="E240" t="s">
        <v>4382</v>
      </c>
      <c r="F240" t="s">
        <v>121</v>
      </c>
      <c r="G240" s="4" t="s">
        <v>5423</v>
      </c>
      <c r="H240" t="s">
        <v>1140</v>
      </c>
      <c r="I240" t="s">
        <v>112</v>
      </c>
      <c r="J240" s="4" t="s">
        <v>60</v>
      </c>
      <c r="K240" t="s">
        <v>4383</v>
      </c>
      <c r="L240">
        <v>2</v>
      </c>
      <c r="M240" t="s">
        <v>531</v>
      </c>
      <c r="N240" t="s">
        <v>1001</v>
      </c>
      <c r="O240" t="s">
        <v>129</v>
      </c>
      <c r="P240" s="2" t="str">
        <f t="shared" si="9"/>
        <v>26/02/2025 to 03/03/2025</v>
      </c>
      <c r="Q240" s="3">
        <v>45719</v>
      </c>
      <c r="R240" t="str">
        <f t="shared" si="10"/>
        <v>On-Time</v>
      </c>
      <c r="S240" t="s">
        <v>1008</v>
      </c>
      <c r="T240">
        <v>20</v>
      </c>
      <c r="U240" t="s">
        <v>79</v>
      </c>
      <c r="V240" t="s">
        <v>66</v>
      </c>
      <c r="W240" t="str">
        <f t="shared" ca="1" si="11"/>
        <v>Dormant</v>
      </c>
    </row>
    <row r="241" spans="1:23" x14ac:dyDescent="0.2">
      <c r="A241">
        <v>1547</v>
      </c>
      <c r="B241" t="s">
        <v>4380</v>
      </c>
      <c r="C241" t="s">
        <v>4384</v>
      </c>
      <c r="D241" s="1" t="s">
        <v>531</v>
      </c>
      <c r="E241" t="s">
        <v>4382</v>
      </c>
      <c r="F241" t="s">
        <v>121</v>
      </c>
      <c r="G241" s="4" t="s">
        <v>5424</v>
      </c>
      <c r="H241" t="s">
        <v>1140</v>
      </c>
      <c r="I241" t="s">
        <v>112</v>
      </c>
      <c r="J241" s="4" t="s">
        <v>5417</v>
      </c>
      <c r="K241" t="s">
        <v>24</v>
      </c>
      <c r="L241">
        <v>1</v>
      </c>
      <c r="M241" t="s">
        <v>531</v>
      </c>
      <c r="N241" t="s">
        <v>531</v>
      </c>
      <c r="O241" t="s">
        <v>129</v>
      </c>
      <c r="P241" s="2" t="str">
        <f t="shared" si="9"/>
        <v>26/02/2025 to 03/03/2025</v>
      </c>
      <c r="Q241" s="3">
        <v>45720</v>
      </c>
      <c r="R241" t="str">
        <f t="shared" si="10"/>
        <v>Late</v>
      </c>
      <c r="S241" t="s">
        <v>2547</v>
      </c>
      <c r="T241">
        <v>8</v>
      </c>
      <c r="U241" t="s">
        <v>79</v>
      </c>
      <c r="V241" t="s">
        <v>66</v>
      </c>
      <c r="W241" t="str">
        <f t="shared" ca="1" si="11"/>
        <v>Dormant</v>
      </c>
    </row>
    <row r="242" spans="1:23" x14ac:dyDescent="0.2">
      <c r="A242">
        <v>1548</v>
      </c>
      <c r="B242" t="s">
        <v>4380</v>
      </c>
      <c r="C242" t="s">
        <v>4385</v>
      </c>
      <c r="D242" s="1" t="s">
        <v>531</v>
      </c>
      <c r="E242" t="s">
        <v>4382</v>
      </c>
      <c r="F242" t="s">
        <v>121</v>
      </c>
      <c r="G242" s="4" t="s">
        <v>5419</v>
      </c>
      <c r="H242" t="s">
        <v>1140</v>
      </c>
      <c r="I242" t="s">
        <v>112</v>
      </c>
      <c r="J242" s="4" t="s">
        <v>5417</v>
      </c>
      <c r="K242" t="s">
        <v>4386</v>
      </c>
      <c r="L242">
        <v>4</v>
      </c>
      <c r="M242" t="s">
        <v>531</v>
      </c>
      <c r="N242" t="s">
        <v>531</v>
      </c>
      <c r="O242" t="s">
        <v>1001</v>
      </c>
      <c r="P242" s="2" t="str">
        <f t="shared" si="9"/>
        <v>26/02/2025 to 03/03/2025</v>
      </c>
      <c r="Q242" s="3">
        <v>45718</v>
      </c>
      <c r="R242" t="str">
        <f t="shared" si="10"/>
        <v>On-Time</v>
      </c>
      <c r="S242" t="s">
        <v>670</v>
      </c>
      <c r="T242">
        <v>36</v>
      </c>
      <c r="U242" t="s">
        <v>79</v>
      </c>
      <c r="V242" t="s">
        <v>80</v>
      </c>
      <c r="W242" t="str">
        <f t="shared" ca="1" si="11"/>
        <v>Dormant</v>
      </c>
    </row>
    <row r="243" spans="1:23" x14ac:dyDescent="0.2">
      <c r="A243">
        <v>1868</v>
      </c>
      <c r="B243" t="s">
        <v>5113</v>
      </c>
      <c r="C243" t="s">
        <v>5114</v>
      </c>
      <c r="D243" s="1" t="s">
        <v>531</v>
      </c>
      <c r="E243" t="s">
        <v>5115</v>
      </c>
      <c r="F243" t="s">
        <v>406</v>
      </c>
      <c r="G243" s="4" t="s">
        <v>5424</v>
      </c>
      <c r="H243" t="s">
        <v>3921</v>
      </c>
      <c r="I243" t="s">
        <v>201</v>
      </c>
      <c r="J243" s="4" t="s">
        <v>68</v>
      </c>
      <c r="K243" t="s">
        <v>18</v>
      </c>
      <c r="L243">
        <v>1</v>
      </c>
      <c r="M243" t="s">
        <v>129</v>
      </c>
      <c r="N243" t="s">
        <v>129</v>
      </c>
      <c r="O243" t="s">
        <v>618</v>
      </c>
      <c r="P243" s="2" t="str">
        <f t="shared" si="9"/>
        <v>28/02/2025 to 05/03/2025</v>
      </c>
      <c r="Q243" s="3">
        <v>45722</v>
      </c>
      <c r="R243" t="str">
        <f t="shared" si="10"/>
        <v>Late</v>
      </c>
      <c r="S243" t="s">
        <v>798</v>
      </c>
      <c r="T243">
        <v>8.5</v>
      </c>
      <c r="U243" t="s">
        <v>65</v>
      </c>
      <c r="V243" t="s">
        <v>66</v>
      </c>
      <c r="W243" t="str">
        <f t="shared" ca="1" si="11"/>
        <v>Dormant</v>
      </c>
    </row>
    <row r="244" spans="1:23" x14ac:dyDescent="0.2">
      <c r="A244">
        <v>1869</v>
      </c>
      <c r="B244" t="s">
        <v>5113</v>
      </c>
      <c r="C244" t="s">
        <v>5116</v>
      </c>
      <c r="D244" s="1" t="s">
        <v>531</v>
      </c>
      <c r="E244" t="s">
        <v>5115</v>
      </c>
      <c r="F244" t="s">
        <v>406</v>
      </c>
      <c r="G244" s="4" t="s">
        <v>5421</v>
      </c>
      <c r="H244" t="s">
        <v>3921</v>
      </c>
      <c r="I244" t="s">
        <v>201</v>
      </c>
      <c r="J244" s="4" t="s">
        <v>68</v>
      </c>
      <c r="K244" t="s">
        <v>4552</v>
      </c>
      <c r="L244">
        <v>3</v>
      </c>
      <c r="M244" t="s">
        <v>1001</v>
      </c>
      <c r="N244" t="s">
        <v>129</v>
      </c>
      <c r="O244" t="s">
        <v>1001</v>
      </c>
      <c r="P244" s="2" t="str">
        <f t="shared" si="9"/>
        <v>27/02/2025 to 04/03/2025</v>
      </c>
      <c r="Q244" s="3">
        <v>45713</v>
      </c>
      <c r="R244" t="str">
        <f t="shared" si="10"/>
        <v>Late</v>
      </c>
      <c r="S244" t="s">
        <v>1775</v>
      </c>
      <c r="T244">
        <v>29</v>
      </c>
      <c r="U244" t="s">
        <v>65</v>
      </c>
      <c r="V244" t="s">
        <v>66</v>
      </c>
      <c r="W244" t="str">
        <f t="shared" ca="1" si="11"/>
        <v>Dormant</v>
      </c>
    </row>
    <row r="245" spans="1:23" x14ac:dyDescent="0.2">
      <c r="A245">
        <v>1870</v>
      </c>
      <c r="B245" t="s">
        <v>5113</v>
      </c>
      <c r="C245" t="s">
        <v>5117</v>
      </c>
      <c r="D245" s="1" t="s">
        <v>531</v>
      </c>
      <c r="E245" t="s">
        <v>5115</v>
      </c>
      <c r="F245" t="s">
        <v>406</v>
      </c>
      <c r="G245" s="4" t="s">
        <v>5421</v>
      </c>
      <c r="H245" t="s">
        <v>3921</v>
      </c>
      <c r="I245" t="s">
        <v>201</v>
      </c>
      <c r="J245" s="4" t="s">
        <v>74</v>
      </c>
      <c r="K245" t="s">
        <v>28</v>
      </c>
      <c r="L245">
        <v>1</v>
      </c>
      <c r="M245" t="s">
        <v>129</v>
      </c>
      <c r="N245" t="s">
        <v>129</v>
      </c>
      <c r="O245" t="s">
        <v>1005</v>
      </c>
      <c r="P245" s="2" t="str">
        <f t="shared" si="9"/>
        <v>28/02/2025 to 05/03/2025</v>
      </c>
      <c r="Q245" s="3">
        <v>45717</v>
      </c>
      <c r="R245" t="str">
        <f t="shared" si="10"/>
        <v>On-Time</v>
      </c>
      <c r="S245" t="s">
        <v>670</v>
      </c>
      <c r="T245">
        <v>9</v>
      </c>
      <c r="U245" t="s">
        <v>65</v>
      </c>
      <c r="V245" t="s">
        <v>80</v>
      </c>
      <c r="W245" t="str">
        <f t="shared" ca="1" si="11"/>
        <v>Dormant</v>
      </c>
    </row>
    <row r="246" spans="1:23" x14ac:dyDescent="0.2">
      <c r="A246">
        <v>1871</v>
      </c>
      <c r="B246" t="s">
        <v>5113</v>
      </c>
      <c r="C246" t="s">
        <v>5118</v>
      </c>
      <c r="D246" s="1" t="s">
        <v>531</v>
      </c>
      <c r="E246" t="s">
        <v>5115</v>
      </c>
      <c r="F246" t="s">
        <v>406</v>
      </c>
      <c r="G246" s="4" t="s">
        <v>5424</v>
      </c>
      <c r="H246" t="s">
        <v>3921</v>
      </c>
      <c r="I246" t="s">
        <v>201</v>
      </c>
      <c r="J246" s="4" t="s">
        <v>60</v>
      </c>
      <c r="K246" t="s">
        <v>1888</v>
      </c>
      <c r="L246">
        <v>2</v>
      </c>
      <c r="M246" t="s">
        <v>129</v>
      </c>
      <c r="N246" t="s">
        <v>618</v>
      </c>
      <c r="O246" t="s">
        <v>1005</v>
      </c>
      <c r="P246" s="2" t="str">
        <f t="shared" si="9"/>
        <v>28/02/2025 to 05/03/2025</v>
      </c>
      <c r="Q246" s="3">
        <v>45719</v>
      </c>
      <c r="R246" t="str">
        <f t="shared" si="10"/>
        <v>On-Time</v>
      </c>
      <c r="S246" t="s">
        <v>794</v>
      </c>
      <c r="T246">
        <v>18.5</v>
      </c>
      <c r="U246" t="s">
        <v>79</v>
      </c>
      <c r="V246" t="s">
        <v>80</v>
      </c>
      <c r="W246" t="str">
        <f t="shared" ca="1" si="11"/>
        <v>Dormant</v>
      </c>
    </row>
    <row r="247" spans="1:23" x14ac:dyDescent="0.2">
      <c r="A247">
        <v>217</v>
      </c>
      <c r="B247" t="s">
        <v>999</v>
      </c>
      <c r="C247" t="s">
        <v>1000</v>
      </c>
      <c r="D247" s="1" t="s">
        <v>1001</v>
      </c>
      <c r="E247" t="s">
        <v>1002</v>
      </c>
      <c r="F247" t="s">
        <v>1003</v>
      </c>
      <c r="G247" s="4" t="s">
        <v>5425</v>
      </c>
      <c r="H247" t="s">
        <v>1004</v>
      </c>
      <c r="I247" t="s">
        <v>201</v>
      </c>
      <c r="J247" s="4" t="s">
        <v>74</v>
      </c>
      <c r="K247" t="s">
        <v>32</v>
      </c>
      <c r="L247">
        <v>1</v>
      </c>
      <c r="M247" t="s">
        <v>1005</v>
      </c>
      <c r="N247" t="s">
        <v>618</v>
      </c>
      <c r="O247" t="s">
        <v>1005</v>
      </c>
      <c r="P247" s="2" t="str">
        <f t="shared" si="9"/>
        <v>03/03/2025 to 06/03/2025</v>
      </c>
      <c r="Q247" s="3">
        <v>45718</v>
      </c>
      <c r="R247" t="str">
        <f t="shared" si="10"/>
        <v>Late</v>
      </c>
      <c r="S247" t="s">
        <v>670</v>
      </c>
      <c r="T247">
        <v>14</v>
      </c>
      <c r="U247" t="s">
        <v>79</v>
      </c>
      <c r="V247" t="s">
        <v>72</v>
      </c>
      <c r="W247" t="str">
        <f t="shared" ca="1" si="11"/>
        <v>Dormant</v>
      </c>
    </row>
    <row r="248" spans="1:23" x14ac:dyDescent="0.2">
      <c r="A248">
        <v>218</v>
      </c>
      <c r="B248" t="s">
        <v>999</v>
      </c>
      <c r="C248" t="s">
        <v>1006</v>
      </c>
      <c r="D248" s="1" t="s">
        <v>1001</v>
      </c>
      <c r="E248" t="s">
        <v>1002</v>
      </c>
      <c r="F248" t="s">
        <v>1003</v>
      </c>
      <c r="G248" s="4" t="s">
        <v>5418</v>
      </c>
      <c r="H248" t="s">
        <v>1004</v>
      </c>
      <c r="I248" t="s">
        <v>201</v>
      </c>
      <c r="J248" s="4" t="s">
        <v>68</v>
      </c>
      <c r="K248" t="s">
        <v>1007</v>
      </c>
      <c r="L248">
        <v>2</v>
      </c>
      <c r="M248" t="s">
        <v>1001</v>
      </c>
      <c r="N248" t="s">
        <v>1001</v>
      </c>
      <c r="O248" t="s">
        <v>1005</v>
      </c>
      <c r="P248" s="2" t="str">
        <f t="shared" si="9"/>
        <v>27/02/2025 to 04/03/2025</v>
      </c>
      <c r="Q248" s="3">
        <v>45719</v>
      </c>
      <c r="R248" t="str">
        <f t="shared" si="10"/>
        <v>On-Time</v>
      </c>
      <c r="S248" t="s">
        <v>794</v>
      </c>
      <c r="T248">
        <v>19</v>
      </c>
      <c r="U248" t="s">
        <v>79</v>
      </c>
      <c r="V248" t="s">
        <v>66</v>
      </c>
      <c r="W248" t="str">
        <f t="shared" ca="1" si="11"/>
        <v>Dormant</v>
      </c>
    </row>
    <row r="249" spans="1:23" x14ac:dyDescent="0.2">
      <c r="A249">
        <v>1701</v>
      </c>
      <c r="B249" t="s">
        <v>4734</v>
      </c>
      <c r="C249" t="s">
        <v>4735</v>
      </c>
      <c r="D249" s="1" t="s">
        <v>1001</v>
      </c>
      <c r="E249" t="s">
        <v>4736</v>
      </c>
      <c r="F249" t="s">
        <v>1756</v>
      </c>
      <c r="G249" s="4" t="s">
        <v>5424</v>
      </c>
      <c r="H249" t="s">
        <v>829</v>
      </c>
      <c r="I249" t="s">
        <v>201</v>
      </c>
      <c r="J249" s="4" t="s">
        <v>5417</v>
      </c>
      <c r="K249" t="s">
        <v>4737</v>
      </c>
      <c r="L249">
        <v>4</v>
      </c>
      <c r="M249" t="s">
        <v>1001</v>
      </c>
      <c r="N249" t="s">
        <v>129</v>
      </c>
      <c r="O249" t="s">
        <v>1005</v>
      </c>
      <c r="P249" s="2" t="str">
        <f t="shared" si="9"/>
        <v>27/02/2025 to 04/03/2025</v>
      </c>
      <c r="Q249" s="3">
        <v>45715</v>
      </c>
      <c r="R249" t="str">
        <f t="shared" si="10"/>
        <v>On-Time</v>
      </c>
      <c r="S249" t="s">
        <v>611</v>
      </c>
      <c r="T249">
        <v>35</v>
      </c>
      <c r="U249" t="s">
        <v>79</v>
      </c>
      <c r="V249" t="s">
        <v>80</v>
      </c>
      <c r="W249" t="str">
        <f t="shared" ca="1" si="11"/>
        <v>Dormant</v>
      </c>
    </row>
    <row r="250" spans="1:23" x14ac:dyDescent="0.2">
      <c r="A250">
        <v>1702</v>
      </c>
      <c r="B250" t="s">
        <v>4734</v>
      </c>
      <c r="C250" t="s">
        <v>4738</v>
      </c>
      <c r="D250" s="1" t="s">
        <v>1001</v>
      </c>
      <c r="E250" t="s">
        <v>4736</v>
      </c>
      <c r="F250" t="s">
        <v>1756</v>
      </c>
      <c r="G250" s="4" t="s">
        <v>5421</v>
      </c>
      <c r="H250" t="s">
        <v>829</v>
      </c>
      <c r="I250" t="s">
        <v>201</v>
      </c>
      <c r="J250" s="4" t="s">
        <v>60</v>
      </c>
      <c r="K250" t="s">
        <v>4739</v>
      </c>
      <c r="L250">
        <v>3</v>
      </c>
      <c r="M250" t="s">
        <v>1005</v>
      </c>
      <c r="N250" t="s">
        <v>618</v>
      </c>
      <c r="O250" t="s">
        <v>1005</v>
      </c>
      <c r="P250" s="2" t="str">
        <f t="shared" si="9"/>
        <v>03/03/2025 to 06/03/2025</v>
      </c>
      <c r="Q250" s="3">
        <v>45719</v>
      </c>
      <c r="R250" t="str">
        <f t="shared" si="10"/>
        <v>On-Time</v>
      </c>
      <c r="S250" t="s">
        <v>1008</v>
      </c>
      <c r="T250">
        <v>27.5</v>
      </c>
      <c r="U250" t="s">
        <v>65</v>
      </c>
      <c r="V250" t="s">
        <v>66</v>
      </c>
      <c r="W250" t="str">
        <f t="shared" ca="1" si="11"/>
        <v>Dormant</v>
      </c>
    </row>
    <row r="251" spans="1:23" x14ac:dyDescent="0.2">
      <c r="A251">
        <v>1703</v>
      </c>
      <c r="B251" t="s">
        <v>4734</v>
      </c>
      <c r="C251" t="s">
        <v>4740</v>
      </c>
      <c r="D251" s="1" t="s">
        <v>1001</v>
      </c>
      <c r="E251" t="s">
        <v>4736</v>
      </c>
      <c r="F251" t="s">
        <v>1756</v>
      </c>
      <c r="G251" s="4" t="s">
        <v>5421</v>
      </c>
      <c r="H251" t="s">
        <v>829</v>
      </c>
      <c r="I251" t="s">
        <v>201</v>
      </c>
      <c r="J251" s="4" t="s">
        <v>60</v>
      </c>
      <c r="K251" t="s">
        <v>4741</v>
      </c>
      <c r="L251">
        <v>3</v>
      </c>
      <c r="M251" t="s">
        <v>1005</v>
      </c>
      <c r="N251" t="s">
        <v>615</v>
      </c>
      <c r="O251" t="s">
        <v>618</v>
      </c>
      <c r="P251" s="2" t="str">
        <f t="shared" si="9"/>
        <v>03/03/2025 to 06/03/2025</v>
      </c>
      <c r="Q251" s="3">
        <v>45722</v>
      </c>
      <c r="R251" t="str">
        <f t="shared" si="10"/>
        <v>On-Time</v>
      </c>
      <c r="S251" t="s">
        <v>2547</v>
      </c>
      <c r="T251">
        <v>26</v>
      </c>
      <c r="U251" t="s">
        <v>65</v>
      </c>
      <c r="V251" t="s">
        <v>66</v>
      </c>
      <c r="W251" t="str">
        <f t="shared" ca="1" si="11"/>
        <v>Dormant</v>
      </c>
    </row>
    <row r="252" spans="1:23" x14ac:dyDescent="0.2">
      <c r="A252">
        <v>388</v>
      </c>
      <c r="B252" t="s">
        <v>1511</v>
      </c>
      <c r="C252" t="s">
        <v>1512</v>
      </c>
      <c r="D252" s="1" t="s">
        <v>129</v>
      </c>
      <c r="E252" t="s">
        <v>1513</v>
      </c>
      <c r="F252" t="s">
        <v>546</v>
      </c>
      <c r="G252" s="4" t="s">
        <v>5423</v>
      </c>
      <c r="H252" t="s">
        <v>1514</v>
      </c>
      <c r="I252" t="s">
        <v>112</v>
      </c>
      <c r="J252" s="4" t="s">
        <v>74</v>
      </c>
      <c r="K252" t="s">
        <v>211</v>
      </c>
      <c r="L252">
        <v>2</v>
      </c>
      <c r="M252" t="s">
        <v>1005</v>
      </c>
      <c r="N252" t="s">
        <v>618</v>
      </c>
      <c r="O252" t="s">
        <v>1005</v>
      </c>
      <c r="P252" s="2" t="str">
        <f t="shared" si="9"/>
        <v>03/03/2025 to 06/03/2025</v>
      </c>
      <c r="Q252" s="3">
        <v>45716</v>
      </c>
      <c r="R252" t="str">
        <f t="shared" si="10"/>
        <v>Late</v>
      </c>
      <c r="S252" t="s">
        <v>670</v>
      </c>
      <c r="T252">
        <v>17</v>
      </c>
      <c r="U252" t="s">
        <v>65</v>
      </c>
      <c r="V252" t="s">
        <v>66</v>
      </c>
      <c r="W252" t="str">
        <f t="shared" ca="1" si="11"/>
        <v>Dormant</v>
      </c>
    </row>
    <row r="253" spans="1:23" x14ac:dyDescent="0.2">
      <c r="A253">
        <v>389</v>
      </c>
      <c r="B253" t="s">
        <v>1511</v>
      </c>
      <c r="C253" t="s">
        <v>1515</v>
      </c>
      <c r="D253" s="1" t="s">
        <v>129</v>
      </c>
      <c r="E253" t="s">
        <v>1513</v>
      </c>
      <c r="F253" t="s">
        <v>546</v>
      </c>
      <c r="G253" s="4" t="s">
        <v>5420</v>
      </c>
      <c r="H253" t="s">
        <v>1514</v>
      </c>
      <c r="I253" t="s">
        <v>112</v>
      </c>
      <c r="J253" s="4" t="s">
        <v>5417</v>
      </c>
      <c r="K253" t="s">
        <v>1516</v>
      </c>
      <c r="L253">
        <v>3</v>
      </c>
      <c r="M253" t="s">
        <v>618</v>
      </c>
      <c r="N253" t="s">
        <v>618</v>
      </c>
      <c r="O253" t="s">
        <v>618</v>
      </c>
      <c r="P253" s="2" t="str">
        <f t="shared" si="9"/>
        <v>04/03/2025 to 07/03/2025</v>
      </c>
      <c r="Q253" s="3">
        <v>45720</v>
      </c>
      <c r="R253" t="str">
        <f t="shared" si="10"/>
        <v>On-Time</v>
      </c>
      <c r="S253" t="s">
        <v>1517</v>
      </c>
      <c r="T253">
        <v>34.5</v>
      </c>
      <c r="U253" t="s">
        <v>79</v>
      </c>
      <c r="V253" t="s">
        <v>66</v>
      </c>
      <c r="W253" t="str">
        <f t="shared" ca="1" si="11"/>
        <v>Dormant</v>
      </c>
    </row>
    <row r="254" spans="1:23" x14ac:dyDescent="0.2">
      <c r="A254">
        <v>1257</v>
      </c>
      <c r="B254" t="s">
        <v>3682</v>
      </c>
      <c r="C254" t="s">
        <v>3683</v>
      </c>
      <c r="D254" s="1" t="s">
        <v>129</v>
      </c>
      <c r="E254" t="s">
        <v>3684</v>
      </c>
      <c r="F254" t="s">
        <v>910</v>
      </c>
      <c r="G254" s="4" t="s">
        <v>5428</v>
      </c>
      <c r="H254" t="s">
        <v>3685</v>
      </c>
      <c r="I254" t="s">
        <v>201</v>
      </c>
      <c r="J254" s="4" t="s">
        <v>74</v>
      </c>
      <c r="K254" t="s">
        <v>548</v>
      </c>
      <c r="L254">
        <v>2</v>
      </c>
      <c r="M254" t="s">
        <v>129</v>
      </c>
      <c r="N254" t="s">
        <v>618</v>
      </c>
      <c r="O254" t="s">
        <v>618</v>
      </c>
      <c r="P254" s="2" t="str">
        <f t="shared" si="9"/>
        <v>28/02/2025 to 05/03/2025</v>
      </c>
      <c r="Q254" s="3">
        <v>45720</v>
      </c>
      <c r="R254" t="str">
        <f t="shared" si="10"/>
        <v>On-Time</v>
      </c>
      <c r="S254" t="s">
        <v>794</v>
      </c>
      <c r="T254">
        <v>16.5</v>
      </c>
      <c r="U254" t="s">
        <v>65</v>
      </c>
      <c r="V254" t="s">
        <v>66</v>
      </c>
      <c r="W254" t="str">
        <f t="shared" ca="1" si="11"/>
        <v>Dormant</v>
      </c>
    </row>
    <row r="255" spans="1:23" x14ac:dyDescent="0.2">
      <c r="A255">
        <v>1258</v>
      </c>
      <c r="B255" t="s">
        <v>3682</v>
      </c>
      <c r="C255" t="s">
        <v>3686</v>
      </c>
      <c r="D255" s="1" t="s">
        <v>129</v>
      </c>
      <c r="E255" t="s">
        <v>3684</v>
      </c>
      <c r="F255" t="s">
        <v>910</v>
      </c>
      <c r="G255" s="4" t="s">
        <v>38</v>
      </c>
      <c r="H255" t="s">
        <v>3685</v>
      </c>
      <c r="I255" t="s">
        <v>201</v>
      </c>
      <c r="J255" s="4" t="s">
        <v>60</v>
      </c>
      <c r="K255" t="s">
        <v>1352</v>
      </c>
      <c r="L255">
        <v>2</v>
      </c>
      <c r="M255" t="s">
        <v>1005</v>
      </c>
      <c r="N255" t="s">
        <v>615</v>
      </c>
      <c r="O255" t="s">
        <v>618</v>
      </c>
      <c r="P255" s="2" t="str">
        <f t="shared" si="9"/>
        <v>03/03/2025 to 06/03/2025</v>
      </c>
      <c r="Q255" s="3">
        <v>45722</v>
      </c>
      <c r="R255" t="str">
        <f t="shared" si="10"/>
        <v>On-Time</v>
      </c>
      <c r="S255" t="s">
        <v>798</v>
      </c>
      <c r="T255">
        <v>23.5</v>
      </c>
      <c r="U255" t="s">
        <v>65</v>
      </c>
      <c r="V255" t="s">
        <v>72</v>
      </c>
      <c r="W255" t="str">
        <f t="shared" ca="1" si="11"/>
        <v>Dormant</v>
      </c>
    </row>
    <row r="256" spans="1:23" x14ac:dyDescent="0.2">
      <c r="A256">
        <v>1259</v>
      </c>
      <c r="B256" t="s">
        <v>3682</v>
      </c>
      <c r="C256" t="s">
        <v>3687</v>
      </c>
      <c r="D256" s="1" t="s">
        <v>129</v>
      </c>
      <c r="E256" t="s">
        <v>3684</v>
      </c>
      <c r="F256" t="s">
        <v>910</v>
      </c>
      <c r="G256" s="4" t="s">
        <v>5426</v>
      </c>
      <c r="H256" t="s">
        <v>3685</v>
      </c>
      <c r="I256" t="s">
        <v>201</v>
      </c>
      <c r="J256" s="4" t="s">
        <v>60</v>
      </c>
      <c r="K256" t="s">
        <v>4</v>
      </c>
      <c r="L256">
        <v>1</v>
      </c>
      <c r="M256" t="s">
        <v>1005</v>
      </c>
      <c r="N256" t="s">
        <v>618</v>
      </c>
      <c r="O256" t="s">
        <v>618</v>
      </c>
      <c r="P256" s="2" t="str">
        <f t="shared" si="9"/>
        <v>03/03/2025 to 06/03/2025</v>
      </c>
      <c r="Q256" s="3">
        <v>45717</v>
      </c>
      <c r="R256" t="str">
        <f t="shared" si="10"/>
        <v>Late</v>
      </c>
      <c r="S256" t="s">
        <v>611</v>
      </c>
      <c r="T256">
        <v>8</v>
      </c>
      <c r="U256" t="s">
        <v>65</v>
      </c>
      <c r="V256" t="s">
        <v>80</v>
      </c>
      <c r="W256" t="str">
        <f t="shared" ca="1" si="11"/>
        <v>Dormant</v>
      </c>
    </row>
    <row r="257" spans="1:23" x14ac:dyDescent="0.2">
      <c r="A257">
        <v>1260</v>
      </c>
      <c r="B257" t="s">
        <v>3682</v>
      </c>
      <c r="C257" t="s">
        <v>3688</v>
      </c>
      <c r="D257" s="1" t="s">
        <v>129</v>
      </c>
      <c r="E257" t="s">
        <v>3684</v>
      </c>
      <c r="F257" t="s">
        <v>910</v>
      </c>
      <c r="G257" s="4" t="s">
        <v>5422</v>
      </c>
      <c r="H257" t="s">
        <v>3685</v>
      </c>
      <c r="I257" t="s">
        <v>201</v>
      </c>
      <c r="J257" s="4" t="s">
        <v>60</v>
      </c>
      <c r="K257" t="s">
        <v>3689</v>
      </c>
      <c r="L257">
        <v>4</v>
      </c>
      <c r="M257" t="s">
        <v>129</v>
      </c>
      <c r="N257" t="s">
        <v>1005</v>
      </c>
      <c r="O257" t="s">
        <v>129</v>
      </c>
      <c r="P257" s="2" t="str">
        <f t="shared" si="9"/>
        <v>28/02/2025 to 05/03/2025</v>
      </c>
      <c r="Q257" s="3">
        <v>45717</v>
      </c>
      <c r="R257" t="str">
        <f t="shared" si="10"/>
        <v>On-Time</v>
      </c>
      <c r="S257" t="s">
        <v>1008</v>
      </c>
      <c r="T257">
        <v>36.5</v>
      </c>
      <c r="U257" t="s">
        <v>65</v>
      </c>
      <c r="V257" t="s">
        <v>80</v>
      </c>
      <c r="W257" t="str">
        <f t="shared" ca="1" si="11"/>
        <v>Dormant</v>
      </c>
    </row>
    <row r="258" spans="1:23" x14ac:dyDescent="0.2">
      <c r="A258">
        <v>1306</v>
      </c>
      <c r="B258" t="s">
        <v>3792</v>
      </c>
      <c r="C258" t="s">
        <v>3793</v>
      </c>
      <c r="D258" s="1" t="s">
        <v>129</v>
      </c>
      <c r="E258" t="s">
        <v>3794</v>
      </c>
      <c r="F258" t="s">
        <v>741</v>
      </c>
      <c r="G258" s="4" t="s">
        <v>5428</v>
      </c>
      <c r="H258" t="s">
        <v>3363</v>
      </c>
      <c r="I258" t="s">
        <v>112</v>
      </c>
      <c r="J258" s="4" t="s">
        <v>74</v>
      </c>
      <c r="K258" t="s">
        <v>3795</v>
      </c>
      <c r="L258">
        <v>4</v>
      </c>
      <c r="M258" t="s">
        <v>129</v>
      </c>
      <c r="N258" t="s">
        <v>129</v>
      </c>
      <c r="O258" t="s">
        <v>1005</v>
      </c>
      <c r="P258" s="2" t="str">
        <f t="shared" ref="P258:P321" si="12">IF(ISBLANK(M258), "", TEXT(WORKDAY(M258, 7), "dd/mm/yyyy") &amp; " to " &amp; TEXT(WORKDAY(M258, 10), "dd/mm/yyyy"))</f>
        <v>28/02/2025 to 05/03/2025</v>
      </c>
      <c r="Q258" s="3">
        <v>45719</v>
      </c>
      <c r="R258" t="str">
        <f t="shared" ref="R258:R321" si="13">IF(Q258="","In Progress",
IF(AND(--Q258&gt;=DATEVALUE(LEFT(P258,10)),
       --Q258&lt;=DATEVALUE(TRIM(MID(P258,FIND("to",P258)+3,10)))),
   "On-Time","Late"))</f>
        <v>On-Time</v>
      </c>
      <c r="S258" t="s">
        <v>1517</v>
      </c>
      <c r="T258">
        <v>35.5</v>
      </c>
      <c r="U258" t="s">
        <v>79</v>
      </c>
      <c r="V258" t="s">
        <v>80</v>
      </c>
      <c r="W258" t="str">
        <f t="shared" ca="1" si="11"/>
        <v>Dormant</v>
      </c>
    </row>
    <row r="259" spans="1:23" x14ac:dyDescent="0.2">
      <c r="A259">
        <v>1307</v>
      </c>
      <c r="B259" t="s">
        <v>3792</v>
      </c>
      <c r="C259" t="s">
        <v>3796</v>
      </c>
      <c r="D259" s="1" t="s">
        <v>129</v>
      </c>
      <c r="E259" t="s">
        <v>3794</v>
      </c>
      <c r="F259" t="s">
        <v>741</v>
      </c>
      <c r="G259" s="4" t="s">
        <v>38</v>
      </c>
      <c r="H259" t="s">
        <v>3363</v>
      </c>
      <c r="I259" t="s">
        <v>112</v>
      </c>
      <c r="J259" s="4" t="s">
        <v>68</v>
      </c>
      <c r="K259" t="s">
        <v>2156</v>
      </c>
      <c r="L259">
        <v>2</v>
      </c>
      <c r="M259" t="s">
        <v>1005</v>
      </c>
      <c r="N259" t="s">
        <v>1005</v>
      </c>
      <c r="O259" t="s">
        <v>1005</v>
      </c>
      <c r="P259" s="2" t="str">
        <f t="shared" si="12"/>
        <v>03/03/2025 to 06/03/2025</v>
      </c>
      <c r="Q259" s="3">
        <v>45716</v>
      </c>
      <c r="R259" t="str">
        <f t="shared" si="13"/>
        <v>Late</v>
      </c>
      <c r="S259" t="s">
        <v>610</v>
      </c>
      <c r="T259">
        <v>18.5</v>
      </c>
      <c r="U259" t="s">
        <v>79</v>
      </c>
      <c r="V259" t="s">
        <v>66</v>
      </c>
      <c r="W259" t="str">
        <f t="shared" ref="W259:W322" ca="1" si="14">IF(D259="","",
IF(TODAY()-D259&lt;=120,"Active",
IF(TODAY()-D259&lt;=210,"At Risk",
IF(TODAY()-D259&lt;=395,"Dormant",
IF(TODAY()-D259&lt;=730,"Inactive","Archived")))))</f>
        <v>Dormant</v>
      </c>
    </row>
    <row r="260" spans="1:23" x14ac:dyDescent="0.2">
      <c r="A260">
        <v>1333</v>
      </c>
      <c r="B260" t="s">
        <v>3861</v>
      </c>
      <c r="C260" t="s">
        <v>3862</v>
      </c>
      <c r="D260" s="1" t="s">
        <v>1005</v>
      </c>
      <c r="E260" t="s">
        <v>3863</v>
      </c>
      <c r="F260" t="s">
        <v>2176</v>
      </c>
      <c r="G260" s="4" t="s">
        <v>5425</v>
      </c>
      <c r="H260" t="s">
        <v>3864</v>
      </c>
      <c r="I260" t="s">
        <v>59</v>
      </c>
      <c r="J260" s="4" t="s">
        <v>74</v>
      </c>
      <c r="K260" t="s">
        <v>14</v>
      </c>
      <c r="L260">
        <v>1</v>
      </c>
      <c r="M260" t="s">
        <v>618</v>
      </c>
      <c r="N260" t="s">
        <v>615</v>
      </c>
      <c r="O260" t="s">
        <v>618</v>
      </c>
      <c r="P260" s="2" t="str">
        <f t="shared" si="12"/>
        <v>04/03/2025 to 07/03/2025</v>
      </c>
      <c r="Q260" s="3">
        <v>45717</v>
      </c>
      <c r="R260" t="str">
        <f t="shared" si="13"/>
        <v>Late</v>
      </c>
      <c r="S260" t="s">
        <v>611</v>
      </c>
      <c r="T260">
        <v>9.5</v>
      </c>
      <c r="U260" t="s">
        <v>79</v>
      </c>
      <c r="V260" t="s">
        <v>72</v>
      </c>
      <c r="W260" t="str">
        <f t="shared" ca="1" si="14"/>
        <v>Dormant</v>
      </c>
    </row>
    <row r="261" spans="1:23" x14ac:dyDescent="0.2">
      <c r="A261">
        <v>1334</v>
      </c>
      <c r="B261" t="s">
        <v>3861</v>
      </c>
      <c r="C261" t="s">
        <v>3865</v>
      </c>
      <c r="D261" s="1" t="s">
        <v>1005</v>
      </c>
      <c r="E261" t="s">
        <v>3863</v>
      </c>
      <c r="F261" t="s">
        <v>2176</v>
      </c>
      <c r="G261" s="4" t="s">
        <v>5418</v>
      </c>
      <c r="H261" t="s">
        <v>3864</v>
      </c>
      <c r="I261" t="s">
        <v>59</v>
      </c>
      <c r="J261" s="4" t="s">
        <v>5417</v>
      </c>
      <c r="K261" t="s">
        <v>2358</v>
      </c>
      <c r="L261">
        <v>3</v>
      </c>
      <c r="M261" t="s">
        <v>1005</v>
      </c>
      <c r="N261" t="s">
        <v>618</v>
      </c>
      <c r="O261" t="s">
        <v>615</v>
      </c>
      <c r="P261" s="2" t="str">
        <f t="shared" si="12"/>
        <v>03/03/2025 to 06/03/2025</v>
      </c>
      <c r="Q261" s="3">
        <v>45719</v>
      </c>
      <c r="R261" t="str">
        <f t="shared" si="13"/>
        <v>On-Time</v>
      </c>
      <c r="S261" t="s">
        <v>794</v>
      </c>
      <c r="T261">
        <v>25.5</v>
      </c>
      <c r="U261" t="s">
        <v>65</v>
      </c>
      <c r="V261" t="s">
        <v>66</v>
      </c>
      <c r="W261" t="str">
        <f t="shared" ca="1" si="14"/>
        <v>Dormant</v>
      </c>
    </row>
    <row r="262" spans="1:23" x14ac:dyDescent="0.2">
      <c r="A262">
        <v>1335</v>
      </c>
      <c r="B262" t="s">
        <v>3861</v>
      </c>
      <c r="C262" t="s">
        <v>3866</v>
      </c>
      <c r="D262" s="1" t="s">
        <v>1005</v>
      </c>
      <c r="E262" t="s">
        <v>3863</v>
      </c>
      <c r="F262" t="s">
        <v>2176</v>
      </c>
      <c r="G262" s="4" t="s">
        <v>38</v>
      </c>
      <c r="H262" t="s">
        <v>3864</v>
      </c>
      <c r="I262" t="s">
        <v>59</v>
      </c>
      <c r="J262" s="4" t="s">
        <v>5417</v>
      </c>
      <c r="K262" t="s">
        <v>1209</v>
      </c>
      <c r="L262">
        <v>2</v>
      </c>
      <c r="M262" t="s">
        <v>1005</v>
      </c>
      <c r="N262" t="s">
        <v>618</v>
      </c>
      <c r="O262" t="s">
        <v>1005</v>
      </c>
      <c r="P262" s="2" t="str">
        <f t="shared" si="12"/>
        <v>03/03/2025 to 06/03/2025</v>
      </c>
      <c r="Q262" s="3">
        <v>45721</v>
      </c>
      <c r="R262" t="str">
        <f t="shared" si="13"/>
        <v>On-Time</v>
      </c>
      <c r="S262" t="s">
        <v>798</v>
      </c>
      <c r="T262">
        <v>19</v>
      </c>
      <c r="U262" t="s">
        <v>79</v>
      </c>
      <c r="V262" t="s">
        <v>72</v>
      </c>
      <c r="W262" t="str">
        <f t="shared" ca="1" si="14"/>
        <v>Dormant</v>
      </c>
    </row>
    <row r="263" spans="1:23" x14ac:dyDescent="0.2">
      <c r="A263">
        <v>1336</v>
      </c>
      <c r="B263" t="s">
        <v>3861</v>
      </c>
      <c r="C263" t="s">
        <v>3867</v>
      </c>
      <c r="D263" s="1" t="s">
        <v>1005</v>
      </c>
      <c r="E263" t="s">
        <v>3863</v>
      </c>
      <c r="F263" t="s">
        <v>2176</v>
      </c>
      <c r="G263" s="4" t="s">
        <v>5425</v>
      </c>
      <c r="H263" t="s">
        <v>3864</v>
      </c>
      <c r="I263" t="s">
        <v>59</v>
      </c>
      <c r="J263" s="4" t="s">
        <v>5417</v>
      </c>
      <c r="K263" t="s">
        <v>3868</v>
      </c>
      <c r="L263">
        <v>3</v>
      </c>
      <c r="M263" t="s">
        <v>615</v>
      </c>
      <c r="N263" t="s">
        <v>621</v>
      </c>
      <c r="O263" t="s">
        <v>1771</v>
      </c>
      <c r="P263" s="2" t="str">
        <f t="shared" si="12"/>
        <v>04/03/2025 to 07/03/2025</v>
      </c>
      <c r="Q263" s="3">
        <v>45720</v>
      </c>
      <c r="R263" t="str">
        <f t="shared" si="13"/>
        <v>On-Time</v>
      </c>
      <c r="S263" t="s">
        <v>794</v>
      </c>
      <c r="T263">
        <v>25.5</v>
      </c>
      <c r="U263" t="s">
        <v>65</v>
      </c>
      <c r="V263" t="s">
        <v>80</v>
      </c>
      <c r="W263" t="str">
        <f t="shared" ca="1" si="14"/>
        <v>Dormant</v>
      </c>
    </row>
    <row r="264" spans="1:23" x14ac:dyDescent="0.2">
      <c r="A264">
        <v>1991</v>
      </c>
      <c r="B264" t="s">
        <v>5386</v>
      </c>
      <c r="C264" t="s">
        <v>5387</v>
      </c>
      <c r="D264" s="1" t="s">
        <v>618</v>
      </c>
      <c r="E264" t="s">
        <v>5388</v>
      </c>
      <c r="F264" t="s">
        <v>910</v>
      </c>
      <c r="G264" s="4" t="s">
        <v>5422</v>
      </c>
      <c r="H264" t="s">
        <v>5389</v>
      </c>
      <c r="I264" t="s">
        <v>93</v>
      </c>
      <c r="J264" s="4" t="s">
        <v>74</v>
      </c>
      <c r="K264" t="s">
        <v>14</v>
      </c>
      <c r="L264">
        <v>1</v>
      </c>
      <c r="M264" t="s">
        <v>615</v>
      </c>
      <c r="N264" t="s">
        <v>1771</v>
      </c>
      <c r="O264" t="s">
        <v>1771</v>
      </c>
      <c r="P264" s="2" t="str">
        <f t="shared" si="12"/>
        <v>04/03/2025 to 07/03/2025</v>
      </c>
      <c r="Q264" s="3">
        <v>45720</v>
      </c>
      <c r="R264" t="str">
        <f t="shared" si="13"/>
        <v>On-Time</v>
      </c>
      <c r="S264" t="s">
        <v>2547</v>
      </c>
      <c r="T264">
        <v>9.5</v>
      </c>
      <c r="U264" t="s">
        <v>79</v>
      </c>
      <c r="V264" t="s">
        <v>66</v>
      </c>
      <c r="W264" t="str">
        <f t="shared" ca="1" si="14"/>
        <v>Dormant</v>
      </c>
    </row>
    <row r="265" spans="1:23" x14ac:dyDescent="0.2">
      <c r="A265">
        <v>1437</v>
      </c>
      <c r="B265" t="s">
        <v>4111</v>
      </c>
      <c r="C265" t="s">
        <v>4112</v>
      </c>
      <c r="D265" s="1" t="s">
        <v>615</v>
      </c>
      <c r="E265" t="s">
        <v>4113</v>
      </c>
      <c r="F265" t="s">
        <v>159</v>
      </c>
      <c r="G265" s="4" t="s">
        <v>5423</v>
      </c>
      <c r="H265" t="s">
        <v>4114</v>
      </c>
      <c r="I265" t="s">
        <v>59</v>
      </c>
      <c r="J265" s="4" t="s">
        <v>60</v>
      </c>
      <c r="K265" t="s">
        <v>1223</v>
      </c>
      <c r="L265">
        <v>2</v>
      </c>
      <c r="M265" t="s">
        <v>621</v>
      </c>
      <c r="N265" t="s">
        <v>621</v>
      </c>
      <c r="O265" t="s">
        <v>1771</v>
      </c>
      <c r="P265" s="2" t="str">
        <f t="shared" si="12"/>
        <v>04/03/2025 to 07/03/2025</v>
      </c>
      <c r="Q265" s="3">
        <v>45724</v>
      </c>
      <c r="R265" t="str">
        <f t="shared" si="13"/>
        <v>Late</v>
      </c>
      <c r="S265" t="s">
        <v>232</v>
      </c>
      <c r="T265">
        <v>19</v>
      </c>
      <c r="U265" t="s">
        <v>65</v>
      </c>
      <c r="V265" t="s">
        <v>72</v>
      </c>
      <c r="W265" t="str">
        <f t="shared" ca="1" si="14"/>
        <v>Dormant</v>
      </c>
    </row>
    <row r="266" spans="1:23" x14ac:dyDescent="0.2">
      <c r="A266">
        <v>1438</v>
      </c>
      <c r="B266" t="s">
        <v>4111</v>
      </c>
      <c r="C266" t="s">
        <v>4115</v>
      </c>
      <c r="D266" s="1" t="s">
        <v>615</v>
      </c>
      <c r="E266" t="s">
        <v>4113</v>
      </c>
      <c r="F266" t="s">
        <v>159</v>
      </c>
      <c r="G266" s="4" t="s">
        <v>5423</v>
      </c>
      <c r="H266" t="s">
        <v>4114</v>
      </c>
      <c r="I266" t="s">
        <v>59</v>
      </c>
      <c r="J266" s="4" t="s">
        <v>5417</v>
      </c>
      <c r="K266" t="s">
        <v>1412</v>
      </c>
      <c r="L266">
        <v>2</v>
      </c>
      <c r="M266" t="s">
        <v>1771</v>
      </c>
      <c r="N266" t="s">
        <v>1771</v>
      </c>
      <c r="O266" t="s">
        <v>1771</v>
      </c>
      <c r="P266" s="2" t="str">
        <f t="shared" si="12"/>
        <v>05/03/2025 to 10/03/2025</v>
      </c>
      <c r="Q266" s="3">
        <v>45725</v>
      </c>
      <c r="R266" t="str">
        <f t="shared" si="13"/>
        <v>On-Time</v>
      </c>
      <c r="S266" t="s">
        <v>232</v>
      </c>
      <c r="T266">
        <v>18</v>
      </c>
      <c r="U266" t="s">
        <v>65</v>
      </c>
      <c r="V266" t="s">
        <v>66</v>
      </c>
      <c r="W266" t="str">
        <f t="shared" ca="1" si="14"/>
        <v>Dormant</v>
      </c>
    </row>
    <row r="267" spans="1:23" x14ac:dyDescent="0.2">
      <c r="A267">
        <v>1439</v>
      </c>
      <c r="B267" t="s">
        <v>4111</v>
      </c>
      <c r="C267" t="s">
        <v>4116</v>
      </c>
      <c r="D267" s="1" t="s">
        <v>615</v>
      </c>
      <c r="E267" t="s">
        <v>4113</v>
      </c>
      <c r="F267" t="s">
        <v>159</v>
      </c>
      <c r="G267" s="4" t="s">
        <v>5428</v>
      </c>
      <c r="H267" t="s">
        <v>4114</v>
      </c>
      <c r="I267" t="s">
        <v>59</v>
      </c>
      <c r="J267" s="4" t="s">
        <v>60</v>
      </c>
      <c r="K267" t="s">
        <v>4117</v>
      </c>
      <c r="L267">
        <v>4</v>
      </c>
      <c r="M267" t="s">
        <v>615</v>
      </c>
      <c r="N267" t="s">
        <v>615</v>
      </c>
      <c r="O267" t="s">
        <v>621</v>
      </c>
      <c r="P267" s="2" t="str">
        <f t="shared" si="12"/>
        <v>04/03/2025 to 07/03/2025</v>
      </c>
      <c r="Q267" s="3">
        <v>45721</v>
      </c>
      <c r="R267" t="str">
        <f t="shared" si="13"/>
        <v>On-Time</v>
      </c>
      <c r="S267" t="s">
        <v>794</v>
      </c>
      <c r="T267">
        <v>36.5</v>
      </c>
      <c r="U267" t="s">
        <v>79</v>
      </c>
      <c r="V267" t="s">
        <v>80</v>
      </c>
      <c r="W267" t="str">
        <f t="shared" ca="1" si="14"/>
        <v>Dormant</v>
      </c>
    </row>
    <row r="268" spans="1:23" x14ac:dyDescent="0.2">
      <c r="A268">
        <v>1440</v>
      </c>
      <c r="B268" t="s">
        <v>4111</v>
      </c>
      <c r="C268" t="s">
        <v>4118</v>
      </c>
      <c r="D268" s="1" t="s">
        <v>615</v>
      </c>
      <c r="E268" t="s">
        <v>4113</v>
      </c>
      <c r="F268" t="s">
        <v>159</v>
      </c>
      <c r="G268" s="4" t="s">
        <v>5419</v>
      </c>
      <c r="H268" t="s">
        <v>4114</v>
      </c>
      <c r="I268" t="s">
        <v>59</v>
      </c>
      <c r="J268" s="4" t="s">
        <v>68</v>
      </c>
      <c r="K268" t="s">
        <v>10</v>
      </c>
      <c r="L268">
        <v>1</v>
      </c>
      <c r="M268" t="s">
        <v>1771</v>
      </c>
      <c r="N268" t="s">
        <v>1774</v>
      </c>
      <c r="O268" t="s">
        <v>1771</v>
      </c>
      <c r="P268" s="2" t="str">
        <f t="shared" si="12"/>
        <v>05/03/2025 to 10/03/2025</v>
      </c>
      <c r="Q268" s="3">
        <v>45719</v>
      </c>
      <c r="R268" t="str">
        <f t="shared" si="13"/>
        <v>Late</v>
      </c>
      <c r="S268" t="s">
        <v>794</v>
      </c>
      <c r="T268">
        <v>10</v>
      </c>
      <c r="U268" t="s">
        <v>65</v>
      </c>
      <c r="V268" t="s">
        <v>72</v>
      </c>
      <c r="W268" t="str">
        <f t="shared" ca="1" si="14"/>
        <v>Dormant</v>
      </c>
    </row>
    <row r="269" spans="1:23" x14ac:dyDescent="0.2">
      <c r="A269">
        <v>1134</v>
      </c>
      <c r="B269" t="s">
        <v>3391</v>
      </c>
      <c r="C269" t="s">
        <v>3392</v>
      </c>
      <c r="D269" s="1" t="s">
        <v>621</v>
      </c>
      <c r="E269" t="s">
        <v>3393</v>
      </c>
      <c r="F269" t="s">
        <v>121</v>
      </c>
      <c r="G269" s="4" t="s">
        <v>5421</v>
      </c>
      <c r="H269" t="s">
        <v>357</v>
      </c>
      <c r="I269" t="s">
        <v>112</v>
      </c>
      <c r="J269" s="4" t="s">
        <v>68</v>
      </c>
      <c r="K269" t="s">
        <v>3394</v>
      </c>
      <c r="L269">
        <v>3</v>
      </c>
      <c r="M269" t="s">
        <v>1771</v>
      </c>
      <c r="N269" t="s">
        <v>1771</v>
      </c>
      <c r="O269" t="s">
        <v>622</v>
      </c>
      <c r="P269" s="2" t="str">
        <f t="shared" si="12"/>
        <v>05/03/2025 to 10/03/2025</v>
      </c>
      <c r="Q269" s="3">
        <v>45721</v>
      </c>
      <c r="R269" t="str">
        <f t="shared" si="13"/>
        <v>On-Time</v>
      </c>
      <c r="S269" t="s">
        <v>794</v>
      </c>
      <c r="T269">
        <v>29.5</v>
      </c>
      <c r="U269" t="s">
        <v>65</v>
      </c>
      <c r="V269" t="s">
        <v>80</v>
      </c>
      <c r="W269" t="str">
        <f t="shared" ca="1" si="14"/>
        <v>Dormant</v>
      </c>
    </row>
    <row r="270" spans="1:23" x14ac:dyDescent="0.2">
      <c r="A270">
        <v>1135</v>
      </c>
      <c r="B270" t="s">
        <v>3391</v>
      </c>
      <c r="C270" t="s">
        <v>3395</v>
      </c>
      <c r="D270" s="1" t="s">
        <v>621</v>
      </c>
      <c r="E270" t="s">
        <v>3393</v>
      </c>
      <c r="F270" t="s">
        <v>121</v>
      </c>
      <c r="G270" s="4" t="s">
        <v>5418</v>
      </c>
      <c r="H270" t="s">
        <v>357</v>
      </c>
      <c r="I270" t="s">
        <v>112</v>
      </c>
      <c r="J270" s="4" t="s">
        <v>5417</v>
      </c>
      <c r="K270" t="s">
        <v>3396</v>
      </c>
      <c r="L270">
        <v>3</v>
      </c>
      <c r="M270" t="s">
        <v>1771</v>
      </c>
      <c r="N270" t="s">
        <v>1774</v>
      </c>
      <c r="O270" t="s">
        <v>622</v>
      </c>
      <c r="P270" s="2" t="str">
        <f t="shared" si="12"/>
        <v>05/03/2025 to 10/03/2025</v>
      </c>
      <c r="Q270" s="3">
        <v>45721</v>
      </c>
      <c r="R270" t="str">
        <f t="shared" si="13"/>
        <v>On-Time</v>
      </c>
      <c r="S270" t="s">
        <v>798</v>
      </c>
      <c r="T270">
        <v>32.5</v>
      </c>
      <c r="U270" t="s">
        <v>79</v>
      </c>
      <c r="V270" t="s">
        <v>72</v>
      </c>
      <c r="W270" t="str">
        <f t="shared" ca="1" si="14"/>
        <v>Dormant</v>
      </c>
    </row>
    <row r="271" spans="1:23" x14ac:dyDescent="0.2">
      <c r="A271">
        <v>1444</v>
      </c>
      <c r="B271" t="s">
        <v>4130</v>
      </c>
      <c r="C271" t="s">
        <v>4131</v>
      </c>
      <c r="D271" s="1" t="s">
        <v>621</v>
      </c>
      <c r="E271" t="s">
        <v>4132</v>
      </c>
      <c r="F271" t="s">
        <v>1139</v>
      </c>
      <c r="G271" s="4" t="s">
        <v>5428</v>
      </c>
      <c r="H271" t="s">
        <v>3546</v>
      </c>
      <c r="I271" t="s">
        <v>93</v>
      </c>
      <c r="J271" s="4" t="s">
        <v>74</v>
      </c>
      <c r="K271" t="s">
        <v>4133</v>
      </c>
      <c r="L271">
        <v>4</v>
      </c>
      <c r="M271" t="s">
        <v>621</v>
      </c>
      <c r="N271" t="s">
        <v>1771</v>
      </c>
      <c r="O271" t="s">
        <v>1771</v>
      </c>
      <c r="P271" s="2" t="str">
        <f t="shared" si="12"/>
        <v>04/03/2025 to 07/03/2025</v>
      </c>
      <c r="Q271" s="3">
        <v>45725</v>
      </c>
      <c r="R271" t="str">
        <f t="shared" si="13"/>
        <v>Late</v>
      </c>
      <c r="S271" t="s">
        <v>231</v>
      </c>
      <c r="T271">
        <v>34.5</v>
      </c>
      <c r="U271" t="s">
        <v>65</v>
      </c>
      <c r="V271" t="s">
        <v>72</v>
      </c>
      <c r="W271" t="str">
        <f t="shared" ca="1" si="14"/>
        <v>Dormant</v>
      </c>
    </row>
    <row r="272" spans="1:23" x14ac:dyDescent="0.2">
      <c r="A272">
        <v>1445</v>
      </c>
      <c r="B272" t="s">
        <v>4130</v>
      </c>
      <c r="C272" t="s">
        <v>4134</v>
      </c>
      <c r="D272" s="1" t="s">
        <v>621</v>
      </c>
      <c r="E272" t="s">
        <v>4132</v>
      </c>
      <c r="F272" t="s">
        <v>1139</v>
      </c>
      <c r="G272" s="4" t="s">
        <v>5423</v>
      </c>
      <c r="H272" t="s">
        <v>3546</v>
      </c>
      <c r="I272" t="s">
        <v>93</v>
      </c>
      <c r="J272" s="4" t="s">
        <v>5417</v>
      </c>
      <c r="K272" t="s">
        <v>4135</v>
      </c>
      <c r="L272">
        <v>4</v>
      </c>
      <c r="M272" t="s">
        <v>1771</v>
      </c>
      <c r="N272" t="s">
        <v>1774</v>
      </c>
      <c r="O272" t="s">
        <v>622</v>
      </c>
      <c r="P272" s="2" t="str">
        <f t="shared" si="12"/>
        <v>05/03/2025 to 10/03/2025</v>
      </c>
      <c r="Q272" s="3">
        <v>45725</v>
      </c>
      <c r="R272" t="str">
        <f t="shared" si="13"/>
        <v>On-Time</v>
      </c>
      <c r="S272" t="s">
        <v>233</v>
      </c>
      <c r="T272">
        <v>40</v>
      </c>
      <c r="U272" t="s">
        <v>79</v>
      </c>
      <c r="V272" t="s">
        <v>80</v>
      </c>
      <c r="W272" t="str">
        <f t="shared" ca="1" si="14"/>
        <v>Dormant</v>
      </c>
    </row>
    <row r="273" spans="1:23" x14ac:dyDescent="0.2">
      <c r="A273">
        <v>482</v>
      </c>
      <c r="B273" t="s">
        <v>1769</v>
      </c>
      <c r="C273" t="s">
        <v>1770</v>
      </c>
      <c r="D273" s="1" t="s">
        <v>1771</v>
      </c>
      <c r="E273" t="s">
        <v>1772</v>
      </c>
      <c r="F273" t="s">
        <v>1154</v>
      </c>
      <c r="G273" s="4" t="s">
        <v>5423</v>
      </c>
      <c r="H273" t="s">
        <v>1773</v>
      </c>
      <c r="I273" t="s">
        <v>136</v>
      </c>
      <c r="J273" s="4" t="s">
        <v>68</v>
      </c>
      <c r="K273" t="s">
        <v>32</v>
      </c>
      <c r="L273">
        <v>1</v>
      </c>
      <c r="M273" t="s">
        <v>1774</v>
      </c>
      <c r="N273" t="s">
        <v>1774</v>
      </c>
      <c r="O273" t="s">
        <v>1775</v>
      </c>
      <c r="P273" s="2" t="str">
        <f t="shared" si="12"/>
        <v>07/03/2025 to 12/03/2025</v>
      </c>
      <c r="Q273" s="3">
        <v>45723</v>
      </c>
      <c r="R273" t="str">
        <f t="shared" si="13"/>
        <v>On-Time</v>
      </c>
      <c r="S273" t="s">
        <v>227</v>
      </c>
      <c r="T273">
        <v>14</v>
      </c>
      <c r="U273" t="s">
        <v>65</v>
      </c>
      <c r="V273" t="s">
        <v>66</v>
      </c>
      <c r="W273" t="str">
        <f t="shared" ca="1" si="14"/>
        <v>Dormant</v>
      </c>
    </row>
    <row r="274" spans="1:23" x14ac:dyDescent="0.2">
      <c r="A274">
        <v>483</v>
      </c>
      <c r="B274" t="s">
        <v>1769</v>
      </c>
      <c r="C274" t="s">
        <v>1776</v>
      </c>
      <c r="D274" s="1" t="s">
        <v>1771</v>
      </c>
      <c r="E274" t="s">
        <v>1772</v>
      </c>
      <c r="F274" t="s">
        <v>1154</v>
      </c>
      <c r="G274" s="4" t="s">
        <v>5427</v>
      </c>
      <c r="H274" t="s">
        <v>1773</v>
      </c>
      <c r="I274" t="s">
        <v>136</v>
      </c>
      <c r="J274" s="4" t="s">
        <v>74</v>
      </c>
      <c r="K274" t="s">
        <v>1777</v>
      </c>
      <c r="L274">
        <v>3</v>
      </c>
      <c r="M274" t="s">
        <v>1774</v>
      </c>
      <c r="N274" t="s">
        <v>610</v>
      </c>
      <c r="O274" t="s">
        <v>1774</v>
      </c>
      <c r="P274" s="2" t="str">
        <f t="shared" si="12"/>
        <v>07/03/2025 to 12/03/2025</v>
      </c>
      <c r="Q274" s="3">
        <v>45724</v>
      </c>
      <c r="R274" t="str">
        <f t="shared" si="13"/>
        <v>On-Time</v>
      </c>
      <c r="S274" t="s">
        <v>227</v>
      </c>
      <c r="T274">
        <v>29.5</v>
      </c>
      <c r="U274" t="s">
        <v>79</v>
      </c>
      <c r="V274" t="s">
        <v>72</v>
      </c>
      <c r="W274" t="str">
        <f t="shared" ca="1" si="14"/>
        <v>Dormant</v>
      </c>
    </row>
    <row r="275" spans="1:23" x14ac:dyDescent="0.2">
      <c r="A275">
        <v>484</v>
      </c>
      <c r="B275" t="s">
        <v>1769</v>
      </c>
      <c r="C275" t="s">
        <v>1778</v>
      </c>
      <c r="D275" s="1" t="s">
        <v>1771</v>
      </c>
      <c r="E275" t="s">
        <v>1772</v>
      </c>
      <c r="F275" t="s">
        <v>1154</v>
      </c>
      <c r="G275" s="4" t="s">
        <v>5418</v>
      </c>
      <c r="H275" t="s">
        <v>1773</v>
      </c>
      <c r="I275" t="s">
        <v>136</v>
      </c>
      <c r="J275" s="4" t="s">
        <v>74</v>
      </c>
      <c r="K275" t="s">
        <v>1779</v>
      </c>
      <c r="L275">
        <v>3</v>
      </c>
      <c r="M275" t="s">
        <v>1774</v>
      </c>
      <c r="N275" t="s">
        <v>610</v>
      </c>
      <c r="O275" t="s">
        <v>1775</v>
      </c>
      <c r="P275" s="2" t="str">
        <f t="shared" si="12"/>
        <v>07/03/2025 to 12/03/2025</v>
      </c>
      <c r="Q275" s="3">
        <v>45726</v>
      </c>
      <c r="R275" t="str">
        <f t="shared" si="13"/>
        <v>On-Time</v>
      </c>
      <c r="S275" t="s">
        <v>233</v>
      </c>
      <c r="T275">
        <v>24</v>
      </c>
      <c r="U275" t="s">
        <v>79</v>
      </c>
      <c r="V275" t="s">
        <v>66</v>
      </c>
      <c r="W275" t="str">
        <f t="shared" ca="1" si="14"/>
        <v>Dormant</v>
      </c>
    </row>
    <row r="276" spans="1:23" x14ac:dyDescent="0.2">
      <c r="A276">
        <v>485</v>
      </c>
      <c r="B276" t="s">
        <v>1769</v>
      </c>
      <c r="C276" t="s">
        <v>1780</v>
      </c>
      <c r="D276" s="1" t="s">
        <v>1771</v>
      </c>
      <c r="E276" t="s">
        <v>1772</v>
      </c>
      <c r="F276" t="s">
        <v>1154</v>
      </c>
      <c r="G276" s="4" t="s">
        <v>5424</v>
      </c>
      <c r="H276" t="s">
        <v>1773</v>
      </c>
      <c r="I276" t="s">
        <v>136</v>
      </c>
      <c r="J276" s="4" t="s">
        <v>60</v>
      </c>
      <c r="K276" t="s">
        <v>1781</v>
      </c>
      <c r="L276">
        <v>4</v>
      </c>
      <c r="M276" t="s">
        <v>1774</v>
      </c>
      <c r="N276" t="s">
        <v>1775</v>
      </c>
      <c r="O276" t="s">
        <v>610</v>
      </c>
      <c r="P276" s="2" t="str">
        <f t="shared" si="12"/>
        <v>07/03/2025 to 12/03/2025</v>
      </c>
      <c r="Q276" s="3">
        <v>45727</v>
      </c>
      <c r="R276" t="str">
        <f t="shared" si="13"/>
        <v>On-Time</v>
      </c>
      <c r="S276" t="s">
        <v>993</v>
      </c>
      <c r="T276">
        <v>37</v>
      </c>
      <c r="U276" t="s">
        <v>65</v>
      </c>
      <c r="V276" t="s">
        <v>66</v>
      </c>
      <c r="W276" t="str">
        <f t="shared" ca="1" si="14"/>
        <v>Dormant</v>
      </c>
    </row>
    <row r="277" spans="1:23" x14ac:dyDescent="0.2">
      <c r="A277">
        <v>1166</v>
      </c>
      <c r="B277" t="s">
        <v>3461</v>
      </c>
      <c r="C277" t="s">
        <v>3462</v>
      </c>
      <c r="D277" s="1" t="s">
        <v>1771</v>
      </c>
      <c r="E277" t="s">
        <v>3463</v>
      </c>
      <c r="F277" t="s">
        <v>1139</v>
      </c>
      <c r="G277" s="4" t="s">
        <v>5425</v>
      </c>
      <c r="H277" t="s">
        <v>3464</v>
      </c>
      <c r="I277" t="s">
        <v>93</v>
      </c>
      <c r="J277" s="4" t="s">
        <v>60</v>
      </c>
      <c r="K277" t="s">
        <v>20</v>
      </c>
      <c r="L277">
        <v>1</v>
      </c>
      <c r="M277" t="s">
        <v>1774</v>
      </c>
      <c r="N277" t="s">
        <v>1775</v>
      </c>
      <c r="O277" t="s">
        <v>1774</v>
      </c>
      <c r="P277" s="2" t="str">
        <f t="shared" si="12"/>
        <v>07/03/2025 to 12/03/2025</v>
      </c>
      <c r="Q277" s="3">
        <v>45727</v>
      </c>
      <c r="R277" t="str">
        <f t="shared" si="13"/>
        <v>On-Time</v>
      </c>
      <c r="S277" t="s">
        <v>993</v>
      </c>
      <c r="T277">
        <v>10.5</v>
      </c>
      <c r="U277" t="s">
        <v>65</v>
      </c>
      <c r="V277" t="s">
        <v>66</v>
      </c>
      <c r="W277" t="str">
        <f t="shared" ca="1" si="14"/>
        <v>Dormant</v>
      </c>
    </row>
    <row r="278" spans="1:23" x14ac:dyDescent="0.2">
      <c r="A278">
        <v>1167</v>
      </c>
      <c r="B278" t="s">
        <v>3461</v>
      </c>
      <c r="C278" t="s">
        <v>3465</v>
      </c>
      <c r="D278" s="1" t="s">
        <v>1771</v>
      </c>
      <c r="E278" t="s">
        <v>3463</v>
      </c>
      <c r="F278" t="s">
        <v>1139</v>
      </c>
      <c r="G278" s="4" t="s">
        <v>38</v>
      </c>
      <c r="H278" t="s">
        <v>3464</v>
      </c>
      <c r="I278" t="s">
        <v>93</v>
      </c>
      <c r="J278" s="4" t="s">
        <v>74</v>
      </c>
      <c r="K278" t="s">
        <v>12</v>
      </c>
      <c r="L278">
        <v>1</v>
      </c>
      <c r="M278" t="s">
        <v>622</v>
      </c>
      <c r="N278" t="s">
        <v>1775</v>
      </c>
      <c r="O278" t="s">
        <v>622</v>
      </c>
      <c r="P278" s="2" t="str">
        <f t="shared" si="12"/>
        <v>06/03/2025 to 11/03/2025</v>
      </c>
      <c r="Q278" s="3">
        <v>45725</v>
      </c>
      <c r="R278" t="str">
        <f t="shared" si="13"/>
        <v>On-Time</v>
      </c>
      <c r="S278" t="s">
        <v>232</v>
      </c>
      <c r="T278">
        <v>9.5</v>
      </c>
      <c r="U278" t="s">
        <v>79</v>
      </c>
      <c r="V278" t="s">
        <v>72</v>
      </c>
      <c r="W278" t="str">
        <f t="shared" ca="1" si="14"/>
        <v>Dormant</v>
      </c>
    </row>
    <row r="279" spans="1:23" x14ac:dyDescent="0.2">
      <c r="A279">
        <v>1168</v>
      </c>
      <c r="B279" t="s">
        <v>3461</v>
      </c>
      <c r="C279" t="s">
        <v>3466</v>
      </c>
      <c r="D279" s="1" t="s">
        <v>1771</v>
      </c>
      <c r="E279" t="s">
        <v>3463</v>
      </c>
      <c r="F279" t="s">
        <v>1139</v>
      </c>
      <c r="G279" s="4" t="s">
        <v>38</v>
      </c>
      <c r="H279" t="s">
        <v>3464</v>
      </c>
      <c r="I279" t="s">
        <v>93</v>
      </c>
      <c r="J279" s="4" t="s">
        <v>68</v>
      </c>
      <c r="K279" t="s">
        <v>10</v>
      </c>
      <c r="L279">
        <v>1</v>
      </c>
      <c r="M279" t="s">
        <v>622</v>
      </c>
      <c r="N279" t="s">
        <v>1774</v>
      </c>
      <c r="O279" t="s">
        <v>1775</v>
      </c>
      <c r="P279" s="2" t="str">
        <f t="shared" si="12"/>
        <v>06/03/2025 to 11/03/2025</v>
      </c>
      <c r="Q279" s="3">
        <v>45723</v>
      </c>
      <c r="R279" t="str">
        <f t="shared" si="13"/>
        <v>On-Time</v>
      </c>
      <c r="S279" t="s">
        <v>231</v>
      </c>
      <c r="T279">
        <v>10</v>
      </c>
      <c r="U279" t="s">
        <v>79</v>
      </c>
      <c r="V279" t="s">
        <v>72</v>
      </c>
      <c r="W279" t="str">
        <f t="shared" ca="1" si="14"/>
        <v>Dormant</v>
      </c>
    </row>
    <row r="280" spans="1:23" x14ac:dyDescent="0.2">
      <c r="A280">
        <v>1169</v>
      </c>
      <c r="B280" t="s">
        <v>3461</v>
      </c>
      <c r="C280" t="s">
        <v>3467</v>
      </c>
      <c r="D280" s="1" t="s">
        <v>1771</v>
      </c>
      <c r="E280" t="s">
        <v>3463</v>
      </c>
      <c r="F280" t="s">
        <v>1139</v>
      </c>
      <c r="G280" s="4" t="s">
        <v>5422</v>
      </c>
      <c r="H280" t="s">
        <v>3464</v>
      </c>
      <c r="I280" t="s">
        <v>93</v>
      </c>
      <c r="J280" s="4" t="s">
        <v>74</v>
      </c>
      <c r="K280" t="s">
        <v>3468</v>
      </c>
      <c r="L280">
        <v>3</v>
      </c>
      <c r="M280" t="s">
        <v>622</v>
      </c>
      <c r="N280" t="s">
        <v>622</v>
      </c>
      <c r="O280" t="s">
        <v>622</v>
      </c>
      <c r="P280" s="2" t="str">
        <f t="shared" si="12"/>
        <v>06/03/2025 to 11/03/2025</v>
      </c>
      <c r="Q280" s="3">
        <v>45725</v>
      </c>
      <c r="R280" t="str">
        <f t="shared" si="13"/>
        <v>On-Time</v>
      </c>
      <c r="S280" t="s">
        <v>232</v>
      </c>
      <c r="T280">
        <v>26.5</v>
      </c>
      <c r="U280" t="s">
        <v>79</v>
      </c>
      <c r="V280" t="s">
        <v>72</v>
      </c>
      <c r="W280" t="str">
        <f t="shared" ca="1" si="14"/>
        <v>Dormant</v>
      </c>
    </row>
    <row r="281" spans="1:23" x14ac:dyDescent="0.2">
      <c r="A281">
        <v>1170</v>
      </c>
      <c r="B281" t="s">
        <v>3461</v>
      </c>
      <c r="C281" t="s">
        <v>3469</v>
      </c>
      <c r="D281" s="1" t="s">
        <v>1771</v>
      </c>
      <c r="E281" t="s">
        <v>3463</v>
      </c>
      <c r="F281" t="s">
        <v>1139</v>
      </c>
      <c r="G281" s="4" t="s">
        <v>5420</v>
      </c>
      <c r="H281" t="s">
        <v>3464</v>
      </c>
      <c r="I281" t="s">
        <v>93</v>
      </c>
      <c r="J281" s="4" t="s">
        <v>68</v>
      </c>
      <c r="K281" t="s">
        <v>3470</v>
      </c>
      <c r="L281">
        <v>4</v>
      </c>
      <c r="M281" t="s">
        <v>622</v>
      </c>
      <c r="N281" t="s">
        <v>622</v>
      </c>
      <c r="O281" t="s">
        <v>1774</v>
      </c>
      <c r="P281" s="2" t="str">
        <f t="shared" si="12"/>
        <v>06/03/2025 to 11/03/2025</v>
      </c>
      <c r="Q281" s="3">
        <v>45723</v>
      </c>
      <c r="R281" t="str">
        <f t="shared" si="13"/>
        <v>On-Time</v>
      </c>
      <c r="S281" t="s">
        <v>798</v>
      </c>
      <c r="T281">
        <v>38</v>
      </c>
      <c r="U281" t="s">
        <v>65</v>
      </c>
      <c r="V281" t="s">
        <v>66</v>
      </c>
      <c r="W281" t="str">
        <f t="shared" ca="1" si="14"/>
        <v>Dormant</v>
      </c>
    </row>
    <row r="282" spans="1:23" x14ac:dyDescent="0.2">
      <c r="A282">
        <v>1985</v>
      </c>
      <c r="B282" t="s">
        <v>5371</v>
      </c>
      <c r="C282" t="s">
        <v>5372</v>
      </c>
      <c r="D282" s="1" t="s">
        <v>622</v>
      </c>
      <c r="E282" t="s">
        <v>5373</v>
      </c>
      <c r="F282" t="s">
        <v>1756</v>
      </c>
      <c r="G282" s="4" t="s">
        <v>5423</v>
      </c>
      <c r="H282" t="s">
        <v>5374</v>
      </c>
      <c r="I282" t="s">
        <v>136</v>
      </c>
      <c r="J282" s="4" t="s">
        <v>68</v>
      </c>
      <c r="K282" t="s">
        <v>5375</v>
      </c>
      <c r="L282">
        <v>4</v>
      </c>
      <c r="M282" t="s">
        <v>1775</v>
      </c>
      <c r="N282" t="s">
        <v>611</v>
      </c>
      <c r="O282" t="s">
        <v>1775</v>
      </c>
      <c r="P282" s="2" t="str">
        <f t="shared" si="12"/>
        <v>10/03/2025 to 13/03/2025</v>
      </c>
      <c r="Q282" s="3">
        <v>45725</v>
      </c>
      <c r="R282" t="str">
        <f t="shared" si="13"/>
        <v>Late</v>
      </c>
      <c r="S282" t="s">
        <v>231</v>
      </c>
      <c r="T282">
        <v>43.5</v>
      </c>
      <c r="U282" t="s">
        <v>79</v>
      </c>
      <c r="V282" t="s">
        <v>72</v>
      </c>
      <c r="W282" t="str">
        <f t="shared" ca="1" si="14"/>
        <v>Dormant</v>
      </c>
    </row>
    <row r="283" spans="1:23" x14ac:dyDescent="0.2">
      <c r="A283">
        <v>1683</v>
      </c>
      <c r="B283" t="s">
        <v>4698</v>
      </c>
      <c r="C283" t="s">
        <v>4699</v>
      </c>
      <c r="D283" s="1" t="s">
        <v>1774</v>
      </c>
      <c r="E283" t="s">
        <v>4700</v>
      </c>
      <c r="F283" t="s">
        <v>1658</v>
      </c>
      <c r="G283" s="4" t="s">
        <v>5419</v>
      </c>
      <c r="H283" t="s">
        <v>122</v>
      </c>
      <c r="I283" t="s">
        <v>112</v>
      </c>
      <c r="J283" s="4" t="s">
        <v>5417</v>
      </c>
      <c r="K283" t="s">
        <v>20</v>
      </c>
      <c r="L283">
        <v>1</v>
      </c>
      <c r="M283" t="s">
        <v>1775</v>
      </c>
      <c r="N283" t="s">
        <v>1775</v>
      </c>
      <c r="O283" t="s">
        <v>611</v>
      </c>
      <c r="P283" s="2" t="str">
        <f t="shared" si="12"/>
        <v>10/03/2025 to 13/03/2025</v>
      </c>
      <c r="Q283" s="3">
        <v>45726</v>
      </c>
      <c r="R283" t="str">
        <f t="shared" si="13"/>
        <v>On-Time</v>
      </c>
      <c r="S283" t="s">
        <v>233</v>
      </c>
      <c r="T283">
        <v>10.5</v>
      </c>
      <c r="U283" t="s">
        <v>65</v>
      </c>
      <c r="V283" t="s">
        <v>72</v>
      </c>
      <c r="W283" t="str">
        <f t="shared" ca="1" si="14"/>
        <v>Dormant</v>
      </c>
    </row>
    <row r="284" spans="1:23" x14ac:dyDescent="0.2">
      <c r="A284">
        <v>1684</v>
      </c>
      <c r="B284" t="s">
        <v>4698</v>
      </c>
      <c r="C284" t="s">
        <v>4701</v>
      </c>
      <c r="D284" s="1" t="s">
        <v>1774</v>
      </c>
      <c r="E284" t="s">
        <v>4700</v>
      </c>
      <c r="F284" t="s">
        <v>1658</v>
      </c>
      <c r="G284" s="4" t="s">
        <v>5424</v>
      </c>
      <c r="H284" t="s">
        <v>122</v>
      </c>
      <c r="I284" t="s">
        <v>112</v>
      </c>
      <c r="J284" s="4" t="s">
        <v>74</v>
      </c>
      <c r="K284" t="s">
        <v>22</v>
      </c>
      <c r="L284">
        <v>1</v>
      </c>
      <c r="M284" t="s">
        <v>610</v>
      </c>
      <c r="N284" t="s">
        <v>611</v>
      </c>
      <c r="O284" t="s">
        <v>610</v>
      </c>
      <c r="P284" s="2" t="str">
        <f t="shared" si="12"/>
        <v>11/03/2025 to 14/03/2025</v>
      </c>
      <c r="Q284" s="3">
        <v>45727</v>
      </c>
      <c r="R284" t="str">
        <f t="shared" si="13"/>
        <v>On-Time</v>
      </c>
      <c r="S284" t="s">
        <v>671</v>
      </c>
      <c r="T284">
        <v>8</v>
      </c>
      <c r="U284" t="s">
        <v>79</v>
      </c>
      <c r="V284" t="s">
        <v>66</v>
      </c>
      <c r="W284" t="str">
        <f t="shared" ca="1" si="14"/>
        <v>Dormant</v>
      </c>
    </row>
    <row r="285" spans="1:23" x14ac:dyDescent="0.2">
      <c r="A285">
        <v>1685</v>
      </c>
      <c r="B285" t="s">
        <v>4698</v>
      </c>
      <c r="C285" t="s">
        <v>4702</v>
      </c>
      <c r="D285" s="1" t="s">
        <v>1774</v>
      </c>
      <c r="E285" t="s">
        <v>4700</v>
      </c>
      <c r="F285" t="s">
        <v>1658</v>
      </c>
      <c r="G285" s="4" t="s">
        <v>38</v>
      </c>
      <c r="H285" t="s">
        <v>122</v>
      </c>
      <c r="I285" t="s">
        <v>112</v>
      </c>
      <c r="J285" s="4" t="s">
        <v>68</v>
      </c>
      <c r="K285" t="s">
        <v>24</v>
      </c>
      <c r="L285">
        <v>1</v>
      </c>
      <c r="M285" t="s">
        <v>1774</v>
      </c>
      <c r="N285" t="s">
        <v>1775</v>
      </c>
      <c r="O285" t="s">
        <v>610</v>
      </c>
      <c r="P285" s="2" t="str">
        <f t="shared" si="12"/>
        <v>07/03/2025 to 12/03/2025</v>
      </c>
      <c r="Q285" s="3">
        <v>45725</v>
      </c>
      <c r="R285" t="str">
        <f t="shared" si="13"/>
        <v>On-Time</v>
      </c>
      <c r="S285" t="s">
        <v>232</v>
      </c>
      <c r="T285">
        <v>8</v>
      </c>
      <c r="U285" t="s">
        <v>65</v>
      </c>
      <c r="V285" t="s">
        <v>80</v>
      </c>
      <c r="W285" t="str">
        <f t="shared" ca="1" si="14"/>
        <v>Dormant</v>
      </c>
    </row>
    <row r="286" spans="1:23" x14ac:dyDescent="0.2">
      <c r="A286">
        <v>1686</v>
      </c>
      <c r="B286" t="s">
        <v>4698</v>
      </c>
      <c r="C286" t="s">
        <v>4703</v>
      </c>
      <c r="D286" s="1" t="s">
        <v>1774</v>
      </c>
      <c r="E286" t="s">
        <v>4700</v>
      </c>
      <c r="F286" t="s">
        <v>1658</v>
      </c>
      <c r="G286" s="4" t="s">
        <v>5422</v>
      </c>
      <c r="H286" t="s">
        <v>122</v>
      </c>
      <c r="I286" t="s">
        <v>112</v>
      </c>
      <c r="J286" s="4" t="s">
        <v>68</v>
      </c>
      <c r="K286" t="s">
        <v>1926</v>
      </c>
      <c r="L286">
        <v>2</v>
      </c>
      <c r="M286" t="s">
        <v>1775</v>
      </c>
      <c r="N286" t="s">
        <v>611</v>
      </c>
      <c r="O286" t="s">
        <v>610</v>
      </c>
      <c r="P286" s="2" t="str">
        <f t="shared" si="12"/>
        <v>10/03/2025 to 13/03/2025</v>
      </c>
      <c r="Q286" s="3">
        <v>45724</v>
      </c>
      <c r="R286" t="str">
        <f t="shared" si="13"/>
        <v>Late</v>
      </c>
      <c r="S286" t="s">
        <v>232</v>
      </c>
      <c r="T286">
        <v>17</v>
      </c>
      <c r="U286" t="s">
        <v>65</v>
      </c>
      <c r="V286" t="s">
        <v>66</v>
      </c>
      <c r="W286" t="str">
        <f t="shared" ca="1" si="14"/>
        <v>Dormant</v>
      </c>
    </row>
    <row r="287" spans="1:23" x14ac:dyDescent="0.2">
      <c r="A287">
        <v>1109</v>
      </c>
      <c r="B287" t="s">
        <v>3323</v>
      </c>
      <c r="C287" t="s">
        <v>3324</v>
      </c>
      <c r="D287" s="1" t="s">
        <v>1775</v>
      </c>
      <c r="E287" t="s">
        <v>3325</v>
      </c>
      <c r="F287" t="s">
        <v>199</v>
      </c>
      <c r="G287" s="4" t="s">
        <v>5422</v>
      </c>
      <c r="H287" t="s">
        <v>3326</v>
      </c>
      <c r="I287" t="s">
        <v>112</v>
      </c>
      <c r="J287" s="4" t="s">
        <v>60</v>
      </c>
      <c r="K287" t="s">
        <v>22</v>
      </c>
      <c r="L287">
        <v>1</v>
      </c>
      <c r="M287" t="s">
        <v>1775</v>
      </c>
      <c r="N287" t="s">
        <v>1775</v>
      </c>
      <c r="O287" t="s">
        <v>1775</v>
      </c>
      <c r="P287" s="2" t="str">
        <f t="shared" si="12"/>
        <v>10/03/2025 to 13/03/2025</v>
      </c>
      <c r="Q287" s="3">
        <v>45728</v>
      </c>
      <c r="R287" t="str">
        <f t="shared" si="13"/>
        <v>On-Time</v>
      </c>
      <c r="S287" t="s">
        <v>862</v>
      </c>
      <c r="T287">
        <v>8</v>
      </c>
      <c r="U287" t="s">
        <v>65</v>
      </c>
      <c r="V287" t="s">
        <v>72</v>
      </c>
      <c r="W287" t="str">
        <f t="shared" ca="1" si="14"/>
        <v>Dormant</v>
      </c>
    </row>
    <row r="288" spans="1:23" x14ac:dyDescent="0.2">
      <c r="A288">
        <v>1110</v>
      </c>
      <c r="B288" t="s">
        <v>3323</v>
      </c>
      <c r="C288" t="s">
        <v>3327</v>
      </c>
      <c r="D288" s="1" t="s">
        <v>1775</v>
      </c>
      <c r="E288" t="s">
        <v>3325</v>
      </c>
      <c r="F288" t="s">
        <v>199</v>
      </c>
      <c r="G288" s="4" t="s">
        <v>5427</v>
      </c>
      <c r="H288" t="s">
        <v>3326</v>
      </c>
      <c r="I288" t="s">
        <v>112</v>
      </c>
      <c r="J288" s="4" t="s">
        <v>5417</v>
      </c>
      <c r="K288" t="s">
        <v>1610</v>
      </c>
      <c r="L288">
        <v>2</v>
      </c>
      <c r="M288" t="s">
        <v>1775</v>
      </c>
      <c r="N288" t="s">
        <v>611</v>
      </c>
      <c r="O288" t="s">
        <v>611</v>
      </c>
      <c r="P288" s="2" t="str">
        <f t="shared" si="12"/>
        <v>10/03/2025 to 13/03/2025</v>
      </c>
      <c r="Q288" s="3">
        <v>45724</v>
      </c>
      <c r="R288" t="str">
        <f t="shared" si="13"/>
        <v>Late</v>
      </c>
      <c r="S288" t="s">
        <v>227</v>
      </c>
      <c r="T288">
        <v>21.5</v>
      </c>
      <c r="U288" t="s">
        <v>79</v>
      </c>
      <c r="V288" t="s">
        <v>80</v>
      </c>
      <c r="W288" t="str">
        <f t="shared" ca="1" si="14"/>
        <v>Dormant</v>
      </c>
    </row>
    <row r="289" spans="1:23" x14ac:dyDescent="0.2">
      <c r="A289">
        <v>1111</v>
      </c>
      <c r="B289" t="s">
        <v>3323</v>
      </c>
      <c r="C289" t="s">
        <v>3328</v>
      </c>
      <c r="D289" s="1" t="s">
        <v>1775</v>
      </c>
      <c r="E289" t="s">
        <v>3325</v>
      </c>
      <c r="F289" t="s">
        <v>199</v>
      </c>
      <c r="G289" s="4" t="s">
        <v>5428</v>
      </c>
      <c r="H289" t="s">
        <v>3326</v>
      </c>
      <c r="I289" t="s">
        <v>112</v>
      </c>
      <c r="J289" s="4" t="s">
        <v>5417</v>
      </c>
      <c r="K289" t="s">
        <v>328</v>
      </c>
      <c r="L289">
        <v>2</v>
      </c>
      <c r="M289" t="s">
        <v>610</v>
      </c>
      <c r="N289" t="s">
        <v>670</v>
      </c>
      <c r="O289" t="s">
        <v>670</v>
      </c>
      <c r="P289" s="2" t="str">
        <f t="shared" si="12"/>
        <v>11/03/2025 to 14/03/2025</v>
      </c>
      <c r="Q289" s="3">
        <v>45727</v>
      </c>
      <c r="R289" t="str">
        <f t="shared" si="13"/>
        <v>On-Time</v>
      </c>
      <c r="S289" t="s">
        <v>233</v>
      </c>
      <c r="T289">
        <v>17</v>
      </c>
      <c r="U289" t="s">
        <v>65</v>
      </c>
      <c r="V289" t="s">
        <v>66</v>
      </c>
      <c r="W289" t="str">
        <f t="shared" ca="1" si="14"/>
        <v>Dormant</v>
      </c>
    </row>
    <row r="290" spans="1:23" x14ac:dyDescent="0.2">
      <c r="A290">
        <v>1112</v>
      </c>
      <c r="B290" t="s">
        <v>3323</v>
      </c>
      <c r="C290" t="s">
        <v>3329</v>
      </c>
      <c r="D290" s="1" t="s">
        <v>1775</v>
      </c>
      <c r="E290" t="s">
        <v>3325</v>
      </c>
      <c r="F290" t="s">
        <v>199</v>
      </c>
      <c r="G290" s="4" t="s">
        <v>5420</v>
      </c>
      <c r="H290" t="s">
        <v>3326</v>
      </c>
      <c r="I290" t="s">
        <v>112</v>
      </c>
      <c r="J290" s="4" t="s">
        <v>74</v>
      </c>
      <c r="K290" t="s">
        <v>3330</v>
      </c>
      <c r="L290">
        <v>4</v>
      </c>
      <c r="M290" t="s">
        <v>610</v>
      </c>
      <c r="N290" t="s">
        <v>611</v>
      </c>
      <c r="O290" t="s">
        <v>611</v>
      </c>
      <c r="P290" s="2" t="str">
        <f t="shared" si="12"/>
        <v>11/03/2025 to 14/03/2025</v>
      </c>
      <c r="Q290" s="3">
        <v>45724</v>
      </c>
      <c r="R290" t="str">
        <f t="shared" si="13"/>
        <v>Late</v>
      </c>
      <c r="S290" t="s">
        <v>232</v>
      </c>
      <c r="T290">
        <v>38</v>
      </c>
      <c r="U290" t="s">
        <v>79</v>
      </c>
      <c r="V290" t="s">
        <v>72</v>
      </c>
      <c r="W290" t="str">
        <f t="shared" ca="1" si="14"/>
        <v>Dormant</v>
      </c>
    </row>
    <row r="291" spans="1:23" x14ac:dyDescent="0.2">
      <c r="A291">
        <v>1367</v>
      </c>
      <c r="B291" t="s">
        <v>3940</v>
      </c>
      <c r="C291" t="s">
        <v>3941</v>
      </c>
      <c r="D291" s="1" t="s">
        <v>1775</v>
      </c>
      <c r="E291" t="s">
        <v>3942</v>
      </c>
      <c r="F291" t="s">
        <v>209</v>
      </c>
      <c r="G291" s="4" t="s">
        <v>5423</v>
      </c>
      <c r="H291" t="s">
        <v>1713</v>
      </c>
      <c r="I291" t="s">
        <v>59</v>
      </c>
      <c r="J291" s="4" t="s">
        <v>60</v>
      </c>
      <c r="K291" t="s">
        <v>3943</v>
      </c>
      <c r="L291">
        <v>4</v>
      </c>
      <c r="M291" t="s">
        <v>611</v>
      </c>
      <c r="N291" t="s">
        <v>611</v>
      </c>
      <c r="O291" t="s">
        <v>670</v>
      </c>
      <c r="P291" s="2" t="str">
        <f t="shared" si="12"/>
        <v>11/03/2025 to 14/03/2025</v>
      </c>
      <c r="Q291" s="3">
        <v>45729</v>
      </c>
      <c r="R291" t="str">
        <f t="shared" si="13"/>
        <v>On-Time</v>
      </c>
      <c r="S291" t="s">
        <v>862</v>
      </c>
      <c r="T291">
        <v>36</v>
      </c>
      <c r="U291" t="s">
        <v>79</v>
      </c>
      <c r="V291" t="s">
        <v>66</v>
      </c>
      <c r="W291" t="str">
        <f t="shared" ca="1" si="14"/>
        <v>Dormant</v>
      </c>
    </row>
    <row r="292" spans="1:23" x14ac:dyDescent="0.2">
      <c r="A292">
        <v>126</v>
      </c>
      <c r="B292" t="s">
        <v>665</v>
      </c>
      <c r="C292" t="s">
        <v>666</v>
      </c>
      <c r="D292" s="1" t="s">
        <v>610</v>
      </c>
      <c r="E292" t="s">
        <v>667</v>
      </c>
      <c r="F292" t="s">
        <v>668</v>
      </c>
      <c r="G292" s="4" t="s">
        <v>5423</v>
      </c>
      <c r="H292" t="s">
        <v>461</v>
      </c>
      <c r="I292" t="s">
        <v>201</v>
      </c>
      <c r="J292" s="4" t="s">
        <v>68</v>
      </c>
      <c r="K292" t="s">
        <v>669</v>
      </c>
      <c r="L292">
        <v>3</v>
      </c>
      <c r="M292" t="s">
        <v>610</v>
      </c>
      <c r="N292" t="s">
        <v>670</v>
      </c>
      <c r="O292" t="s">
        <v>670</v>
      </c>
      <c r="P292" s="2" t="str">
        <f t="shared" si="12"/>
        <v>11/03/2025 to 14/03/2025</v>
      </c>
      <c r="Q292" s="3">
        <v>45726</v>
      </c>
      <c r="R292" t="str">
        <f t="shared" si="13"/>
        <v>Late</v>
      </c>
      <c r="S292" t="s">
        <v>671</v>
      </c>
      <c r="T292">
        <v>27.5</v>
      </c>
      <c r="U292" t="s">
        <v>65</v>
      </c>
      <c r="V292" t="s">
        <v>72</v>
      </c>
      <c r="W292" t="str">
        <f t="shared" ca="1" si="14"/>
        <v>Dormant</v>
      </c>
    </row>
    <row r="293" spans="1:23" x14ac:dyDescent="0.2">
      <c r="A293">
        <v>127</v>
      </c>
      <c r="B293" t="s">
        <v>665</v>
      </c>
      <c r="C293" t="s">
        <v>672</v>
      </c>
      <c r="D293" s="1" t="s">
        <v>610</v>
      </c>
      <c r="E293" t="s">
        <v>667</v>
      </c>
      <c r="F293" t="s">
        <v>668</v>
      </c>
      <c r="G293" s="4" t="s">
        <v>5419</v>
      </c>
      <c r="H293" t="s">
        <v>461</v>
      </c>
      <c r="I293" t="s">
        <v>201</v>
      </c>
      <c r="J293" s="4" t="s">
        <v>5417</v>
      </c>
      <c r="K293" t="s">
        <v>673</v>
      </c>
      <c r="L293">
        <v>4</v>
      </c>
      <c r="M293" t="s">
        <v>610</v>
      </c>
      <c r="N293" t="s">
        <v>670</v>
      </c>
      <c r="O293" t="s">
        <v>611</v>
      </c>
      <c r="P293" s="2" t="str">
        <f t="shared" si="12"/>
        <v>11/03/2025 to 14/03/2025</v>
      </c>
      <c r="Q293" s="3">
        <v>45727</v>
      </c>
      <c r="R293" t="str">
        <f t="shared" si="13"/>
        <v>On-Time</v>
      </c>
      <c r="S293" t="s">
        <v>233</v>
      </c>
      <c r="T293">
        <v>39.5</v>
      </c>
      <c r="U293" t="s">
        <v>65</v>
      </c>
      <c r="V293" t="s">
        <v>72</v>
      </c>
      <c r="W293" t="str">
        <f t="shared" ca="1" si="14"/>
        <v>Dormant</v>
      </c>
    </row>
    <row r="294" spans="1:23" x14ac:dyDescent="0.2">
      <c r="A294">
        <v>418</v>
      </c>
      <c r="B294" t="s">
        <v>1587</v>
      </c>
      <c r="C294" t="s">
        <v>1588</v>
      </c>
      <c r="D294" s="1" t="s">
        <v>610</v>
      </c>
      <c r="E294" t="s">
        <v>1589</v>
      </c>
      <c r="F294" t="s">
        <v>490</v>
      </c>
      <c r="G294" s="4" t="s">
        <v>5419</v>
      </c>
      <c r="H294" t="s">
        <v>1590</v>
      </c>
      <c r="I294" t="s">
        <v>136</v>
      </c>
      <c r="J294" s="4" t="s">
        <v>5417</v>
      </c>
      <c r="K294" t="s">
        <v>1591</v>
      </c>
      <c r="L294">
        <v>4</v>
      </c>
      <c r="M294" t="s">
        <v>610</v>
      </c>
      <c r="N294" t="s">
        <v>610</v>
      </c>
      <c r="O294" t="s">
        <v>610</v>
      </c>
      <c r="P294" s="2" t="str">
        <f t="shared" si="12"/>
        <v>11/03/2025 to 14/03/2025</v>
      </c>
      <c r="Q294" s="3">
        <v>45723</v>
      </c>
      <c r="R294" t="str">
        <f t="shared" si="13"/>
        <v>Late</v>
      </c>
      <c r="S294" t="s">
        <v>227</v>
      </c>
      <c r="T294">
        <v>37</v>
      </c>
      <c r="U294" t="s">
        <v>65</v>
      </c>
      <c r="V294" t="s">
        <v>80</v>
      </c>
      <c r="W294" t="str">
        <f t="shared" ca="1" si="14"/>
        <v>Dormant</v>
      </c>
    </row>
    <row r="295" spans="1:23" x14ac:dyDescent="0.2">
      <c r="A295">
        <v>419</v>
      </c>
      <c r="B295" t="s">
        <v>1587</v>
      </c>
      <c r="C295" t="s">
        <v>1592</v>
      </c>
      <c r="D295" s="1" t="s">
        <v>610</v>
      </c>
      <c r="E295" t="s">
        <v>1589</v>
      </c>
      <c r="F295" t="s">
        <v>490</v>
      </c>
      <c r="G295" s="4" t="s">
        <v>5425</v>
      </c>
      <c r="H295" t="s">
        <v>1590</v>
      </c>
      <c r="I295" t="s">
        <v>136</v>
      </c>
      <c r="J295" s="4" t="s">
        <v>74</v>
      </c>
      <c r="K295" t="s">
        <v>1593</v>
      </c>
      <c r="L295">
        <v>3</v>
      </c>
      <c r="M295" t="s">
        <v>670</v>
      </c>
      <c r="N295" t="s">
        <v>1517</v>
      </c>
      <c r="O295" t="s">
        <v>1517</v>
      </c>
      <c r="P295" s="2" t="str">
        <f t="shared" si="12"/>
        <v>11/03/2025 to 14/03/2025</v>
      </c>
      <c r="Q295" s="3">
        <v>45732</v>
      </c>
      <c r="R295" t="str">
        <f t="shared" si="13"/>
        <v>Late</v>
      </c>
      <c r="S295" t="s">
        <v>1039</v>
      </c>
      <c r="T295">
        <v>28.5</v>
      </c>
      <c r="U295" t="s">
        <v>79</v>
      </c>
      <c r="V295" t="s">
        <v>80</v>
      </c>
      <c r="W295" t="str">
        <f t="shared" ca="1" si="14"/>
        <v>Dormant</v>
      </c>
    </row>
    <row r="296" spans="1:23" x14ac:dyDescent="0.2">
      <c r="A296">
        <v>420</v>
      </c>
      <c r="B296" t="s">
        <v>1587</v>
      </c>
      <c r="C296" t="s">
        <v>1594</v>
      </c>
      <c r="D296" s="1" t="s">
        <v>610</v>
      </c>
      <c r="E296" t="s">
        <v>1589</v>
      </c>
      <c r="F296" t="s">
        <v>490</v>
      </c>
      <c r="G296" s="4" t="s">
        <v>5422</v>
      </c>
      <c r="H296" t="s">
        <v>1590</v>
      </c>
      <c r="I296" t="s">
        <v>136</v>
      </c>
      <c r="J296" s="4" t="s">
        <v>68</v>
      </c>
      <c r="K296" t="s">
        <v>1595</v>
      </c>
      <c r="L296">
        <v>4</v>
      </c>
      <c r="M296" t="s">
        <v>670</v>
      </c>
      <c r="N296" t="s">
        <v>1008</v>
      </c>
      <c r="O296" t="s">
        <v>670</v>
      </c>
      <c r="P296" s="2" t="str">
        <f t="shared" si="12"/>
        <v>11/03/2025 to 14/03/2025</v>
      </c>
      <c r="Q296" s="3">
        <v>45727</v>
      </c>
      <c r="R296" t="str">
        <f t="shared" si="13"/>
        <v>On-Time</v>
      </c>
      <c r="S296" t="s">
        <v>993</v>
      </c>
      <c r="T296">
        <v>39.5</v>
      </c>
      <c r="U296" t="s">
        <v>79</v>
      </c>
      <c r="V296" t="s">
        <v>72</v>
      </c>
      <c r="W296" t="str">
        <f t="shared" ca="1" si="14"/>
        <v>Dormant</v>
      </c>
    </row>
    <row r="297" spans="1:23" x14ac:dyDescent="0.2">
      <c r="A297">
        <v>421</v>
      </c>
      <c r="B297" t="s">
        <v>1587</v>
      </c>
      <c r="C297" t="s">
        <v>1596</v>
      </c>
      <c r="D297" s="1" t="s">
        <v>610</v>
      </c>
      <c r="E297" t="s">
        <v>1589</v>
      </c>
      <c r="F297" t="s">
        <v>490</v>
      </c>
      <c r="G297" s="4" t="s">
        <v>5420</v>
      </c>
      <c r="H297" t="s">
        <v>1590</v>
      </c>
      <c r="I297" t="s">
        <v>136</v>
      </c>
      <c r="J297" s="4" t="s">
        <v>68</v>
      </c>
      <c r="K297" t="s">
        <v>1597</v>
      </c>
      <c r="L297">
        <v>4</v>
      </c>
      <c r="M297" t="s">
        <v>611</v>
      </c>
      <c r="N297" t="s">
        <v>1008</v>
      </c>
      <c r="O297" t="s">
        <v>670</v>
      </c>
      <c r="P297" s="2" t="str">
        <f t="shared" si="12"/>
        <v>11/03/2025 to 14/03/2025</v>
      </c>
      <c r="Q297" s="3">
        <v>45729</v>
      </c>
      <c r="R297" t="str">
        <f t="shared" si="13"/>
        <v>On-Time</v>
      </c>
      <c r="S297" t="s">
        <v>866</v>
      </c>
      <c r="T297">
        <v>37.5</v>
      </c>
      <c r="U297" t="s">
        <v>65</v>
      </c>
      <c r="V297" t="s">
        <v>66</v>
      </c>
      <c r="W297" t="str">
        <f t="shared" ca="1" si="14"/>
        <v>Dormant</v>
      </c>
    </row>
    <row r="298" spans="1:23" x14ac:dyDescent="0.2">
      <c r="A298">
        <v>854</v>
      </c>
      <c r="B298" t="s">
        <v>2703</v>
      </c>
      <c r="C298" t="s">
        <v>2704</v>
      </c>
      <c r="D298" s="1" t="s">
        <v>610</v>
      </c>
      <c r="E298" t="s">
        <v>2705</v>
      </c>
      <c r="F298" t="s">
        <v>1077</v>
      </c>
      <c r="G298" s="4" t="s">
        <v>5428</v>
      </c>
      <c r="H298" t="s">
        <v>2706</v>
      </c>
      <c r="I298" t="s">
        <v>112</v>
      </c>
      <c r="J298" s="4" t="s">
        <v>74</v>
      </c>
      <c r="K298" t="s">
        <v>1825</v>
      </c>
      <c r="L298">
        <v>2</v>
      </c>
      <c r="M298" t="s">
        <v>610</v>
      </c>
      <c r="N298" t="s">
        <v>610</v>
      </c>
      <c r="O298" t="s">
        <v>611</v>
      </c>
      <c r="P298" s="2" t="str">
        <f t="shared" si="12"/>
        <v>11/03/2025 to 14/03/2025</v>
      </c>
      <c r="Q298" s="3">
        <v>45729</v>
      </c>
      <c r="R298" t="str">
        <f t="shared" si="13"/>
        <v>On-Time</v>
      </c>
      <c r="S298" t="s">
        <v>862</v>
      </c>
      <c r="T298">
        <v>22</v>
      </c>
      <c r="U298" t="s">
        <v>79</v>
      </c>
      <c r="V298" t="s">
        <v>80</v>
      </c>
      <c r="W298" t="str">
        <f t="shared" ca="1" si="14"/>
        <v>Dormant</v>
      </c>
    </row>
    <row r="299" spans="1:23" x14ac:dyDescent="0.2">
      <c r="A299">
        <v>855</v>
      </c>
      <c r="B299" t="s">
        <v>2703</v>
      </c>
      <c r="C299" t="s">
        <v>2707</v>
      </c>
      <c r="D299" s="1" t="s">
        <v>610</v>
      </c>
      <c r="E299" t="s">
        <v>2705</v>
      </c>
      <c r="F299" t="s">
        <v>1077</v>
      </c>
      <c r="G299" s="4" t="s">
        <v>5421</v>
      </c>
      <c r="H299" t="s">
        <v>2706</v>
      </c>
      <c r="I299" t="s">
        <v>112</v>
      </c>
      <c r="J299" s="4" t="s">
        <v>5417</v>
      </c>
      <c r="K299" t="s">
        <v>20</v>
      </c>
      <c r="L299">
        <v>1</v>
      </c>
      <c r="M299" t="s">
        <v>670</v>
      </c>
      <c r="N299" t="s">
        <v>1517</v>
      </c>
      <c r="O299" t="s">
        <v>1517</v>
      </c>
      <c r="P299" s="2" t="str">
        <f t="shared" si="12"/>
        <v>11/03/2025 to 14/03/2025</v>
      </c>
      <c r="Q299" s="3">
        <v>45729</v>
      </c>
      <c r="R299" t="str">
        <f t="shared" si="13"/>
        <v>On-Time</v>
      </c>
      <c r="S299" t="s">
        <v>866</v>
      </c>
      <c r="T299">
        <v>10.5</v>
      </c>
      <c r="U299" t="s">
        <v>79</v>
      </c>
      <c r="V299" t="s">
        <v>66</v>
      </c>
      <c r="W299" t="str">
        <f t="shared" ca="1" si="14"/>
        <v>Dormant</v>
      </c>
    </row>
    <row r="300" spans="1:23" x14ac:dyDescent="0.2">
      <c r="A300">
        <v>856</v>
      </c>
      <c r="B300" t="s">
        <v>2703</v>
      </c>
      <c r="C300" t="s">
        <v>2708</v>
      </c>
      <c r="D300" s="1" t="s">
        <v>610</v>
      </c>
      <c r="E300" t="s">
        <v>2705</v>
      </c>
      <c r="F300" t="s">
        <v>1077</v>
      </c>
      <c r="G300" s="4" t="s">
        <v>5418</v>
      </c>
      <c r="H300" t="s">
        <v>2706</v>
      </c>
      <c r="I300" t="s">
        <v>112</v>
      </c>
      <c r="J300" s="4" t="s">
        <v>60</v>
      </c>
      <c r="K300" t="s">
        <v>2709</v>
      </c>
      <c r="L300">
        <v>3</v>
      </c>
      <c r="M300" t="s">
        <v>670</v>
      </c>
      <c r="N300" t="s">
        <v>670</v>
      </c>
      <c r="O300" t="s">
        <v>1517</v>
      </c>
      <c r="P300" s="2" t="str">
        <f t="shared" si="12"/>
        <v>11/03/2025 to 14/03/2025</v>
      </c>
      <c r="Q300" s="3">
        <v>45730</v>
      </c>
      <c r="R300" t="str">
        <f t="shared" si="13"/>
        <v>On-Time</v>
      </c>
      <c r="S300" t="s">
        <v>866</v>
      </c>
      <c r="T300">
        <v>25.5</v>
      </c>
      <c r="U300" t="s">
        <v>65</v>
      </c>
      <c r="V300" t="s">
        <v>72</v>
      </c>
      <c r="W300" t="str">
        <f t="shared" ca="1" si="14"/>
        <v>Dormant</v>
      </c>
    </row>
    <row r="301" spans="1:23" x14ac:dyDescent="0.2">
      <c r="A301">
        <v>387</v>
      </c>
      <c r="B301" t="s">
        <v>1506</v>
      </c>
      <c r="C301" t="s">
        <v>1507</v>
      </c>
      <c r="D301" s="1" t="s">
        <v>611</v>
      </c>
      <c r="E301" t="s">
        <v>1508</v>
      </c>
      <c r="F301" t="s">
        <v>872</v>
      </c>
      <c r="G301" s="4" t="s">
        <v>5422</v>
      </c>
      <c r="H301" t="s">
        <v>1509</v>
      </c>
      <c r="I301" t="s">
        <v>136</v>
      </c>
      <c r="J301" s="4" t="s">
        <v>60</v>
      </c>
      <c r="K301" t="s">
        <v>1510</v>
      </c>
      <c r="L301">
        <v>3</v>
      </c>
      <c r="M301" t="s">
        <v>611</v>
      </c>
      <c r="N301" t="s">
        <v>611</v>
      </c>
      <c r="O301" t="s">
        <v>611</v>
      </c>
      <c r="P301" s="2" t="str">
        <f t="shared" si="12"/>
        <v>11/03/2025 to 14/03/2025</v>
      </c>
      <c r="Q301" s="3">
        <v>45724</v>
      </c>
      <c r="R301" t="str">
        <f t="shared" si="13"/>
        <v>Late</v>
      </c>
      <c r="S301" t="s">
        <v>231</v>
      </c>
      <c r="T301">
        <v>27</v>
      </c>
      <c r="U301" t="s">
        <v>65</v>
      </c>
      <c r="V301" t="s">
        <v>72</v>
      </c>
      <c r="W301" t="str">
        <f t="shared" ca="1" si="14"/>
        <v>Dormant</v>
      </c>
    </row>
    <row r="302" spans="1:23" x14ac:dyDescent="0.2">
      <c r="A302">
        <v>788</v>
      </c>
      <c r="B302" t="s">
        <v>2543</v>
      </c>
      <c r="C302" t="s">
        <v>2544</v>
      </c>
      <c r="D302" s="1" t="s">
        <v>1008</v>
      </c>
      <c r="E302" t="s">
        <v>2545</v>
      </c>
      <c r="F302" t="s">
        <v>57</v>
      </c>
      <c r="G302" s="4" t="s">
        <v>5427</v>
      </c>
      <c r="H302" t="s">
        <v>2546</v>
      </c>
      <c r="I302" t="s">
        <v>112</v>
      </c>
      <c r="J302" s="4" t="s">
        <v>68</v>
      </c>
      <c r="K302" t="s">
        <v>12</v>
      </c>
      <c r="L302">
        <v>1</v>
      </c>
      <c r="M302" t="s">
        <v>1517</v>
      </c>
      <c r="N302" t="s">
        <v>794</v>
      </c>
      <c r="O302" t="s">
        <v>2547</v>
      </c>
      <c r="P302" s="2" t="str">
        <f t="shared" si="12"/>
        <v>13/03/2025 to 18/03/2025</v>
      </c>
      <c r="Q302" s="3">
        <v>45733</v>
      </c>
      <c r="R302" t="str">
        <f t="shared" si="13"/>
        <v>On-Time</v>
      </c>
      <c r="S302" t="s">
        <v>972</v>
      </c>
      <c r="T302">
        <v>9.5</v>
      </c>
      <c r="U302" t="s">
        <v>65</v>
      </c>
      <c r="V302" t="s">
        <v>66</v>
      </c>
      <c r="W302" t="str">
        <f t="shared" ca="1" si="14"/>
        <v>Dormant</v>
      </c>
    </row>
    <row r="303" spans="1:23" x14ac:dyDescent="0.2">
      <c r="A303">
        <v>789</v>
      </c>
      <c r="B303" t="s">
        <v>2543</v>
      </c>
      <c r="C303" t="s">
        <v>2548</v>
      </c>
      <c r="D303" s="1" t="s">
        <v>1008</v>
      </c>
      <c r="E303" t="s">
        <v>2545</v>
      </c>
      <c r="F303" t="s">
        <v>57</v>
      </c>
      <c r="G303" s="4" t="s">
        <v>5420</v>
      </c>
      <c r="H303" t="s">
        <v>2546</v>
      </c>
      <c r="I303" t="s">
        <v>112</v>
      </c>
      <c r="J303" s="4" t="s">
        <v>68</v>
      </c>
      <c r="K303" t="s">
        <v>2549</v>
      </c>
      <c r="L303">
        <v>2</v>
      </c>
      <c r="M303" t="s">
        <v>1008</v>
      </c>
      <c r="N303" t="s">
        <v>1008</v>
      </c>
      <c r="O303" t="s">
        <v>1008</v>
      </c>
      <c r="P303" s="2" t="str">
        <f t="shared" si="12"/>
        <v>12/03/2025 to 17/03/2025</v>
      </c>
      <c r="Q303" s="3">
        <v>45729</v>
      </c>
      <c r="R303" t="str">
        <f t="shared" si="13"/>
        <v>On-Time</v>
      </c>
      <c r="S303" t="s">
        <v>993</v>
      </c>
      <c r="T303">
        <v>19.5</v>
      </c>
      <c r="U303" t="s">
        <v>79</v>
      </c>
      <c r="V303" t="s">
        <v>66</v>
      </c>
      <c r="W303" t="str">
        <f t="shared" ca="1" si="14"/>
        <v>Dormant</v>
      </c>
    </row>
    <row r="304" spans="1:23" x14ac:dyDescent="0.2">
      <c r="A304">
        <v>790</v>
      </c>
      <c r="B304" t="s">
        <v>2543</v>
      </c>
      <c r="C304" t="s">
        <v>2550</v>
      </c>
      <c r="D304" s="1" t="s">
        <v>1008</v>
      </c>
      <c r="E304" t="s">
        <v>2545</v>
      </c>
      <c r="F304" t="s">
        <v>57</v>
      </c>
      <c r="G304" s="4" t="s">
        <v>5419</v>
      </c>
      <c r="H304" t="s">
        <v>2546</v>
      </c>
      <c r="I304" t="s">
        <v>112</v>
      </c>
      <c r="J304" s="4" t="s">
        <v>68</v>
      </c>
      <c r="K304" t="s">
        <v>2551</v>
      </c>
      <c r="L304">
        <v>3</v>
      </c>
      <c r="M304" t="s">
        <v>794</v>
      </c>
      <c r="N304" t="s">
        <v>2547</v>
      </c>
      <c r="O304" t="s">
        <v>2547</v>
      </c>
      <c r="P304" s="2" t="str">
        <f t="shared" si="12"/>
        <v>14/03/2025 to 19/03/2025</v>
      </c>
      <c r="Q304" s="3">
        <v>45731</v>
      </c>
      <c r="R304" t="str">
        <f t="shared" si="13"/>
        <v>On-Time</v>
      </c>
      <c r="S304" t="s">
        <v>866</v>
      </c>
      <c r="T304">
        <v>28</v>
      </c>
      <c r="U304" t="s">
        <v>79</v>
      </c>
      <c r="V304" t="s">
        <v>72</v>
      </c>
      <c r="W304" t="str">
        <f t="shared" ca="1" si="14"/>
        <v>Dormant</v>
      </c>
    </row>
    <row r="305" spans="1:23" x14ac:dyDescent="0.2">
      <c r="A305">
        <v>791</v>
      </c>
      <c r="B305" t="s">
        <v>2543</v>
      </c>
      <c r="C305" t="s">
        <v>2552</v>
      </c>
      <c r="D305" s="1" t="s">
        <v>1008</v>
      </c>
      <c r="E305" t="s">
        <v>2545</v>
      </c>
      <c r="F305" t="s">
        <v>57</v>
      </c>
      <c r="G305" s="4" t="s">
        <v>5422</v>
      </c>
      <c r="H305" t="s">
        <v>2546</v>
      </c>
      <c r="I305" t="s">
        <v>112</v>
      </c>
      <c r="J305" s="4" t="s">
        <v>5417</v>
      </c>
      <c r="K305" t="s">
        <v>896</v>
      </c>
      <c r="L305">
        <v>2</v>
      </c>
      <c r="M305" t="s">
        <v>1517</v>
      </c>
      <c r="N305" t="s">
        <v>794</v>
      </c>
      <c r="O305" t="s">
        <v>794</v>
      </c>
      <c r="P305" s="2" t="str">
        <f t="shared" si="12"/>
        <v>13/03/2025 to 18/03/2025</v>
      </c>
      <c r="Q305" s="3">
        <v>45731</v>
      </c>
      <c r="R305" t="str">
        <f t="shared" si="13"/>
        <v>On-Time</v>
      </c>
      <c r="S305" t="s">
        <v>866</v>
      </c>
      <c r="T305">
        <v>18.5</v>
      </c>
      <c r="U305" t="s">
        <v>65</v>
      </c>
      <c r="V305" t="s">
        <v>66</v>
      </c>
      <c r="W305" t="str">
        <f t="shared" ca="1" si="14"/>
        <v>Dormant</v>
      </c>
    </row>
    <row r="306" spans="1:23" x14ac:dyDescent="0.2">
      <c r="A306">
        <v>792</v>
      </c>
      <c r="B306" t="s">
        <v>2543</v>
      </c>
      <c r="C306" t="s">
        <v>2553</v>
      </c>
      <c r="D306" s="1" t="s">
        <v>1008</v>
      </c>
      <c r="E306" t="s">
        <v>2545</v>
      </c>
      <c r="F306" t="s">
        <v>57</v>
      </c>
      <c r="G306" s="4" t="s">
        <v>5424</v>
      </c>
      <c r="H306" t="s">
        <v>2546</v>
      </c>
      <c r="I306" t="s">
        <v>112</v>
      </c>
      <c r="J306" s="4" t="s">
        <v>60</v>
      </c>
      <c r="K306" t="s">
        <v>2554</v>
      </c>
      <c r="L306">
        <v>3</v>
      </c>
      <c r="M306" t="s">
        <v>1517</v>
      </c>
      <c r="N306" t="s">
        <v>1517</v>
      </c>
      <c r="O306" t="s">
        <v>794</v>
      </c>
      <c r="P306" s="2" t="str">
        <f t="shared" si="12"/>
        <v>13/03/2025 to 18/03/2025</v>
      </c>
      <c r="Q306" s="3">
        <v>45732</v>
      </c>
      <c r="R306" t="str">
        <f t="shared" si="13"/>
        <v>On-Time</v>
      </c>
      <c r="S306" t="s">
        <v>1039</v>
      </c>
      <c r="T306">
        <v>28.5</v>
      </c>
      <c r="U306" t="s">
        <v>65</v>
      </c>
      <c r="V306" t="s">
        <v>80</v>
      </c>
      <c r="W306" t="str">
        <f t="shared" ca="1" si="14"/>
        <v>Dormant</v>
      </c>
    </row>
    <row r="307" spans="1:23" x14ac:dyDescent="0.2">
      <c r="A307">
        <v>1351</v>
      </c>
      <c r="B307" t="s">
        <v>3901</v>
      </c>
      <c r="C307" t="s">
        <v>3902</v>
      </c>
      <c r="D307" s="1" t="s">
        <v>1008</v>
      </c>
      <c r="E307" t="s">
        <v>3903</v>
      </c>
      <c r="F307" t="s">
        <v>335</v>
      </c>
      <c r="G307" s="4" t="s">
        <v>5418</v>
      </c>
      <c r="H307" t="s">
        <v>3904</v>
      </c>
      <c r="I307" t="s">
        <v>136</v>
      </c>
      <c r="J307" s="4" t="s">
        <v>60</v>
      </c>
      <c r="K307" t="s">
        <v>3905</v>
      </c>
      <c r="L307">
        <v>4</v>
      </c>
      <c r="M307" t="s">
        <v>1517</v>
      </c>
      <c r="N307" t="s">
        <v>794</v>
      </c>
      <c r="O307" t="s">
        <v>2547</v>
      </c>
      <c r="P307" s="2" t="str">
        <f t="shared" si="12"/>
        <v>13/03/2025 to 18/03/2025</v>
      </c>
      <c r="Q307" s="3">
        <v>45730</v>
      </c>
      <c r="R307" t="str">
        <f t="shared" si="13"/>
        <v>On-Time</v>
      </c>
      <c r="S307" t="s">
        <v>997</v>
      </c>
      <c r="T307">
        <v>41</v>
      </c>
      <c r="U307" t="s">
        <v>79</v>
      </c>
      <c r="V307" t="s">
        <v>80</v>
      </c>
      <c r="W307" t="str">
        <f t="shared" ca="1" si="14"/>
        <v>Dormant</v>
      </c>
    </row>
    <row r="308" spans="1:23" x14ac:dyDescent="0.2">
      <c r="A308">
        <v>1352</v>
      </c>
      <c r="B308" t="s">
        <v>3901</v>
      </c>
      <c r="C308" t="s">
        <v>3906</v>
      </c>
      <c r="D308" s="1" t="s">
        <v>1008</v>
      </c>
      <c r="E308" t="s">
        <v>3903</v>
      </c>
      <c r="F308" t="s">
        <v>335</v>
      </c>
      <c r="G308" s="4" t="s">
        <v>5427</v>
      </c>
      <c r="H308" t="s">
        <v>3904</v>
      </c>
      <c r="I308" t="s">
        <v>136</v>
      </c>
      <c r="J308" s="4" t="s">
        <v>5417</v>
      </c>
      <c r="K308" t="s">
        <v>32</v>
      </c>
      <c r="L308">
        <v>1</v>
      </c>
      <c r="M308" t="s">
        <v>794</v>
      </c>
      <c r="N308" t="s">
        <v>2547</v>
      </c>
      <c r="O308" t="s">
        <v>798</v>
      </c>
      <c r="P308" s="2" t="str">
        <f t="shared" si="12"/>
        <v>14/03/2025 to 19/03/2025</v>
      </c>
      <c r="Q308" s="3">
        <v>45734</v>
      </c>
      <c r="R308" t="str">
        <f t="shared" si="13"/>
        <v>On-Time</v>
      </c>
      <c r="S308" t="s">
        <v>234</v>
      </c>
      <c r="T308">
        <v>14</v>
      </c>
      <c r="U308" t="s">
        <v>79</v>
      </c>
      <c r="V308" t="s">
        <v>80</v>
      </c>
      <c r="W308" t="str">
        <f t="shared" ca="1" si="14"/>
        <v>Dormant</v>
      </c>
    </row>
    <row r="309" spans="1:23" x14ac:dyDescent="0.2">
      <c r="A309">
        <v>1353</v>
      </c>
      <c r="B309" t="s">
        <v>3901</v>
      </c>
      <c r="C309" t="s">
        <v>3907</v>
      </c>
      <c r="D309" s="1" t="s">
        <v>1008</v>
      </c>
      <c r="E309" t="s">
        <v>3903</v>
      </c>
      <c r="F309" t="s">
        <v>335</v>
      </c>
      <c r="G309" s="4" t="s">
        <v>5418</v>
      </c>
      <c r="H309" t="s">
        <v>3904</v>
      </c>
      <c r="I309" t="s">
        <v>136</v>
      </c>
      <c r="J309" s="4" t="s">
        <v>5417</v>
      </c>
      <c r="K309" t="s">
        <v>8</v>
      </c>
      <c r="L309">
        <v>1</v>
      </c>
      <c r="M309" t="s">
        <v>1008</v>
      </c>
      <c r="N309" t="s">
        <v>1008</v>
      </c>
      <c r="O309" t="s">
        <v>1517</v>
      </c>
      <c r="P309" s="2" t="str">
        <f t="shared" si="12"/>
        <v>12/03/2025 to 17/03/2025</v>
      </c>
      <c r="Q309" s="3">
        <v>45729</v>
      </c>
      <c r="R309" t="str">
        <f t="shared" si="13"/>
        <v>On-Time</v>
      </c>
      <c r="S309" t="s">
        <v>993</v>
      </c>
      <c r="T309">
        <v>9</v>
      </c>
      <c r="U309" t="s">
        <v>65</v>
      </c>
      <c r="V309" t="s">
        <v>66</v>
      </c>
      <c r="W309" t="str">
        <f t="shared" ca="1" si="14"/>
        <v>Dormant</v>
      </c>
    </row>
    <row r="310" spans="1:23" x14ac:dyDescent="0.2">
      <c r="A310">
        <v>1354</v>
      </c>
      <c r="B310" t="s">
        <v>3901</v>
      </c>
      <c r="C310" t="s">
        <v>3908</v>
      </c>
      <c r="D310" s="1" t="s">
        <v>1008</v>
      </c>
      <c r="E310" t="s">
        <v>3903</v>
      </c>
      <c r="F310" t="s">
        <v>335</v>
      </c>
      <c r="G310" s="4" t="s">
        <v>5421</v>
      </c>
      <c r="H310" t="s">
        <v>3904</v>
      </c>
      <c r="I310" t="s">
        <v>136</v>
      </c>
      <c r="J310" s="4" t="s">
        <v>68</v>
      </c>
      <c r="K310" t="s">
        <v>18</v>
      </c>
      <c r="L310">
        <v>1</v>
      </c>
      <c r="M310" t="s">
        <v>1517</v>
      </c>
      <c r="N310" t="s">
        <v>1517</v>
      </c>
      <c r="O310" t="s">
        <v>794</v>
      </c>
      <c r="P310" s="2" t="str">
        <f t="shared" si="12"/>
        <v>13/03/2025 to 18/03/2025</v>
      </c>
      <c r="Q310" s="3">
        <v>45728</v>
      </c>
      <c r="R310" t="str">
        <f t="shared" si="13"/>
        <v>Late</v>
      </c>
      <c r="S310" t="s">
        <v>993</v>
      </c>
      <c r="T310">
        <v>8.5</v>
      </c>
      <c r="U310" t="s">
        <v>79</v>
      </c>
      <c r="V310" t="s">
        <v>66</v>
      </c>
      <c r="W310" t="str">
        <f t="shared" ca="1" si="14"/>
        <v>Dormant</v>
      </c>
    </row>
    <row r="311" spans="1:23" x14ac:dyDescent="0.2">
      <c r="A311">
        <v>797</v>
      </c>
      <c r="B311" t="s">
        <v>2565</v>
      </c>
      <c r="C311" t="s">
        <v>2566</v>
      </c>
      <c r="D311" s="1" t="s">
        <v>1517</v>
      </c>
      <c r="E311" t="s">
        <v>2567</v>
      </c>
      <c r="F311" t="s">
        <v>1723</v>
      </c>
      <c r="G311" s="4" t="s">
        <v>38</v>
      </c>
      <c r="H311" t="s">
        <v>2568</v>
      </c>
      <c r="I311" t="s">
        <v>136</v>
      </c>
      <c r="J311" s="4" t="s">
        <v>74</v>
      </c>
      <c r="K311" t="s">
        <v>1285</v>
      </c>
      <c r="L311">
        <v>2</v>
      </c>
      <c r="M311" t="s">
        <v>794</v>
      </c>
      <c r="N311" t="s">
        <v>2547</v>
      </c>
      <c r="O311" t="s">
        <v>2547</v>
      </c>
      <c r="P311" s="2" t="str">
        <f t="shared" si="12"/>
        <v>14/03/2025 to 19/03/2025</v>
      </c>
      <c r="Q311" s="3">
        <v>45733</v>
      </c>
      <c r="R311" t="str">
        <f t="shared" si="13"/>
        <v>On-Time</v>
      </c>
      <c r="S311" t="s">
        <v>1039</v>
      </c>
      <c r="T311">
        <v>18.5</v>
      </c>
      <c r="U311" t="s">
        <v>79</v>
      </c>
      <c r="V311" t="s">
        <v>72</v>
      </c>
      <c r="W311" t="str">
        <f t="shared" ca="1" si="14"/>
        <v>Dormant</v>
      </c>
    </row>
    <row r="312" spans="1:23" x14ac:dyDescent="0.2">
      <c r="A312">
        <v>798</v>
      </c>
      <c r="B312" t="s">
        <v>2565</v>
      </c>
      <c r="C312" t="s">
        <v>2569</v>
      </c>
      <c r="D312" s="1" t="s">
        <v>1517</v>
      </c>
      <c r="E312" t="s">
        <v>2567</v>
      </c>
      <c r="F312" t="s">
        <v>1723</v>
      </c>
      <c r="G312" s="4" t="s">
        <v>5419</v>
      </c>
      <c r="H312" t="s">
        <v>2568</v>
      </c>
      <c r="I312" t="s">
        <v>136</v>
      </c>
      <c r="J312" s="4" t="s">
        <v>5417</v>
      </c>
      <c r="K312" t="s">
        <v>2570</v>
      </c>
      <c r="L312">
        <v>4</v>
      </c>
      <c r="M312" t="s">
        <v>1517</v>
      </c>
      <c r="N312" t="s">
        <v>794</v>
      </c>
      <c r="O312" t="s">
        <v>794</v>
      </c>
      <c r="P312" s="2" t="str">
        <f t="shared" si="12"/>
        <v>13/03/2025 to 18/03/2025</v>
      </c>
      <c r="Q312" s="3">
        <v>45734</v>
      </c>
      <c r="R312" t="str">
        <f t="shared" si="13"/>
        <v>On-Time</v>
      </c>
      <c r="S312" t="s">
        <v>972</v>
      </c>
      <c r="T312">
        <v>34.5</v>
      </c>
      <c r="U312" t="s">
        <v>65</v>
      </c>
      <c r="V312" t="s">
        <v>80</v>
      </c>
      <c r="W312" t="str">
        <f t="shared" ca="1" si="14"/>
        <v>Dormant</v>
      </c>
    </row>
    <row r="313" spans="1:23" x14ac:dyDescent="0.2">
      <c r="A313">
        <v>799</v>
      </c>
      <c r="B313" t="s">
        <v>2565</v>
      </c>
      <c r="C313" t="s">
        <v>2571</v>
      </c>
      <c r="D313" s="1" t="s">
        <v>1517</v>
      </c>
      <c r="E313" t="s">
        <v>2567</v>
      </c>
      <c r="F313" t="s">
        <v>1723</v>
      </c>
      <c r="G313" s="4" t="s">
        <v>5424</v>
      </c>
      <c r="H313" t="s">
        <v>2568</v>
      </c>
      <c r="I313" t="s">
        <v>136</v>
      </c>
      <c r="J313" s="4" t="s">
        <v>68</v>
      </c>
      <c r="K313" t="s">
        <v>22</v>
      </c>
      <c r="L313">
        <v>1</v>
      </c>
      <c r="M313" t="s">
        <v>2547</v>
      </c>
      <c r="N313" t="s">
        <v>227</v>
      </c>
      <c r="O313" t="s">
        <v>798</v>
      </c>
      <c r="P313" s="2" t="str">
        <f t="shared" si="12"/>
        <v>17/03/2025 to 20/03/2025</v>
      </c>
      <c r="Q313" s="3">
        <v>45731</v>
      </c>
      <c r="R313" t="str">
        <f t="shared" si="13"/>
        <v>Late</v>
      </c>
      <c r="S313" t="s">
        <v>799</v>
      </c>
      <c r="T313">
        <v>8</v>
      </c>
      <c r="U313" t="s">
        <v>65</v>
      </c>
      <c r="V313" t="s">
        <v>72</v>
      </c>
      <c r="W313" t="str">
        <f t="shared" ca="1" si="14"/>
        <v>Dormant</v>
      </c>
    </row>
    <row r="314" spans="1:23" x14ac:dyDescent="0.2">
      <c r="A314">
        <v>800</v>
      </c>
      <c r="B314" t="s">
        <v>2565</v>
      </c>
      <c r="C314" t="s">
        <v>2572</v>
      </c>
      <c r="D314" s="1" t="s">
        <v>1517</v>
      </c>
      <c r="E314" t="s">
        <v>2567</v>
      </c>
      <c r="F314" t="s">
        <v>1723</v>
      </c>
      <c r="G314" s="4" t="s">
        <v>5422</v>
      </c>
      <c r="H314" t="s">
        <v>2568</v>
      </c>
      <c r="I314" t="s">
        <v>136</v>
      </c>
      <c r="J314" s="4" t="s">
        <v>68</v>
      </c>
      <c r="K314" t="s">
        <v>2573</v>
      </c>
      <c r="L314">
        <v>3</v>
      </c>
      <c r="M314" t="s">
        <v>1517</v>
      </c>
      <c r="N314" t="s">
        <v>2547</v>
      </c>
      <c r="O314" t="s">
        <v>2547</v>
      </c>
      <c r="P314" s="2" t="str">
        <f t="shared" si="12"/>
        <v>13/03/2025 to 18/03/2025</v>
      </c>
      <c r="Q314" s="3">
        <v>45733</v>
      </c>
      <c r="R314" t="str">
        <f t="shared" si="13"/>
        <v>On-Time</v>
      </c>
      <c r="S314" t="s">
        <v>799</v>
      </c>
      <c r="T314">
        <v>27</v>
      </c>
      <c r="U314" t="s">
        <v>79</v>
      </c>
      <c r="V314" t="s">
        <v>66</v>
      </c>
      <c r="W314" t="str">
        <f t="shared" ca="1" si="14"/>
        <v>Dormant</v>
      </c>
    </row>
    <row r="315" spans="1:23" x14ac:dyDescent="0.2">
      <c r="A315">
        <v>157</v>
      </c>
      <c r="B315" t="s">
        <v>792</v>
      </c>
      <c r="C315" t="s">
        <v>793</v>
      </c>
      <c r="D315" s="1" t="s">
        <v>794</v>
      </c>
      <c r="E315" t="s">
        <v>795</v>
      </c>
      <c r="F315" t="s">
        <v>536</v>
      </c>
      <c r="G315" s="4" t="s">
        <v>38</v>
      </c>
      <c r="H315" t="s">
        <v>796</v>
      </c>
      <c r="I315" t="s">
        <v>136</v>
      </c>
      <c r="J315" s="4" t="s">
        <v>60</v>
      </c>
      <c r="K315" t="s">
        <v>797</v>
      </c>
      <c r="L315">
        <v>2</v>
      </c>
      <c r="M315" t="s">
        <v>798</v>
      </c>
      <c r="N315" t="s">
        <v>227</v>
      </c>
      <c r="O315" t="s">
        <v>227</v>
      </c>
      <c r="P315" s="2" t="str">
        <f t="shared" si="12"/>
        <v>18/03/2025 to 21/03/2025</v>
      </c>
      <c r="Q315" s="3">
        <v>45733</v>
      </c>
      <c r="R315" t="str">
        <f t="shared" si="13"/>
        <v>Late</v>
      </c>
      <c r="S315" t="s">
        <v>799</v>
      </c>
      <c r="T315">
        <v>24.5</v>
      </c>
      <c r="U315" t="s">
        <v>79</v>
      </c>
      <c r="V315" t="s">
        <v>72</v>
      </c>
      <c r="W315" t="str">
        <f t="shared" ca="1" si="14"/>
        <v>Dormant</v>
      </c>
    </row>
    <row r="316" spans="1:23" x14ac:dyDescent="0.2">
      <c r="A316">
        <v>503</v>
      </c>
      <c r="B316" t="s">
        <v>1826</v>
      </c>
      <c r="C316" t="s">
        <v>1827</v>
      </c>
      <c r="D316" s="1" t="s">
        <v>794</v>
      </c>
      <c r="E316" t="s">
        <v>1828</v>
      </c>
      <c r="F316" t="s">
        <v>1829</v>
      </c>
      <c r="G316" s="4" t="s">
        <v>5424</v>
      </c>
      <c r="H316" t="s">
        <v>527</v>
      </c>
      <c r="I316" t="s">
        <v>201</v>
      </c>
      <c r="J316" s="4" t="s">
        <v>74</v>
      </c>
      <c r="K316" t="s">
        <v>1830</v>
      </c>
      <c r="L316">
        <v>3</v>
      </c>
      <c r="M316" t="s">
        <v>798</v>
      </c>
      <c r="N316" t="s">
        <v>798</v>
      </c>
      <c r="O316" t="s">
        <v>227</v>
      </c>
      <c r="P316" s="2" t="str">
        <f t="shared" si="12"/>
        <v>18/03/2025 to 21/03/2025</v>
      </c>
      <c r="Q316" s="3">
        <v>45736</v>
      </c>
      <c r="R316" t="str">
        <f t="shared" si="13"/>
        <v>On-Time</v>
      </c>
      <c r="S316" t="s">
        <v>867</v>
      </c>
      <c r="T316">
        <v>30.5</v>
      </c>
      <c r="U316" t="s">
        <v>79</v>
      </c>
      <c r="V316" t="s">
        <v>66</v>
      </c>
      <c r="W316" t="str">
        <f t="shared" ca="1" si="14"/>
        <v>Dormant</v>
      </c>
    </row>
    <row r="317" spans="1:23" x14ac:dyDescent="0.2">
      <c r="A317">
        <v>504</v>
      </c>
      <c r="B317" t="s">
        <v>1826</v>
      </c>
      <c r="C317" t="s">
        <v>1831</v>
      </c>
      <c r="D317" s="1" t="s">
        <v>794</v>
      </c>
      <c r="E317" t="s">
        <v>1828</v>
      </c>
      <c r="F317" t="s">
        <v>1829</v>
      </c>
      <c r="G317" s="4" t="s">
        <v>5419</v>
      </c>
      <c r="H317" t="s">
        <v>527</v>
      </c>
      <c r="I317" t="s">
        <v>201</v>
      </c>
      <c r="J317" s="4" t="s">
        <v>74</v>
      </c>
      <c r="K317" t="s">
        <v>1832</v>
      </c>
      <c r="L317">
        <v>4</v>
      </c>
      <c r="M317" t="s">
        <v>798</v>
      </c>
      <c r="N317" t="s">
        <v>227</v>
      </c>
      <c r="O317" t="s">
        <v>227</v>
      </c>
      <c r="P317" s="2" t="str">
        <f t="shared" si="12"/>
        <v>18/03/2025 to 21/03/2025</v>
      </c>
      <c r="Q317" s="3">
        <v>45736</v>
      </c>
      <c r="R317" t="str">
        <f t="shared" si="13"/>
        <v>On-Time</v>
      </c>
      <c r="S317" t="s">
        <v>234</v>
      </c>
      <c r="T317">
        <v>33.5</v>
      </c>
      <c r="U317" t="s">
        <v>65</v>
      </c>
      <c r="V317" t="s">
        <v>72</v>
      </c>
      <c r="W317" t="str">
        <f t="shared" ca="1" si="14"/>
        <v>Dormant</v>
      </c>
    </row>
    <row r="318" spans="1:23" x14ac:dyDescent="0.2">
      <c r="A318">
        <v>821</v>
      </c>
      <c r="B318" t="s">
        <v>2625</v>
      </c>
      <c r="C318" t="s">
        <v>2626</v>
      </c>
      <c r="D318" s="1" t="s">
        <v>794</v>
      </c>
      <c r="E318" t="s">
        <v>2627</v>
      </c>
      <c r="F318" t="s">
        <v>910</v>
      </c>
      <c r="G318" s="4" t="s">
        <v>5427</v>
      </c>
      <c r="H318" t="s">
        <v>2628</v>
      </c>
      <c r="I318" t="s">
        <v>59</v>
      </c>
      <c r="J318" s="4" t="s">
        <v>5417</v>
      </c>
      <c r="K318" t="s">
        <v>2629</v>
      </c>
      <c r="L318">
        <v>4</v>
      </c>
      <c r="M318" t="s">
        <v>2547</v>
      </c>
      <c r="N318" t="s">
        <v>798</v>
      </c>
      <c r="O318" t="s">
        <v>2547</v>
      </c>
      <c r="P318" s="2" t="str">
        <f t="shared" si="12"/>
        <v>17/03/2025 to 20/03/2025</v>
      </c>
      <c r="Q318" s="3">
        <v>45734</v>
      </c>
      <c r="R318" t="str">
        <f t="shared" si="13"/>
        <v>On-Time</v>
      </c>
      <c r="S318" t="s">
        <v>972</v>
      </c>
      <c r="T318">
        <v>38.5</v>
      </c>
      <c r="U318" t="s">
        <v>65</v>
      </c>
      <c r="V318" t="s">
        <v>80</v>
      </c>
      <c r="W318" t="str">
        <f t="shared" ca="1" si="14"/>
        <v>Dormant</v>
      </c>
    </row>
    <row r="319" spans="1:23" x14ac:dyDescent="0.2">
      <c r="A319">
        <v>822</v>
      </c>
      <c r="B319" t="s">
        <v>2625</v>
      </c>
      <c r="C319" t="s">
        <v>2630</v>
      </c>
      <c r="D319" s="1" t="s">
        <v>794</v>
      </c>
      <c r="E319" t="s">
        <v>2627</v>
      </c>
      <c r="F319" t="s">
        <v>910</v>
      </c>
      <c r="G319" s="4" t="s">
        <v>5419</v>
      </c>
      <c r="H319" t="s">
        <v>2628</v>
      </c>
      <c r="I319" t="s">
        <v>59</v>
      </c>
      <c r="J319" s="4" t="s">
        <v>74</v>
      </c>
      <c r="K319" t="s">
        <v>2631</v>
      </c>
      <c r="L319">
        <v>3</v>
      </c>
      <c r="M319" t="s">
        <v>2547</v>
      </c>
      <c r="N319" t="s">
        <v>2547</v>
      </c>
      <c r="O319" t="s">
        <v>798</v>
      </c>
      <c r="P319" s="2" t="str">
        <f t="shared" si="12"/>
        <v>17/03/2025 to 20/03/2025</v>
      </c>
      <c r="Q319" s="3">
        <v>45735</v>
      </c>
      <c r="R319" t="str">
        <f t="shared" si="13"/>
        <v>On-Time</v>
      </c>
      <c r="S319" t="s">
        <v>235</v>
      </c>
      <c r="T319">
        <v>32.5</v>
      </c>
      <c r="U319" t="s">
        <v>79</v>
      </c>
      <c r="V319" t="s">
        <v>72</v>
      </c>
      <c r="W319" t="str">
        <f t="shared" ca="1" si="14"/>
        <v>Dormant</v>
      </c>
    </row>
    <row r="320" spans="1:23" x14ac:dyDescent="0.2">
      <c r="A320">
        <v>823</v>
      </c>
      <c r="B320" t="s">
        <v>2625</v>
      </c>
      <c r="C320" t="s">
        <v>2632</v>
      </c>
      <c r="D320" s="1" t="s">
        <v>794</v>
      </c>
      <c r="E320" t="s">
        <v>2627</v>
      </c>
      <c r="F320" t="s">
        <v>910</v>
      </c>
      <c r="G320" s="4" t="s">
        <v>5421</v>
      </c>
      <c r="H320" t="s">
        <v>2628</v>
      </c>
      <c r="I320" t="s">
        <v>59</v>
      </c>
      <c r="J320" s="4" t="s">
        <v>5417</v>
      </c>
      <c r="K320" t="s">
        <v>2633</v>
      </c>
      <c r="L320">
        <v>3</v>
      </c>
      <c r="M320" t="s">
        <v>2547</v>
      </c>
      <c r="N320" t="s">
        <v>227</v>
      </c>
      <c r="O320" t="s">
        <v>798</v>
      </c>
      <c r="P320" s="2" t="str">
        <f t="shared" si="12"/>
        <v>17/03/2025 to 20/03/2025</v>
      </c>
      <c r="Q320" s="3">
        <v>45733</v>
      </c>
      <c r="R320" t="str">
        <f t="shared" si="13"/>
        <v>On-Time</v>
      </c>
      <c r="S320" t="s">
        <v>1039</v>
      </c>
      <c r="T320">
        <v>31.5</v>
      </c>
      <c r="U320" t="s">
        <v>79</v>
      </c>
      <c r="V320" t="s">
        <v>80</v>
      </c>
      <c r="W320" t="str">
        <f t="shared" ca="1" si="14"/>
        <v>Dormant</v>
      </c>
    </row>
    <row r="321" spans="1:23" x14ac:dyDescent="0.2">
      <c r="A321">
        <v>824</v>
      </c>
      <c r="B321" t="s">
        <v>2625</v>
      </c>
      <c r="C321" t="s">
        <v>2634</v>
      </c>
      <c r="D321" s="1" t="s">
        <v>794</v>
      </c>
      <c r="E321" t="s">
        <v>2627</v>
      </c>
      <c r="F321" t="s">
        <v>910</v>
      </c>
      <c r="G321" s="4" t="s">
        <v>38</v>
      </c>
      <c r="H321" t="s">
        <v>2628</v>
      </c>
      <c r="I321" t="s">
        <v>59</v>
      </c>
      <c r="J321" s="4" t="s">
        <v>5417</v>
      </c>
      <c r="K321" t="s">
        <v>2635</v>
      </c>
      <c r="L321">
        <v>4</v>
      </c>
      <c r="M321" t="s">
        <v>2547</v>
      </c>
      <c r="N321" t="s">
        <v>227</v>
      </c>
      <c r="O321" t="s">
        <v>227</v>
      </c>
      <c r="P321" s="2" t="str">
        <f t="shared" si="12"/>
        <v>17/03/2025 to 20/03/2025</v>
      </c>
      <c r="Q321" s="3">
        <v>45732</v>
      </c>
      <c r="R321" t="str">
        <f t="shared" si="13"/>
        <v>Late</v>
      </c>
      <c r="S321" t="s">
        <v>997</v>
      </c>
      <c r="T321">
        <v>37.5</v>
      </c>
      <c r="U321" t="s">
        <v>65</v>
      </c>
      <c r="V321" t="s">
        <v>72</v>
      </c>
      <c r="W321" t="str">
        <f t="shared" ca="1" si="14"/>
        <v>Dormant</v>
      </c>
    </row>
    <row r="322" spans="1:23" x14ac:dyDescent="0.2">
      <c r="A322">
        <v>968</v>
      </c>
      <c r="B322" t="s">
        <v>2986</v>
      </c>
      <c r="C322" t="s">
        <v>2987</v>
      </c>
      <c r="D322" s="1" t="s">
        <v>794</v>
      </c>
      <c r="E322" t="s">
        <v>2988</v>
      </c>
      <c r="F322" t="s">
        <v>159</v>
      </c>
      <c r="G322" s="4" t="s">
        <v>5422</v>
      </c>
      <c r="H322" t="s">
        <v>930</v>
      </c>
      <c r="I322" t="s">
        <v>93</v>
      </c>
      <c r="J322" s="4" t="s">
        <v>60</v>
      </c>
      <c r="K322" t="s">
        <v>2989</v>
      </c>
      <c r="L322">
        <v>4</v>
      </c>
      <c r="M322" t="s">
        <v>798</v>
      </c>
      <c r="N322" t="s">
        <v>231</v>
      </c>
      <c r="O322" t="s">
        <v>798</v>
      </c>
      <c r="P322" s="2" t="str">
        <f t="shared" ref="P322:P385" si="15">IF(ISBLANK(M322), "", TEXT(WORKDAY(M322, 7), "dd/mm/yyyy") &amp; " to " &amp; TEXT(WORKDAY(M322, 10), "dd/mm/yyyy"))</f>
        <v>18/03/2025 to 21/03/2025</v>
      </c>
      <c r="Q322" s="3">
        <v>45731</v>
      </c>
      <c r="R322" t="str">
        <f t="shared" ref="R322:R385" si="16">IF(Q322="","In Progress",
IF(AND(--Q322&gt;=DATEVALUE(LEFT(P322,10)),
       --Q322&lt;=DATEVALUE(TRIM(MID(P322,FIND("to",P322)+3,10)))),
   "On-Time","Late"))</f>
        <v>Late</v>
      </c>
      <c r="S322" t="s">
        <v>997</v>
      </c>
      <c r="T322">
        <v>39.5</v>
      </c>
      <c r="U322" t="s">
        <v>79</v>
      </c>
      <c r="V322" t="s">
        <v>66</v>
      </c>
      <c r="W322" t="str">
        <f t="shared" ca="1" si="14"/>
        <v>Dormant</v>
      </c>
    </row>
    <row r="323" spans="1:23" x14ac:dyDescent="0.2">
      <c r="A323">
        <v>969</v>
      </c>
      <c r="B323" t="s">
        <v>2986</v>
      </c>
      <c r="C323" t="s">
        <v>2990</v>
      </c>
      <c r="D323" s="1" t="s">
        <v>794</v>
      </c>
      <c r="E323" t="s">
        <v>2988</v>
      </c>
      <c r="F323" t="s">
        <v>159</v>
      </c>
      <c r="G323" s="4" t="s">
        <v>5423</v>
      </c>
      <c r="H323" t="s">
        <v>930</v>
      </c>
      <c r="I323" t="s">
        <v>93</v>
      </c>
      <c r="J323" s="4" t="s">
        <v>68</v>
      </c>
      <c r="K323" t="s">
        <v>513</v>
      </c>
      <c r="L323">
        <v>2</v>
      </c>
      <c r="M323" t="s">
        <v>2547</v>
      </c>
      <c r="N323" t="s">
        <v>227</v>
      </c>
      <c r="O323" t="s">
        <v>227</v>
      </c>
      <c r="P323" s="2" t="str">
        <f t="shared" si="15"/>
        <v>17/03/2025 to 20/03/2025</v>
      </c>
      <c r="Q323" s="3">
        <v>45732</v>
      </c>
      <c r="R323" t="str">
        <f t="shared" si="16"/>
        <v>Late</v>
      </c>
      <c r="S323" t="s">
        <v>799</v>
      </c>
      <c r="T323">
        <v>17.5</v>
      </c>
      <c r="U323" t="s">
        <v>65</v>
      </c>
      <c r="V323" t="s">
        <v>66</v>
      </c>
      <c r="W323" t="str">
        <f t="shared" ref="W323:W386" ca="1" si="17">IF(D323="","",
IF(TODAY()-D323&lt;=120,"Active",
IF(TODAY()-D323&lt;=210,"At Risk",
IF(TODAY()-D323&lt;=395,"Dormant",
IF(TODAY()-D323&lt;=730,"Inactive","Archived")))))</f>
        <v>Dormant</v>
      </c>
    </row>
    <row r="324" spans="1:23" x14ac:dyDescent="0.2">
      <c r="A324">
        <v>956</v>
      </c>
      <c r="B324" t="s">
        <v>2958</v>
      </c>
      <c r="C324" t="s">
        <v>2959</v>
      </c>
      <c r="D324" s="1" t="s">
        <v>798</v>
      </c>
      <c r="E324" t="s">
        <v>2960</v>
      </c>
      <c r="F324" t="s">
        <v>490</v>
      </c>
      <c r="G324" s="4" t="s">
        <v>5419</v>
      </c>
      <c r="H324" t="s">
        <v>2596</v>
      </c>
      <c r="I324" t="s">
        <v>59</v>
      </c>
      <c r="J324" s="4" t="s">
        <v>74</v>
      </c>
      <c r="K324" t="s">
        <v>323</v>
      </c>
      <c r="L324">
        <v>2</v>
      </c>
      <c r="M324" t="s">
        <v>227</v>
      </c>
      <c r="N324" t="s">
        <v>232</v>
      </c>
      <c r="O324" t="s">
        <v>232</v>
      </c>
      <c r="P324" s="2" t="str">
        <f t="shared" si="15"/>
        <v>18/03/2025 to 21/03/2025</v>
      </c>
      <c r="Q324" s="3">
        <v>45734</v>
      </c>
      <c r="R324" t="str">
        <f t="shared" si="16"/>
        <v>On-Time</v>
      </c>
      <c r="S324" t="s">
        <v>1039</v>
      </c>
      <c r="T324">
        <v>18</v>
      </c>
      <c r="U324" t="s">
        <v>65</v>
      </c>
      <c r="V324" t="s">
        <v>80</v>
      </c>
      <c r="W324" t="str">
        <f t="shared" ca="1" si="17"/>
        <v>Dormant</v>
      </c>
    </row>
    <row r="325" spans="1:23" x14ac:dyDescent="0.2">
      <c r="A325">
        <v>957</v>
      </c>
      <c r="B325" t="s">
        <v>2958</v>
      </c>
      <c r="C325" t="s">
        <v>2961</v>
      </c>
      <c r="D325" s="1" t="s">
        <v>798</v>
      </c>
      <c r="E325" t="s">
        <v>2960</v>
      </c>
      <c r="F325" t="s">
        <v>490</v>
      </c>
      <c r="G325" s="4" t="s">
        <v>5418</v>
      </c>
      <c r="H325" t="s">
        <v>2596</v>
      </c>
      <c r="I325" t="s">
        <v>59</v>
      </c>
      <c r="J325" s="4" t="s">
        <v>74</v>
      </c>
      <c r="K325" t="s">
        <v>2962</v>
      </c>
      <c r="L325">
        <v>4</v>
      </c>
      <c r="M325" t="s">
        <v>227</v>
      </c>
      <c r="N325" t="s">
        <v>227</v>
      </c>
      <c r="O325" t="s">
        <v>231</v>
      </c>
      <c r="P325" s="2" t="str">
        <f t="shared" si="15"/>
        <v>18/03/2025 to 21/03/2025</v>
      </c>
      <c r="Q325" s="3">
        <v>45734</v>
      </c>
      <c r="R325" t="str">
        <f t="shared" si="16"/>
        <v>On-Time</v>
      </c>
      <c r="S325" t="s">
        <v>972</v>
      </c>
      <c r="T325">
        <v>38.5</v>
      </c>
      <c r="U325" t="s">
        <v>65</v>
      </c>
      <c r="V325" t="s">
        <v>80</v>
      </c>
      <c r="W325" t="str">
        <f t="shared" ca="1" si="17"/>
        <v>Dormant</v>
      </c>
    </row>
    <row r="326" spans="1:23" x14ac:dyDescent="0.2">
      <c r="A326">
        <v>958</v>
      </c>
      <c r="B326" t="s">
        <v>2958</v>
      </c>
      <c r="C326" t="s">
        <v>2963</v>
      </c>
      <c r="D326" s="1" t="s">
        <v>798</v>
      </c>
      <c r="E326" t="s">
        <v>2960</v>
      </c>
      <c r="F326" t="s">
        <v>490</v>
      </c>
      <c r="G326" s="4" t="s">
        <v>5423</v>
      </c>
      <c r="H326" t="s">
        <v>2596</v>
      </c>
      <c r="I326" t="s">
        <v>59</v>
      </c>
      <c r="J326" s="4" t="s">
        <v>68</v>
      </c>
      <c r="K326" t="s">
        <v>18</v>
      </c>
      <c r="L326">
        <v>1</v>
      </c>
      <c r="M326" t="s">
        <v>231</v>
      </c>
      <c r="N326" t="s">
        <v>231</v>
      </c>
      <c r="O326" t="s">
        <v>231</v>
      </c>
      <c r="P326" s="2" t="str">
        <f t="shared" si="15"/>
        <v>18/03/2025 to 21/03/2025</v>
      </c>
      <c r="Q326" s="3">
        <v>45738</v>
      </c>
      <c r="R326" t="str">
        <f t="shared" si="16"/>
        <v>Late</v>
      </c>
      <c r="S326" t="s">
        <v>867</v>
      </c>
      <c r="T326">
        <v>8.5</v>
      </c>
      <c r="U326" t="s">
        <v>79</v>
      </c>
      <c r="V326" t="s">
        <v>72</v>
      </c>
      <c r="W326" t="str">
        <f t="shared" ca="1" si="17"/>
        <v>Dormant</v>
      </c>
    </row>
    <row r="327" spans="1:23" x14ac:dyDescent="0.2">
      <c r="A327">
        <v>959</v>
      </c>
      <c r="B327" t="s">
        <v>2958</v>
      </c>
      <c r="C327" t="s">
        <v>2964</v>
      </c>
      <c r="D327" s="1" t="s">
        <v>798</v>
      </c>
      <c r="E327" t="s">
        <v>2960</v>
      </c>
      <c r="F327" t="s">
        <v>490</v>
      </c>
      <c r="G327" s="4" t="s">
        <v>5418</v>
      </c>
      <c r="H327" t="s">
        <v>2596</v>
      </c>
      <c r="I327" t="s">
        <v>59</v>
      </c>
      <c r="J327" s="4" t="s">
        <v>68</v>
      </c>
      <c r="K327" t="s">
        <v>2965</v>
      </c>
      <c r="L327">
        <v>3</v>
      </c>
      <c r="M327" t="s">
        <v>798</v>
      </c>
      <c r="N327" t="s">
        <v>227</v>
      </c>
      <c r="O327" t="s">
        <v>798</v>
      </c>
      <c r="P327" s="2" t="str">
        <f t="shared" si="15"/>
        <v>18/03/2025 to 21/03/2025</v>
      </c>
      <c r="Q327" s="3">
        <v>45733</v>
      </c>
      <c r="R327" t="str">
        <f t="shared" si="16"/>
        <v>Late</v>
      </c>
      <c r="S327" t="s">
        <v>799</v>
      </c>
      <c r="T327">
        <v>30.5</v>
      </c>
      <c r="U327" t="s">
        <v>79</v>
      </c>
      <c r="V327" t="s">
        <v>72</v>
      </c>
      <c r="W327" t="str">
        <f t="shared" ca="1" si="17"/>
        <v>Dormant</v>
      </c>
    </row>
    <row r="328" spans="1:23" x14ac:dyDescent="0.2">
      <c r="A328">
        <v>986</v>
      </c>
      <c r="B328" t="s">
        <v>3033</v>
      </c>
      <c r="C328" t="s">
        <v>3034</v>
      </c>
      <c r="D328" s="1" t="s">
        <v>798</v>
      </c>
      <c r="E328" t="s">
        <v>3035</v>
      </c>
      <c r="F328" t="s">
        <v>490</v>
      </c>
      <c r="G328" s="4" t="s">
        <v>5427</v>
      </c>
      <c r="H328" t="s">
        <v>3036</v>
      </c>
      <c r="I328" t="s">
        <v>201</v>
      </c>
      <c r="J328" s="4" t="s">
        <v>68</v>
      </c>
      <c r="K328" t="s">
        <v>1479</v>
      </c>
      <c r="L328">
        <v>2</v>
      </c>
      <c r="M328" t="s">
        <v>227</v>
      </c>
      <c r="N328" t="s">
        <v>227</v>
      </c>
      <c r="O328" t="s">
        <v>232</v>
      </c>
      <c r="P328" s="2" t="str">
        <f t="shared" si="15"/>
        <v>18/03/2025 to 21/03/2025</v>
      </c>
      <c r="Q328" s="3">
        <v>45736</v>
      </c>
      <c r="R328" t="str">
        <f t="shared" si="16"/>
        <v>On-Time</v>
      </c>
      <c r="S328" t="s">
        <v>235</v>
      </c>
      <c r="T328">
        <v>19.5</v>
      </c>
      <c r="U328" t="s">
        <v>79</v>
      </c>
      <c r="V328" t="s">
        <v>80</v>
      </c>
      <c r="W328" t="str">
        <f t="shared" ca="1" si="17"/>
        <v>Dormant</v>
      </c>
    </row>
    <row r="329" spans="1:23" x14ac:dyDescent="0.2">
      <c r="A329">
        <v>987</v>
      </c>
      <c r="B329" t="s">
        <v>3033</v>
      </c>
      <c r="C329" t="s">
        <v>3037</v>
      </c>
      <c r="D329" s="1" t="s">
        <v>798</v>
      </c>
      <c r="E329" t="s">
        <v>3035</v>
      </c>
      <c r="F329" t="s">
        <v>490</v>
      </c>
      <c r="G329" s="4" t="s">
        <v>5425</v>
      </c>
      <c r="H329" t="s">
        <v>3036</v>
      </c>
      <c r="I329" t="s">
        <v>201</v>
      </c>
      <c r="J329" s="4" t="s">
        <v>60</v>
      </c>
      <c r="K329" t="s">
        <v>3038</v>
      </c>
      <c r="L329">
        <v>3</v>
      </c>
      <c r="M329" t="s">
        <v>227</v>
      </c>
      <c r="N329" t="s">
        <v>227</v>
      </c>
      <c r="O329" t="s">
        <v>227</v>
      </c>
      <c r="P329" s="2" t="str">
        <f t="shared" si="15"/>
        <v>18/03/2025 to 21/03/2025</v>
      </c>
      <c r="Q329" s="3">
        <v>45737</v>
      </c>
      <c r="R329" t="str">
        <f t="shared" si="16"/>
        <v>On-Time</v>
      </c>
      <c r="S329" t="s">
        <v>235</v>
      </c>
      <c r="T329">
        <v>29.5</v>
      </c>
      <c r="U329" t="s">
        <v>79</v>
      </c>
      <c r="V329" t="s">
        <v>66</v>
      </c>
      <c r="W329" t="str">
        <f t="shared" ca="1" si="17"/>
        <v>Dormant</v>
      </c>
    </row>
    <row r="330" spans="1:23" x14ac:dyDescent="0.2">
      <c r="A330">
        <v>988</v>
      </c>
      <c r="B330" t="s">
        <v>3033</v>
      </c>
      <c r="C330" t="s">
        <v>3039</v>
      </c>
      <c r="D330" s="1" t="s">
        <v>798</v>
      </c>
      <c r="E330" t="s">
        <v>3035</v>
      </c>
      <c r="F330" t="s">
        <v>490</v>
      </c>
      <c r="G330" s="4" t="s">
        <v>5426</v>
      </c>
      <c r="H330" t="s">
        <v>3036</v>
      </c>
      <c r="I330" t="s">
        <v>201</v>
      </c>
      <c r="J330" s="4" t="s">
        <v>5417</v>
      </c>
      <c r="K330" t="s">
        <v>3040</v>
      </c>
      <c r="L330">
        <v>4</v>
      </c>
      <c r="M330" t="s">
        <v>231</v>
      </c>
      <c r="N330" t="s">
        <v>233</v>
      </c>
      <c r="O330" t="s">
        <v>231</v>
      </c>
      <c r="P330" s="2" t="str">
        <f t="shared" si="15"/>
        <v>18/03/2025 to 21/03/2025</v>
      </c>
      <c r="Q330" s="3">
        <v>45735</v>
      </c>
      <c r="R330" t="str">
        <f t="shared" si="16"/>
        <v>On-Time</v>
      </c>
      <c r="S330" t="s">
        <v>234</v>
      </c>
      <c r="T330">
        <v>44</v>
      </c>
      <c r="U330" t="s">
        <v>79</v>
      </c>
      <c r="V330" t="s">
        <v>80</v>
      </c>
      <c r="W330" t="str">
        <f t="shared" ca="1" si="17"/>
        <v>Dormant</v>
      </c>
    </row>
    <row r="331" spans="1:23" x14ac:dyDescent="0.2">
      <c r="A331">
        <v>989</v>
      </c>
      <c r="B331" t="s">
        <v>3033</v>
      </c>
      <c r="C331" t="s">
        <v>3041</v>
      </c>
      <c r="D331" s="1" t="s">
        <v>798</v>
      </c>
      <c r="E331" t="s">
        <v>3035</v>
      </c>
      <c r="F331" t="s">
        <v>490</v>
      </c>
      <c r="G331" s="4" t="s">
        <v>38</v>
      </c>
      <c r="H331" t="s">
        <v>3036</v>
      </c>
      <c r="I331" t="s">
        <v>201</v>
      </c>
      <c r="J331" s="4" t="s">
        <v>60</v>
      </c>
      <c r="K331" t="s">
        <v>6</v>
      </c>
      <c r="L331">
        <v>1</v>
      </c>
      <c r="M331" t="s">
        <v>231</v>
      </c>
      <c r="N331" t="s">
        <v>233</v>
      </c>
      <c r="O331" t="s">
        <v>233</v>
      </c>
      <c r="P331" s="2" t="str">
        <f t="shared" si="15"/>
        <v>18/03/2025 to 21/03/2025</v>
      </c>
      <c r="Q331" s="3">
        <v>45740</v>
      </c>
      <c r="R331" t="str">
        <f t="shared" si="16"/>
        <v>Late</v>
      </c>
      <c r="S331" t="s">
        <v>932</v>
      </c>
      <c r="T331">
        <v>7.5</v>
      </c>
      <c r="U331" t="s">
        <v>65</v>
      </c>
      <c r="V331" t="s">
        <v>72</v>
      </c>
      <c r="W331" t="str">
        <f t="shared" ca="1" si="17"/>
        <v>Dormant</v>
      </c>
    </row>
    <row r="332" spans="1:23" x14ac:dyDescent="0.2">
      <c r="A332">
        <v>990</v>
      </c>
      <c r="B332" t="s">
        <v>3033</v>
      </c>
      <c r="C332" t="s">
        <v>3042</v>
      </c>
      <c r="D332" s="1" t="s">
        <v>798</v>
      </c>
      <c r="E332" t="s">
        <v>3035</v>
      </c>
      <c r="F332" t="s">
        <v>490</v>
      </c>
      <c r="G332" s="4" t="s">
        <v>38</v>
      </c>
      <c r="H332" t="s">
        <v>3036</v>
      </c>
      <c r="I332" t="s">
        <v>201</v>
      </c>
      <c r="J332" s="4" t="s">
        <v>68</v>
      </c>
      <c r="K332" t="s">
        <v>20</v>
      </c>
      <c r="L332">
        <v>1</v>
      </c>
      <c r="M332" t="s">
        <v>227</v>
      </c>
      <c r="N332" t="s">
        <v>227</v>
      </c>
      <c r="O332" t="s">
        <v>231</v>
      </c>
      <c r="P332" s="2" t="str">
        <f t="shared" si="15"/>
        <v>18/03/2025 to 21/03/2025</v>
      </c>
      <c r="Q332" s="3">
        <v>45733</v>
      </c>
      <c r="R332" t="str">
        <f t="shared" si="16"/>
        <v>Late</v>
      </c>
      <c r="S332" t="s">
        <v>972</v>
      </c>
      <c r="T332">
        <v>10.5</v>
      </c>
      <c r="U332" t="s">
        <v>79</v>
      </c>
      <c r="V332" t="s">
        <v>72</v>
      </c>
      <c r="W332" t="str">
        <f t="shared" ca="1" si="17"/>
        <v>Dormant</v>
      </c>
    </row>
    <row r="333" spans="1:23" x14ac:dyDescent="0.2">
      <c r="A333">
        <v>31</v>
      </c>
      <c r="B333" t="s">
        <v>225</v>
      </c>
      <c r="C333" t="s">
        <v>226</v>
      </c>
      <c r="D333" s="1" t="s">
        <v>227</v>
      </c>
      <c r="E333" t="s">
        <v>228</v>
      </c>
      <c r="F333" t="s">
        <v>229</v>
      </c>
      <c r="G333" s="4" t="s">
        <v>38</v>
      </c>
      <c r="H333" t="s">
        <v>230</v>
      </c>
      <c r="I333" t="s">
        <v>136</v>
      </c>
      <c r="J333" s="4" t="s">
        <v>74</v>
      </c>
      <c r="K333" t="s">
        <v>22</v>
      </c>
      <c r="L333">
        <v>1</v>
      </c>
      <c r="M333" t="s">
        <v>231</v>
      </c>
      <c r="N333" t="s">
        <v>232</v>
      </c>
      <c r="O333" t="s">
        <v>233</v>
      </c>
      <c r="P333" s="2" t="str">
        <f t="shared" si="15"/>
        <v>18/03/2025 to 21/03/2025</v>
      </c>
      <c r="Q333" s="3">
        <v>45736</v>
      </c>
      <c r="R333" t="str">
        <f t="shared" si="16"/>
        <v>On-Time</v>
      </c>
      <c r="S333" t="s">
        <v>235</v>
      </c>
      <c r="T333">
        <v>8</v>
      </c>
      <c r="U333" t="s">
        <v>79</v>
      </c>
      <c r="V333" t="s">
        <v>80</v>
      </c>
      <c r="W333" t="str">
        <f t="shared" ca="1" si="17"/>
        <v>Dormant</v>
      </c>
    </row>
    <row r="334" spans="1:23" x14ac:dyDescent="0.2">
      <c r="A334">
        <v>32</v>
      </c>
      <c r="B334" t="s">
        <v>225</v>
      </c>
      <c r="C334" t="s">
        <v>236</v>
      </c>
      <c r="D334" s="1" t="s">
        <v>227</v>
      </c>
      <c r="E334" t="s">
        <v>228</v>
      </c>
      <c r="F334" t="s">
        <v>229</v>
      </c>
      <c r="G334" s="4" t="s">
        <v>5421</v>
      </c>
      <c r="H334" t="s">
        <v>230</v>
      </c>
      <c r="I334" t="s">
        <v>136</v>
      </c>
      <c r="J334" s="4" t="s">
        <v>74</v>
      </c>
      <c r="K334" t="s">
        <v>237</v>
      </c>
      <c r="L334">
        <v>4</v>
      </c>
      <c r="M334" t="s">
        <v>231</v>
      </c>
      <c r="N334" t="s">
        <v>231</v>
      </c>
      <c r="O334" t="s">
        <v>231</v>
      </c>
      <c r="P334" s="2" t="str">
        <f t="shared" si="15"/>
        <v>18/03/2025 to 21/03/2025</v>
      </c>
      <c r="Q334" s="3">
        <v>45736</v>
      </c>
      <c r="R334" t="str">
        <f t="shared" si="16"/>
        <v>On-Time</v>
      </c>
      <c r="S334" t="s">
        <v>234</v>
      </c>
      <c r="T334">
        <v>41.5</v>
      </c>
      <c r="U334" t="s">
        <v>65</v>
      </c>
      <c r="V334" t="s">
        <v>80</v>
      </c>
      <c r="W334" t="str">
        <f t="shared" ca="1" si="17"/>
        <v>Dormant</v>
      </c>
    </row>
    <row r="335" spans="1:23" x14ac:dyDescent="0.2">
      <c r="A335">
        <v>227</v>
      </c>
      <c r="B335" t="s">
        <v>1033</v>
      </c>
      <c r="C335" t="s">
        <v>1034</v>
      </c>
      <c r="D335" s="1" t="s">
        <v>227</v>
      </c>
      <c r="E335" t="s">
        <v>1035</v>
      </c>
      <c r="F335" t="s">
        <v>1036</v>
      </c>
      <c r="G335" s="4" t="s">
        <v>5428</v>
      </c>
      <c r="H335" t="s">
        <v>1037</v>
      </c>
      <c r="I335" t="s">
        <v>112</v>
      </c>
      <c r="J335" s="4" t="s">
        <v>60</v>
      </c>
      <c r="K335" t="s">
        <v>1038</v>
      </c>
      <c r="L335">
        <v>4</v>
      </c>
      <c r="M335" t="s">
        <v>231</v>
      </c>
      <c r="N335" t="s">
        <v>232</v>
      </c>
      <c r="O335" t="s">
        <v>233</v>
      </c>
      <c r="P335" s="2" t="str">
        <f t="shared" si="15"/>
        <v>18/03/2025 to 21/03/2025</v>
      </c>
      <c r="Q335" s="3">
        <v>45734</v>
      </c>
      <c r="R335" t="str">
        <f t="shared" si="16"/>
        <v>On-Time</v>
      </c>
      <c r="S335" t="s">
        <v>972</v>
      </c>
      <c r="T335">
        <v>35</v>
      </c>
      <c r="U335" t="s">
        <v>79</v>
      </c>
      <c r="V335" t="s">
        <v>66</v>
      </c>
      <c r="W335" t="str">
        <f t="shared" ca="1" si="17"/>
        <v>Dormant</v>
      </c>
    </row>
    <row r="336" spans="1:23" x14ac:dyDescent="0.2">
      <c r="A336">
        <v>228</v>
      </c>
      <c r="B336" t="s">
        <v>1033</v>
      </c>
      <c r="C336" t="s">
        <v>1040</v>
      </c>
      <c r="D336" s="1" t="s">
        <v>227</v>
      </c>
      <c r="E336" t="s">
        <v>1035</v>
      </c>
      <c r="F336" t="s">
        <v>1036</v>
      </c>
      <c r="G336" s="4" t="s">
        <v>5418</v>
      </c>
      <c r="H336" t="s">
        <v>1037</v>
      </c>
      <c r="I336" t="s">
        <v>112</v>
      </c>
      <c r="J336" s="4" t="s">
        <v>5417</v>
      </c>
      <c r="K336" t="s">
        <v>1041</v>
      </c>
      <c r="L336">
        <v>2</v>
      </c>
      <c r="M336" t="s">
        <v>232</v>
      </c>
      <c r="N336" t="s">
        <v>233</v>
      </c>
      <c r="O336" t="s">
        <v>233</v>
      </c>
      <c r="P336" s="2" t="str">
        <f t="shared" si="15"/>
        <v>19/03/2025 to 24/03/2025</v>
      </c>
      <c r="Q336" s="3">
        <v>45740</v>
      </c>
      <c r="R336" t="str">
        <f t="shared" si="16"/>
        <v>On-Time</v>
      </c>
      <c r="S336" t="s">
        <v>932</v>
      </c>
      <c r="T336">
        <v>16</v>
      </c>
      <c r="U336" t="s">
        <v>65</v>
      </c>
      <c r="V336" t="s">
        <v>66</v>
      </c>
      <c r="W336" t="str">
        <f t="shared" ca="1" si="17"/>
        <v>Dormant</v>
      </c>
    </row>
    <row r="337" spans="1:23" x14ac:dyDescent="0.2">
      <c r="A337">
        <v>229</v>
      </c>
      <c r="B337" t="s">
        <v>1033</v>
      </c>
      <c r="C337" t="s">
        <v>1042</v>
      </c>
      <c r="D337" s="1" t="s">
        <v>227</v>
      </c>
      <c r="E337" t="s">
        <v>1035</v>
      </c>
      <c r="F337" t="s">
        <v>1036</v>
      </c>
      <c r="G337" s="4" t="s">
        <v>38</v>
      </c>
      <c r="H337" t="s">
        <v>1037</v>
      </c>
      <c r="I337" t="s">
        <v>112</v>
      </c>
      <c r="J337" s="4" t="s">
        <v>60</v>
      </c>
      <c r="K337" t="s">
        <v>1043</v>
      </c>
      <c r="L337">
        <v>3</v>
      </c>
      <c r="M337" t="s">
        <v>232</v>
      </c>
      <c r="N337" t="s">
        <v>671</v>
      </c>
      <c r="O337" t="s">
        <v>232</v>
      </c>
      <c r="P337" s="2" t="str">
        <f t="shared" si="15"/>
        <v>19/03/2025 to 24/03/2025</v>
      </c>
      <c r="Q337" s="3">
        <v>45736</v>
      </c>
      <c r="R337" t="str">
        <f t="shared" si="16"/>
        <v>On-Time</v>
      </c>
      <c r="S337" t="s">
        <v>867</v>
      </c>
      <c r="T337">
        <v>24.5</v>
      </c>
      <c r="U337" t="s">
        <v>79</v>
      </c>
      <c r="V337" t="s">
        <v>80</v>
      </c>
      <c r="W337" t="str">
        <f t="shared" ca="1" si="17"/>
        <v>Dormant</v>
      </c>
    </row>
    <row r="338" spans="1:23" x14ac:dyDescent="0.2">
      <c r="A338">
        <v>293</v>
      </c>
      <c r="B338" t="s">
        <v>1237</v>
      </c>
      <c r="C338" t="s">
        <v>1238</v>
      </c>
      <c r="D338" s="1" t="s">
        <v>227</v>
      </c>
      <c r="E338" t="s">
        <v>1239</v>
      </c>
      <c r="F338" t="s">
        <v>872</v>
      </c>
      <c r="G338" s="4" t="s">
        <v>5426</v>
      </c>
      <c r="H338" t="s">
        <v>1240</v>
      </c>
      <c r="I338" t="s">
        <v>136</v>
      </c>
      <c r="J338" s="4" t="s">
        <v>68</v>
      </c>
      <c r="K338" t="s">
        <v>22</v>
      </c>
      <c r="L338">
        <v>1</v>
      </c>
      <c r="M338" t="s">
        <v>227</v>
      </c>
      <c r="N338" t="s">
        <v>227</v>
      </c>
      <c r="O338" t="s">
        <v>231</v>
      </c>
      <c r="P338" s="2" t="str">
        <f t="shared" si="15"/>
        <v>18/03/2025 to 21/03/2025</v>
      </c>
      <c r="Q338" s="3">
        <v>45732</v>
      </c>
      <c r="R338" t="str">
        <f t="shared" si="16"/>
        <v>Late</v>
      </c>
      <c r="S338" t="s">
        <v>1039</v>
      </c>
      <c r="T338">
        <v>8</v>
      </c>
      <c r="U338" t="s">
        <v>79</v>
      </c>
      <c r="V338" t="s">
        <v>72</v>
      </c>
      <c r="W338" t="str">
        <f t="shared" ca="1" si="17"/>
        <v>Dormant</v>
      </c>
    </row>
    <row r="339" spans="1:23" x14ac:dyDescent="0.2">
      <c r="A339">
        <v>294</v>
      </c>
      <c r="B339" t="s">
        <v>1237</v>
      </c>
      <c r="C339" t="s">
        <v>1241</v>
      </c>
      <c r="D339" s="1" t="s">
        <v>227</v>
      </c>
      <c r="E339" t="s">
        <v>1239</v>
      </c>
      <c r="F339" t="s">
        <v>872</v>
      </c>
      <c r="G339" s="4" t="s">
        <v>5425</v>
      </c>
      <c r="H339" t="s">
        <v>1240</v>
      </c>
      <c r="I339" t="s">
        <v>136</v>
      </c>
      <c r="J339" s="4" t="s">
        <v>5417</v>
      </c>
      <c r="K339" t="s">
        <v>1242</v>
      </c>
      <c r="L339">
        <v>3</v>
      </c>
      <c r="M339" t="s">
        <v>232</v>
      </c>
      <c r="N339" t="s">
        <v>671</v>
      </c>
      <c r="O339" t="s">
        <v>233</v>
      </c>
      <c r="P339" s="2" t="str">
        <f t="shared" si="15"/>
        <v>19/03/2025 to 24/03/2025</v>
      </c>
      <c r="Q339" s="3">
        <v>45739</v>
      </c>
      <c r="R339" t="str">
        <f t="shared" si="16"/>
        <v>On-Time</v>
      </c>
      <c r="S339" t="s">
        <v>932</v>
      </c>
      <c r="T339">
        <v>32.5</v>
      </c>
      <c r="U339" t="s">
        <v>79</v>
      </c>
      <c r="V339" t="s">
        <v>66</v>
      </c>
      <c r="W339" t="str">
        <f t="shared" ca="1" si="17"/>
        <v>Dormant</v>
      </c>
    </row>
    <row r="340" spans="1:23" x14ac:dyDescent="0.2">
      <c r="A340">
        <v>295</v>
      </c>
      <c r="B340" t="s">
        <v>1237</v>
      </c>
      <c r="C340" t="s">
        <v>1243</v>
      </c>
      <c r="D340" s="1" t="s">
        <v>227</v>
      </c>
      <c r="E340" t="s">
        <v>1239</v>
      </c>
      <c r="F340" t="s">
        <v>872</v>
      </c>
      <c r="G340" s="4" t="s">
        <v>5427</v>
      </c>
      <c r="H340" t="s">
        <v>1240</v>
      </c>
      <c r="I340" t="s">
        <v>136</v>
      </c>
      <c r="J340" s="4" t="s">
        <v>60</v>
      </c>
      <c r="K340" t="s">
        <v>16</v>
      </c>
      <c r="L340">
        <v>1</v>
      </c>
      <c r="M340" t="s">
        <v>227</v>
      </c>
      <c r="N340" t="s">
        <v>231</v>
      </c>
      <c r="O340" t="s">
        <v>231</v>
      </c>
      <c r="P340" s="2" t="str">
        <f t="shared" si="15"/>
        <v>18/03/2025 to 21/03/2025</v>
      </c>
      <c r="Q340" s="3">
        <v>45738</v>
      </c>
      <c r="R340" t="str">
        <f t="shared" si="16"/>
        <v>Late</v>
      </c>
      <c r="S340" t="s">
        <v>867</v>
      </c>
      <c r="T340">
        <v>11</v>
      </c>
      <c r="U340" t="s">
        <v>65</v>
      </c>
      <c r="V340" t="s">
        <v>72</v>
      </c>
      <c r="W340" t="str">
        <f t="shared" ca="1" si="17"/>
        <v>Dormant</v>
      </c>
    </row>
    <row r="341" spans="1:23" x14ac:dyDescent="0.2">
      <c r="A341">
        <v>1706</v>
      </c>
      <c r="B341" t="s">
        <v>4750</v>
      </c>
      <c r="C341" t="s">
        <v>4751</v>
      </c>
      <c r="D341" s="1" t="s">
        <v>227</v>
      </c>
      <c r="E341" t="s">
        <v>4752</v>
      </c>
      <c r="F341" t="s">
        <v>607</v>
      </c>
      <c r="G341" s="4" t="s">
        <v>5427</v>
      </c>
      <c r="H341" t="s">
        <v>4753</v>
      </c>
      <c r="I341" t="s">
        <v>201</v>
      </c>
      <c r="J341" s="4" t="s">
        <v>68</v>
      </c>
      <c r="K341" t="s">
        <v>4233</v>
      </c>
      <c r="L341">
        <v>2</v>
      </c>
      <c r="M341" t="s">
        <v>232</v>
      </c>
      <c r="N341" t="s">
        <v>233</v>
      </c>
      <c r="O341" t="s">
        <v>232</v>
      </c>
      <c r="P341" s="2" t="str">
        <f t="shared" si="15"/>
        <v>19/03/2025 to 24/03/2025</v>
      </c>
      <c r="Q341" s="3">
        <v>45739</v>
      </c>
      <c r="R341" t="str">
        <f t="shared" si="16"/>
        <v>On-Time</v>
      </c>
      <c r="S341" t="s">
        <v>868</v>
      </c>
      <c r="T341">
        <v>23</v>
      </c>
      <c r="U341" t="s">
        <v>65</v>
      </c>
      <c r="V341" t="s">
        <v>80</v>
      </c>
      <c r="W341" t="str">
        <f t="shared" ca="1" si="17"/>
        <v>Dormant</v>
      </c>
    </row>
    <row r="342" spans="1:23" x14ac:dyDescent="0.2">
      <c r="A342">
        <v>1707</v>
      </c>
      <c r="B342" t="s">
        <v>4750</v>
      </c>
      <c r="C342" t="s">
        <v>4754</v>
      </c>
      <c r="D342" s="1" t="s">
        <v>227</v>
      </c>
      <c r="E342" t="s">
        <v>4752</v>
      </c>
      <c r="F342" t="s">
        <v>607</v>
      </c>
      <c r="G342" s="4" t="s">
        <v>38</v>
      </c>
      <c r="H342" t="s">
        <v>4753</v>
      </c>
      <c r="I342" t="s">
        <v>201</v>
      </c>
      <c r="J342" s="4" t="s">
        <v>74</v>
      </c>
      <c r="K342" t="s">
        <v>2182</v>
      </c>
      <c r="L342">
        <v>2</v>
      </c>
      <c r="M342" t="s">
        <v>232</v>
      </c>
      <c r="N342" t="s">
        <v>232</v>
      </c>
      <c r="O342" t="s">
        <v>232</v>
      </c>
      <c r="P342" s="2" t="str">
        <f t="shared" si="15"/>
        <v>19/03/2025 to 24/03/2025</v>
      </c>
      <c r="Q342" s="3">
        <v>45733</v>
      </c>
      <c r="R342" t="str">
        <f t="shared" si="16"/>
        <v>Late</v>
      </c>
      <c r="S342" t="s">
        <v>1039</v>
      </c>
      <c r="T342">
        <v>23.5</v>
      </c>
      <c r="U342" t="s">
        <v>79</v>
      </c>
      <c r="V342" t="s">
        <v>72</v>
      </c>
      <c r="W342" t="str">
        <f t="shared" ca="1" si="17"/>
        <v>Dormant</v>
      </c>
    </row>
    <row r="343" spans="1:23" x14ac:dyDescent="0.2">
      <c r="A343">
        <v>1708</v>
      </c>
      <c r="B343" t="s">
        <v>4750</v>
      </c>
      <c r="C343" t="s">
        <v>4755</v>
      </c>
      <c r="D343" s="1" t="s">
        <v>227</v>
      </c>
      <c r="E343" t="s">
        <v>4752</v>
      </c>
      <c r="F343" t="s">
        <v>607</v>
      </c>
      <c r="G343" s="4" t="s">
        <v>38</v>
      </c>
      <c r="H343" t="s">
        <v>4753</v>
      </c>
      <c r="I343" t="s">
        <v>201</v>
      </c>
      <c r="J343" s="4" t="s">
        <v>5417</v>
      </c>
      <c r="K343" t="s">
        <v>4756</v>
      </c>
      <c r="L343">
        <v>4</v>
      </c>
      <c r="M343" t="s">
        <v>232</v>
      </c>
      <c r="N343" t="s">
        <v>232</v>
      </c>
      <c r="O343" t="s">
        <v>232</v>
      </c>
      <c r="P343" s="2" t="str">
        <f t="shared" si="15"/>
        <v>19/03/2025 to 24/03/2025</v>
      </c>
      <c r="Q343" s="3">
        <v>45735</v>
      </c>
      <c r="R343" t="str">
        <f t="shared" si="16"/>
        <v>On-Time</v>
      </c>
      <c r="S343" t="s">
        <v>235</v>
      </c>
      <c r="T343">
        <v>40</v>
      </c>
      <c r="U343" t="s">
        <v>79</v>
      </c>
      <c r="V343" t="s">
        <v>66</v>
      </c>
      <c r="W343" t="str">
        <f t="shared" ca="1" si="17"/>
        <v>Dormant</v>
      </c>
    </row>
    <row r="344" spans="1:23" x14ac:dyDescent="0.2">
      <c r="A344">
        <v>1709</v>
      </c>
      <c r="B344" t="s">
        <v>4750</v>
      </c>
      <c r="C344" t="s">
        <v>4757</v>
      </c>
      <c r="D344" s="1" t="s">
        <v>227</v>
      </c>
      <c r="E344" t="s">
        <v>4752</v>
      </c>
      <c r="F344" t="s">
        <v>607</v>
      </c>
      <c r="G344" s="4" t="s">
        <v>5428</v>
      </c>
      <c r="H344" t="s">
        <v>4753</v>
      </c>
      <c r="I344" t="s">
        <v>201</v>
      </c>
      <c r="J344" s="4" t="s">
        <v>60</v>
      </c>
      <c r="K344" t="s">
        <v>394</v>
      </c>
      <c r="L344">
        <v>2</v>
      </c>
      <c r="M344" t="s">
        <v>232</v>
      </c>
      <c r="N344" t="s">
        <v>671</v>
      </c>
      <c r="O344" t="s">
        <v>671</v>
      </c>
      <c r="P344" s="2" t="str">
        <f t="shared" si="15"/>
        <v>19/03/2025 to 24/03/2025</v>
      </c>
      <c r="Q344" s="3">
        <v>45739</v>
      </c>
      <c r="R344" t="str">
        <f t="shared" si="16"/>
        <v>On-Time</v>
      </c>
      <c r="S344" t="s">
        <v>932</v>
      </c>
      <c r="T344">
        <v>18</v>
      </c>
      <c r="U344" t="s">
        <v>65</v>
      </c>
      <c r="V344" t="s">
        <v>72</v>
      </c>
      <c r="W344" t="str">
        <f t="shared" ca="1" si="17"/>
        <v>Dormant</v>
      </c>
    </row>
    <row r="345" spans="1:23" x14ac:dyDescent="0.2">
      <c r="A345">
        <v>1710</v>
      </c>
      <c r="B345" t="s">
        <v>4750</v>
      </c>
      <c r="C345" t="s">
        <v>4758</v>
      </c>
      <c r="D345" s="1" t="s">
        <v>227</v>
      </c>
      <c r="E345" t="s">
        <v>4752</v>
      </c>
      <c r="F345" t="s">
        <v>607</v>
      </c>
      <c r="G345" s="4" t="s">
        <v>5427</v>
      </c>
      <c r="H345" t="s">
        <v>4753</v>
      </c>
      <c r="I345" t="s">
        <v>201</v>
      </c>
      <c r="J345" s="4" t="s">
        <v>74</v>
      </c>
      <c r="K345" t="s">
        <v>4759</v>
      </c>
      <c r="L345">
        <v>4</v>
      </c>
      <c r="M345" t="s">
        <v>231</v>
      </c>
      <c r="N345" t="s">
        <v>233</v>
      </c>
      <c r="O345" t="s">
        <v>233</v>
      </c>
      <c r="P345" s="2" t="str">
        <f t="shared" si="15"/>
        <v>18/03/2025 to 21/03/2025</v>
      </c>
      <c r="Q345" s="3">
        <v>45737</v>
      </c>
      <c r="R345" t="str">
        <f t="shared" si="16"/>
        <v>On-Time</v>
      </c>
      <c r="S345" t="s">
        <v>928</v>
      </c>
      <c r="T345">
        <v>41</v>
      </c>
      <c r="U345" t="s">
        <v>79</v>
      </c>
      <c r="V345" t="s">
        <v>72</v>
      </c>
      <c r="W345" t="str">
        <f t="shared" ca="1" si="17"/>
        <v>Dormant</v>
      </c>
    </row>
    <row r="346" spans="1:23" x14ac:dyDescent="0.2">
      <c r="A346">
        <v>257</v>
      </c>
      <c r="B346" t="s">
        <v>1125</v>
      </c>
      <c r="C346" t="s">
        <v>1126</v>
      </c>
      <c r="D346" s="1" t="s">
        <v>231</v>
      </c>
      <c r="E346" t="s">
        <v>1127</v>
      </c>
      <c r="F346" t="s">
        <v>209</v>
      </c>
      <c r="G346" s="4" t="s">
        <v>5419</v>
      </c>
      <c r="H346" t="s">
        <v>1128</v>
      </c>
      <c r="I346" t="s">
        <v>112</v>
      </c>
      <c r="J346" s="4" t="s">
        <v>68</v>
      </c>
      <c r="K346" t="s">
        <v>1129</v>
      </c>
      <c r="L346">
        <v>2</v>
      </c>
      <c r="M346" t="s">
        <v>233</v>
      </c>
      <c r="N346" t="s">
        <v>993</v>
      </c>
      <c r="O346" t="s">
        <v>233</v>
      </c>
      <c r="P346" s="2" t="str">
        <f t="shared" si="15"/>
        <v>20/03/2025 to 25/03/2025</v>
      </c>
      <c r="Q346" s="3">
        <v>45737</v>
      </c>
      <c r="R346" t="str">
        <f t="shared" si="16"/>
        <v>On-Time</v>
      </c>
      <c r="S346" t="s">
        <v>867</v>
      </c>
      <c r="T346">
        <v>17</v>
      </c>
      <c r="U346" t="s">
        <v>79</v>
      </c>
      <c r="V346" t="s">
        <v>72</v>
      </c>
      <c r="W346" t="str">
        <f t="shared" ca="1" si="17"/>
        <v>Dormant</v>
      </c>
    </row>
    <row r="347" spans="1:23" x14ac:dyDescent="0.2">
      <c r="A347">
        <v>782</v>
      </c>
      <c r="B347" t="s">
        <v>2531</v>
      </c>
      <c r="C347" t="s">
        <v>2532</v>
      </c>
      <c r="D347" s="1" t="s">
        <v>231</v>
      </c>
      <c r="E347" t="s">
        <v>2533</v>
      </c>
      <c r="F347" t="s">
        <v>179</v>
      </c>
      <c r="G347" s="4" t="s">
        <v>5423</v>
      </c>
      <c r="H347" t="s">
        <v>1617</v>
      </c>
      <c r="I347" t="s">
        <v>112</v>
      </c>
      <c r="J347" s="4" t="s">
        <v>68</v>
      </c>
      <c r="K347" t="s">
        <v>69</v>
      </c>
      <c r="L347">
        <v>2</v>
      </c>
      <c r="M347" t="s">
        <v>233</v>
      </c>
      <c r="N347" t="s">
        <v>233</v>
      </c>
      <c r="O347" t="s">
        <v>671</v>
      </c>
      <c r="P347" s="2" t="str">
        <f t="shared" si="15"/>
        <v>20/03/2025 to 25/03/2025</v>
      </c>
      <c r="Q347" s="3">
        <v>45736</v>
      </c>
      <c r="R347" t="str">
        <f t="shared" si="16"/>
        <v>On-Time</v>
      </c>
      <c r="S347" t="s">
        <v>235</v>
      </c>
      <c r="T347">
        <v>20</v>
      </c>
      <c r="U347" t="s">
        <v>65</v>
      </c>
      <c r="V347" t="s">
        <v>72</v>
      </c>
      <c r="W347" t="str">
        <f t="shared" ca="1" si="17"/>
        <v>Dormant</v>
      </c>
    </row>
    <row r="348" spans="1:23" x14ac:dyDescent="0.2">
      <c r="A348">
        <v>783</v>
      </c>
      <c r="B348" t="s">
        <v>2531</v>
      </c>
      <c r="C348" t="s">
        <v>2534</v>
      </c>
      <c r="D348" s="1" t="s">
        <v>231</v>
      </c>
      <c r="E348" t="s">
        <v>2533</v>
      </c>
      <c r="F348" t="s">
        <v>179</v>
      </c>
      <c r="G348" s="4" t="s">
        <v>5425</v>
      </c>
      <c r="H348" t="s">
        <v>1617</v>
      </c>
      <c r="I348" t="s">
        <v>112</v>
      </c>
      <c r="J348" s="4" t="s">
        <v>60</v>
      </c>
      <c r="K348" t="s">
        <v>10</v>
      </c>
      <c r="L348">
        <v>1</v>
      </c>
      <c r="M348" t="s">
        <v>233</v>
      </c>
      <c r="N348" t="s">
        <v>671</v>
      </c>
      <c r="O348" t="s">
        <v>671</v>
      </c>
      <c r="P348" s="2" t="str">
        <f t="shared" si="15"/>
        <v>20/03/2025 to 25/03/2025</v>
      </c>
      <c r="Q348" s="3">
        <v>45739</v>
      </c>
      <c r="R348" t="str">
        <f t="shared" si="16"/>
        <v>On-Time</v>
      </c>
      <c r="S348" t="s">
        <v>932</v>
      </c>
      <c r="T348">
        <v>10</v>
      </c>
      <c r="U348" t="s">
        <v>65</v>
      </c>
      <c r="V348" t="s">
        <v>80</v>
      </c>
      <c r="W348" t="str">
        <f t="shared" ca="1" si="17"/>
        <v>Dormant</v>
      </c>
    </row>
    <row r="349" spans="1:23" x14ac:dyDescent="0.2">
      <c r="A349">
        <v>784</v>
      </c>
      <c r="B349" t="s">
        <v>2531</v>
      </c>
      <c r="C349" t="s">
        <v>2535</v>
      </c>
      <c r="D349" s="1" t="s">
        <v>231</v>
      </c>
      <c r="E349" t="s">
        <v>2533</v>
      </c>
      <c r="F349" t="s">
        <v>179</v>
      </c>
      <c r="G349" s="4" t="s">
        <v>5419</v>
      </c>
      <c r="H349" t="s">
        <v>1617</v>
      </c>
      <c r="I349" t="s">
        <v>112</v>
      </c>
      <c r="J349" s="4" t="s">
        <v>74</v>
      </c>
      <c r="K349" t="s">
        <v>30</v>
      </c>
      <c r="L349">
        <v>1</v>
      </c>
      <c r="M349" t="s">
        <v>232</v>
      </c>
      <c r="N349" t="s">
        <v>233</v>
      </c>
      <c r="O349" t="s">
        <v>233</v>
      </c>
      <c r="P349" s="2" t="str">
        <f t="shared" si="15"/>
        <v>19/03/2025 to 24/03/2025</v>
      </c>
      <c r="Q349" s="3">
        <v>45734</v>
      </c>
      <c r="R349" t="str">
        <f t="shared" si="16"/>
        <v>Late</v>
      </c>
      <c r="S349" t="s">
        <v>1039</v>
      </c>
      <c r="T349">
        <v>12</v>
      </c>
      <c r="U349" t="s">
        <v>65</v>
      </c>
      <c r="V349" t="s">
        <v>72</v>
      </c>
      <c r="W349" t="str">
        <f t="shared" ca="1" si="17"/>
        <v>Dormant</v>
      </c>
    </row>
    <row r="350" spans="1:23" x14ac:dyDescent="0.2">
      <c r="A350">
        <v>785</v>
      </c>
      <c r="B350" t="s">
        <v>2531</v>
      </c>
      <c r="C350" t="s">
        <v>2536</v>
      </c>
      <c r="D350" s="1" t="s">
        <v>231</v>
      </c>
      <c r="E350" t="s">
        <v>2533</v>
      </c>
      <c r="F350" t="s">
        <v>179</v>
      </c>
      <c r="G350" s="4" t="s">
        <v>5428</v>
      </c>
      <c r="H350" t="s">
        <v>1617</v>
      </c>
      <c r="I350" t="s">
        <v>112</v>
      </c>
      <c r="J350" s="4" t="s">
        <v>60</v>
      </c>
      <c r="K350" t="s">
        <v>2537</v>
      </c>
      <c r="L350">
        <v>4</v>
      </c>
      <c r="M350" t="s">
        <v>231</v>
      </c>
      <c r="N350" t="s">
        <v>232</v>
      </c>
      <c r="O350" t="s">
        <v>233</v>
      </c>
      <c r="P350" s="2" t="str">
        <f t="shared" si="15"/>
        <v>18/03/2025 to 21/03/2025</v>
      </c>
      <c r="Q350" s="3">
        <v>45737</v>
      </c>
      <c r="R350" t="str">
        <f t="shared" si="16"/>
        <v>On-Time</v>
      </c>
      <c r="S350" t="s">
        <v>235</v>
      </c>
      <c r="T350">
        <v>42</v>
      </c>
      <c r="U350" t="s">
        <v>65</v>
      </c>
      <c r="V350" t="s">
        <v>66</v>
      </c>
      <c r="W350" t="str">
        <f t="shared" ca="1" si="17"/>
        <v>Dormant</v>
      </c>
    </row>
    <row r="351" spans="1:23" x14ac:dyDescent="0.2">
      <c r="A351">
        <v>1503</v>
      </c>
      <c r="B351" t="s">
        <v>4280</v>
      </c>
      <c r="C351" t="s">
        <v>4281</v>
      </c>
      <c r="D351" s="1" t="s">
        <v>231</v>
      </c>
      <c r="E351" t="s">
        <v>4282</v>
      </c>
      <c r="F351" t="s">
        <v>1829</v>
      </c>
      <c r="G351" s="4" t="s">
        <v>5423</v>
      </c>
      <c r="H351" t="s">
        <v>1947</v>
      </c>
      <c r="I351" t="s">
        <v>201</v>
      </c>
      <c r="J351" s="4" t="s">
        <v>68</v>
      </c>
      <c r="K351" t="s">
        <v>16</v>
      </c>
      <c r="L351">
        <v>1</v>
      </c>
      <c r="M351" t="s">
        <v>231</v>
      </c>
      <c r="N351" t="s">
        <v>232</v>
      </c>
      <c r="O351" t="s">
        <v>233</v>
      </c>
      <c r="P351" s="2" t="str">
        <f t="shared" si="15"/>
        <v>18/03/2025 to 21/03/2025</v>
      </c>
      <c r="Q351" s="3">
        <v>45736</v>
      </c>
      <c r="R351" t="str">
        <f t="shared" si="16"/>
        <v>On-Time</v>
      </c>
      <c r="S351" t="s">
        <v>234</v>
      </c>
      <c r="T351">
        <v>11</v>
      </c>
      <c r="U351" t="s">
        <v>79</v>
      </c>
      <c r="V351" t="s">
        <v>80</v>
      </c>
      <c r="W351" t="str">
        <f t="shared" ca="1" si="17"/>
        <v>Dormant</v>
      </c>
    </row>
    <row r="352" spans="1:23" x14ac:dyDescent="0.2">
      <c r="A352">
        <v>1504</v>
      </c>
      <c r="B352" t="s">
        <v>4280</v>
      </c>
      <c r="C352" t="s">
        <v>4283</v>
      </c>
      <c r="D352" s="1" t="s">
        <v>231</v>
      </c>
      <c r="E352" t="s">
        <v>4282</v>
      </c>
      <c r="F352" t="s">
        <v>1829</v>
      </c>
      <c r="G352" s="4" t="s">
        <v>5420</v>
      </c>
      <c r="H352" t="s">
        <v>1947</v>
      </c>
      <c r="I352" t="s">
        <v>201</v>
      </c>
      <c r="J352" s="4" t="s">
        <v>68</v>
      </c>
      <c r="K352" t="s">
        <v>20</v>
      </c>
      <c r="L352">
        <v>1</v>
      </c>
      <c r="M352" t="s">
        <v>231</v>
      </c>
      <c r="N352" t="s">
        <v>231</v>
      </c>
      <c r="O352" t="s">
        <v>232</v>
      </c>
      <c r="P352" s="2" t="str">
        <f t="shared" si="15"/>
        <v>18/03/2025 to 21/03/2025</v>
      </c>
      <c r="Q352" s="3">
        <v>45737</v>
      </c>
      <c r="R352" t="str">
        <f t="shared" si="16"/>
        <v>On-Time</v>
      </c>
      <c r="S352" t="s">
        <v>928</v>
      </c>
      <c r="T352">
        <v>10.5</v>
      </c>
      <c r="U352" t="s">
        <v>79</v>
      </c>
      <c r="V352" t="s">
        <v>72</v>
      </c>
      <c r="W352" t="str">
        <f t="shared" ca="1" si="17"/>
        <v>Dormant</v>
      </c>
    </row>
    <row r="353" spans="1:23" x14ac:dyDescent="0.2">
      <c r="A353">
        <v>1505</v>
      </c>
      <c r="B353" t="s">
        <v>4280</v>
      </c>
      <c r="C353" t="s">
        <v>4284</v>
      </c>
      <c r="D353" s="1" t="s">
        <v>231</v>
      </c>
      <c r="E353" t="s">
        <v>4282</v>
      </c>
      <c r="F353" t="s">
        <v>1829</v>
      </c>
      <c r="G353" s="4" t="s">
        <v>5427</v>
      </c>
      <c r="H353" t="s">
        <v>1947</v>
      </c>
      <c r="I353" t="s">
        <v>201</v>
      </c>
      <c r="J353" s="4" t="s">
        <v>68</v>
      </c>
      <c r="K353" t="s">
        <v>4285</v>
      </c>
      <c r="L353">
        <v>4</v>
      </c>
      <c r="M353" t="s">
        <v>232</v>
      </c>
      <c r="N353" t="s">
        <v>232</v>
      </c>
      <c r="O353" t="s">
        <v>233</v>
      </c>
      <c r="P353" s="2" t="str">
        <f t="shared" si="15"/>
        <v>19/03/2025 to 24/03/2025</v>
      </c>
      <c r="Q353" s="3">
        <v>45736</v>
      </c>
      <c r="R353" t="str">
        <f t="shared" si="16"/>
        <v>On-Time</v>
      </c>
      <c r="S353" t="s">
        <v>234</v>
      </c>
      <c r="T353">
        <v>37</v>
      </c>
      <c r="U353" t="s">
        <v>65</v>
      </c>
      <c r="V353" t="s">
        <v>80</v>
      </c>
      <c r="W353" t="str">
        <f t="shared" ca="1" si="17"/>
        <v>Dormant</v>
      </c>
    </row>
    <row r="354" spans="1:23" x14ac:dyDescent="0.2">
      <c r="A354">
        <v>1506</v>
      </c>
      <c r="B354" t="s">
        <v>4280</v>
      </c>
      <c r="C354" t="s">
        <v>4286</v>
      </c>
      <c r="D354" s="1" t="s">
        <v>231</v>
      </c>
      <c r="E354" t="s">
        <v>4282</v>
      </c>
      <c r="F354" t="s">
        <v>1829</v>
      </c>
      <c r="G354" s="4" t="s">
        <v>5422</v>
      </c>
      <c r="H354" t="s">
        <v>1947</v>
      </c>
      <c r="I354" t="s">
        <v>201</v>
      </c>
      <c r="J354" s="4" t="s">
        <v>60</v>
      </c>
      <c r="K354" t="s">
        <v>18</v>
      </c>
      <c r="L354">
        <v>1</v>
      </c>
      <c r="M354" t="s">
        <v>233</v>
      </c>
      <c r="N354" t="s">
        <v>233</v>
      </c>
      <c r="O354" t="s">
        <v>233</v>
      </c>
      <c r="P354" s="2" t="str">
        <f t="shared" si="15"/>
        <v>20/03/2025 to 25/03/2025</v>
      </c>
      <c r="Q354" s="3">
        <v>45738</v>
      </c>
      <c r="R354" t="str">
        <f t="shared" si="16"/>
        <v>On-Time</v>
      </c>
      <c r="S354" t="s">
        <v>868</v>
      </c>
      <c r="T354">
        <v>8.5</v>
      </c>
      <c r="U354" t="s">
        <v>79</v>
      </c>
      <c r="V354" t="s">
        <v>72</v>
      </c>
      <c r="W354" t="str">
        <f t="shared" ca="1" si="17"/>
        <v>Dormant</v>
      </c>
    </row>
    <row r="355" spans="1:23" x14ac:dyDescent="0.2">
      <c r="A355">
        <v>1507</v>
      </c>
      <c r="B355" t="s">
        <v>4280</v>
      </c>
      <c r="C355" t="s">
        <v>4287</v>
      </c>
      <c r="D355" s="1" t="s">
        <v>231</v>
      </c>
      <c r="E355" t="s">
        <v>4282</v>
      </c>
      <c r="F355" t="s">
        <v>1829</v>
      </c>
      <c r="G355" s="4" t="s">
        <v>5428</v>
      </c>
      <c r="H355" t="s">
        <v>1947</v>
      </c>
      <c r="I355" t="s">
        <v>201</v>
      </c>
      <c r="J355" s="4" t="s">
        <v>60</v>
      </c>
      <c r="K355" t="s">
        <v>4288</v>
      </c>
      <c r="L355">
        <v>3</v>
      </c>
      <c r="M355" t="s">
        <v>232</v>
      </c>
      <c r="N355" t="s">
        <v>232</v>
      </c>
      <c r="O355" t="s">
        <v>232</v>
      </c>
      <c r="P355" s="2" t="str">
        <f t="shared" si="15"/>
        <v>19/03/2025 to 24/03/2025</v>
      </c>
      <c r="Q355" s="3">
        <v>45739</v>
      </c>
      <c r="R355" t="str">
        <f t="shared" si="16"/>
        <v>On-Time</v>
      </c>
      <c r="S355" t="s">
        <v>868</v>
      </c>
      <c r="T355">
        <v>29.5</v>
      </c>
      <c r="U355" t="s">
        <v>79</v>
      </c>
      <c r="V355" t="s">
        <v>80</v>
      </c>
      <c r="W355" t="str">
        <f t="shared" ca="1" si="17"/>
        <v>Dormant</v>
      </c>
    </row>
    <row r="356" spans="1:23" x14ac:dyDescent="0.2">
      <c r="A356">
        <v>1587</v>
      </c>
      <c r="B356" t="s">
        <v>4473</v>
      </c>
      <c r="C356" t="s">
        <v>4474</v>
      </c>
      <c r="D356" s="1" t="s">
        <v>231</v>
      </c>
      <c r="E356" t="s">
        <v>4475</v>
      </c>
      <c r="F356" t="s">
        <v>1920</v>
      </c>
      <c r="G356" s="4" t="s">
        <v>5425</v>
      </c>
      <c r="H356" t="s">
        <v>4476</v>
      </c>
      <c r="I356" t="s">
        <v>59</v>
      </c>
      <c r="J356" s="4" t="s">
        <v>5417</v>
      </c>
      <c r="K356" t="s">
        <v>4477</v>
      </c>
      <c r="L356">
        <v>4</v>
      </c>
      <c r="M356" t="s">
        <v>232</v>
      </c>
      <c r="N356" t="s">
        <v>233</v>
      </c>
      <c r="O356" t="s">
        <v>232</v>
      </c>
      <c r="P356" s="2" t="str">
        <f t="shared" si="15"/>
        <v>19/03/2025 to 24/03/2025</v>
      </c>
      <c r="Q356" s="3">
        <v>45735</v>
      </c>
      <c r="R356" t="str">
        <f t="shared" si="16"/>
        <v>On-Time</v>
      </c>
      <c r="S356" t="s">
        <v>234</v>
      </c>
      <c r="T356">
        <v>40</v>
      </c>
      <c r="U356" t="s">
        <v>65</v>
      </c>
      <c r="V356" t="s">
        <v>80</v>
      </c>
      <c r="W356" t="str">
        <f t="shared" ca="1" si="17"/>
        <v>Dormant</v>
      </c>
    </row>
    <row r="357" spans="1:23" x14ac:dyDescent="0.2">
      <c r="A357">
        <v>1588</v>
      </c>
      <c r="B357" t="s">
        <v>4473</v>
      </c>
      <c r="C357" t="s">
        <v>4478</v>
      </c>
      <c r="D357" s="1" t="s">
        <v>231</v>
      </c>
      <c r="E357" t="s">
        <v>4475</v>
      </c>
      <c r="F357" t="s">
        <v>1920</v>
      </c>
      <c r="G357" s="4" t="s">
        <v>5420</v>
      </c>
      <c r="H357" t="s">
        <v>4476</v>
      </c>
      <c r="I357" t="s">
        <v>59</v>
      </c>
      <c r="J357" s="4" t="s">
        <v>68</v>
      </c>
      <c r="K357" t="s">
        <v>32</v>
      </c>
      <c r="L357">
        <v>1</v>
      </c>
      <c r="M357" t="s">
        <v>233</v>
      </c>
      <c r="N357" t="s">
        <v>671</v>
      </c>
      <c r="O357" t="s">
        <v>993</v>
      </c>
      <c r="P357" s="2" t="str">
        <f t="shared" si="15"/>
        <v>20/03/2025 to 25/03/2025</v>
      </c>
      <c r="Q357" s="3">
        <v>45737</v>
      </c>
      <c r="R357" t="str">
        <f t="shared" si="16"/>
        <v>On-Time</v>
      </c>
      <c r="S357" t="s">
        <v>928</v>
      </c>
      <c r="T357">
        <v>14</v>
      </c>
      <c r="U357" t="s">
        <v>79</v>
      </c>
      <c r="V357" t="s">
        <v>66</v>
      </c>
      <c r="W357" t="str">
        <f t="shared" ca="1" si="17"/>
        <v>Dormant</v>
      </c>
    </row>
    <row r="358" spans="1:23" x14ac:dyDescent="0.2">
      <c r="A358">
        <v>1589</v>
      </c>
      <c r="B358" t="s">
        <v>4473</v>
      </c>
      <c r="C358" t="s">
        <v>4479</v>
      </c>
      <c r="D358" s="1" t="s">
        <v>231</v>
      </c>
      <c r="E358" t="s">
        <v>4475</v>
      </c>
      <c r="F358" t="s">
        <v>1920</v>
      </c>
      <c r="G358" s="4" t="s">
        <v>5424</v>
      </c>
      <c r="H358" t="s">
        <v>4476</v>
      </c>
      <c r="I358" t="s">
        <v>59</v>
      </c>
      <c r="J358" s="4" t="s">
        <v>68</v>
      </c>
      <c r="K358" t="s">
        <v>4480</v>
      </c>
      <c r="L358">
        <v>4</v>
      </c>
      <c r="M358" t="s">
        <v>231</v>
      </c>
      <c r="N358" t="s">
        <v>232</v>
      </c>
      <c r="O358" t="s">
        <v>233</v>
      </c>
      <c r="P358" s="2" t="str">
        <f t="shared" si="15"/>
        <v>18/03/2025 to 21/03/2025</v>
      </c>
      <c r="Q358" s="3">
        <v>45737</v>
      </c>
      <c r="R358" t="str">
        <f t="shared" si="16"/>
        <v>On-Time</v>
      </c>
      <c r="S358" t="s">
        <v>928</v>
      </c>
      <c r="T358">
        <v>42</v>
      </c>
      <c r="U358" t="s">
        <v>65</v>
      </c>
      <c r="V358" t="s">
        <v>66</v>
      </c>
      <c r="W358" t="str">
        <f t="shared" ca="1" si="17"/>
        <v>Dormant</v>
      </c>
    </row>
    <row r="359" spans="1:23" x14ac:dyDescent="0.2">
      <c r="A359">
        <v>1590</v>
      </c>
      <c r="B359" t="s">
        <v>4473</v>
      </c>
      <c r="C359" t="s">
        <v>4481</v>
      </c>
      <c r="D359" s="1" t="s">
        <v>231</v>
      </c>
      <c r="E359" t="s">
        <v>4475</v>
      </c>
      <c r="F359" t="s">
        <v>1920</v>
      </c>
      <c r="G359" s="4" t="s">
        <v>5418</v>
      </c>
      <c r="H359" t="s">
        <v>4476</v>
      </c>
      <c r="I359" t="s">
        <v>59</v>
      </c>
      <c r="J359" s="4" t="s">
        <v>68</v>
      </c>
      <c r="K359" t="s">
        <v>4482</v>
      </c>
      <c r="L359">
        <v>4</v>
      </c>
      <c r="M359" t="s">
        <v>233</v>
      </c>
      <c r="N359" t="s">
        <v>671</v>
      </c>
      <c r="O359" t="s">
        <v>993</v>
      </c>
      <c r="P359" s="2" t="str">
        <f t="shared" si="15"/>
        <v>20/03/2025 to 25/03/2025</v>
      </c>
      <c r="Q359" s="3">
        <v>45741</v>
      </c>
      <c r="R359" t="str">
        <f t="shared" si="16"/>
        <v>On-Time</v>
      </c>
      <c r="S359" t="s">
        <v>976</v>
      </c>
      <c r="T359">
        <v>38</v>
      </c>
      <c r="U359" t="s">
        <v>79</v>
      </c>
      <c r="V359" t="s">
        <v>80</v>
      </c>
      <c r="W359" t="str">
        <f t="shared" ca="1" si="17"/>
        <v>Dormant</v>
      </c>
    </row>
    <row r="360" spans="1:23" x14ac:dyDescent="0.2">
      <c r="A360">
        <v>1591</v>
      </c>
      <c r="B360" t="s">
        <v>4473</v>
      </c>
      <c r="C360" t="s">
        <v>4483</v>
      </c>
      <c r="D360" s="1" t="s">
        <v>231</v>
      </c>
      <c r="E360" t="s">
        <v>4475</v>
      </c>
      <c r="F360" t="s">
        <v>1920</v>
      </c>
      <c r="G360" s="4" t="s">
        <v>5418</v>
      </c>
      <c r="H360" t="s">
        <v>4476</v>
      </c>
      <c r="I360" t="s">
        <v>59</v>
      </c>
      <c r="J360" s="4" t="s">
        <v>60</v>
      </c>
      <c r="K360" t="s">
        <v>4484</v>
      </c>
      <c r="L360">
        <v>4</v>
      </c>
      <c r="M360" t="s">
        <v>232</v>
      </c>
      <c r="N360" t="s">
        <v>233</v>
      </c>
      <c r="O360" t="s">
        <v>233</v>
      </c>
      <c r="P360" s="2" t="str">
        <f t="shared" si="15"/>
        <v>19/03/2025 to 24/03/2025</v>
      </c>
      <c r="Q360" s="3">
        <v>45734</v>
      </c>
      <c r="R360" t="str">
        <f t="shared" si="16"/>
        <v>Late</v>
      </c>
      <c r="S360" t="s">
        <v>1039</v>
      </c>
      <c r="T360">
        <v>39</v>
      </c>
      <c r="U360" t="s">
        <v>79</v>
      </c>
      <c r="V360" t="s">
        <v>72</v>
      </c>
      <c r="W360" t="str">
        <f t="shared" ca="1" si="17"/>
        <v>Dormant</v>
      </c>
    </row>
    <row r="361" spans="1:23" x14ac:dyDescent="0.2">
      <c r="A361">
        <v>1325</v>
      </c>
      <c r="B361" t="s">
        <v>3839</v>
      </c>
      <c r="C361" t="s">
        <v>3840</v>
      </c>
      <c r="D361" s="1" t="s">
        <v>232</v>
      </c>
      <c r="E361" t="s">
        <v>3841</v>
      </c>
      <c r="F361" t="s">
        <v>910</v>
      </c>
      <c r="G361" s="4" t="s">
        <v>5421</v>
      </c>
      <c r="H361" t="s">
        <v>3842</v>
      </c>
      <c r="I361" t="s">
        <v>136</v>
      </c>
      <c r="J361" s="4" t="s">
        <v>60</v>
      </c>
      <c r="K361" t="s">
        <v>22</v>
      </c>
      <c r="L361">
        <v>1</v>
      </c>
      <c r="M361" t="s">
        <v>232</v>
      </c>
      <c r="N361" t="s">
        <v>671</v>
      </c>
      <c r="O361" t="s">
        <v>671</v>
      </c>
      <c r="P361" s="2" t="str">
        <f t="shared" si="15"/>
        <v>19/03/2025 to 24/03/2025</v>
      </c>
      <c r="Q361" s="3">
        <v>45737</v>
      </c>
      <c r="R361" t="str">
        <f t="shared" si="16"/>
        <v>On-Time</v>
      </c>
      <c r="S361" t="s">
        <v>867</v>
      </c>
      <c r="T361">
        <v>8</v>
      </c>
      <c r="U361" t="s">
        <v>79</v>
      </c>
      <c r="V361" t="s">
        <v>80</v>
      </c>
      <c r="W361" t="str">
        <f t="shared" ca="1" si="17"/>
        <v>Dormant</v>
      </c>
    </row>
    <row r="362" spans="1:23" x14ac:dyDescent="0.2">
      <c r="A362">
        <v>1326</v>
      </c>
      <c r="B362" t="s">
        <v>3839</v>
      </c>
      <c r="C362" t="s">
        <v>3843</v>
      </c>
      <c r="D362" s="1" t="s">
        <v>232</v>
      </c>
      <c r="E362" t="s">
        <v>3841</v>
      </c>
      <c r="F362" t="s">
        <v>910</v>
      </c>
      <c r="G362" s="4" t="s">
        <v>5421</v>
      </c>
      <c r="H362" t="s">
        <v>3842</v>
      </c>
      <c r="I362" t="s">
        <v>136</v>
      </c>
      <c r="J362" s="4" t="s">
        <v>68</v>
      </c>
      <c r="K362" t="s">
        <v>295</v>
      </c>
      <c r="L362">
        <v>2</v>
      </c>
      <c r="M362" t="s">
        <v>671</v>
      </c>
      <c r="N362" t="s">
        <v>862</v>
      </c>
      <c r="O362" t="s">
        <v>862</v>
      </c>
      <c r="P362" s="2" t="str">
        <f t="shared" si="15"/>
        <v>21/03/2025 to 26/03/2025</v>
      </c>
      <c r="Q362" s="3">
        <v>45742</v>
      </c>
      <c r="R362" t="str">
        <f t="shared" si="16"/>
        <v>On-Time</v>
      </c>
      <c r="S362" t="s">
        <v>936</v>
      </c>
      <c r="T362">
        <v>24.5</v>
      </c>
      <c r="U362" t="s">
        <v>79</v>
      </c>
      <c r="V362" t="s">
        <v>66</v>
      </c>
      <c r="W362" t="str">
        <f t="shared" ca="1" si="17"/>
        <v>Dormant</v>
      </c>
    </row>
    <row r="363" spans="1:23" x14ac:dyDescent="0.2">
      <c r="A363">
        <v>1966</v>
      </c>
      <c r="B363" t="s">
        <v>5331</v>
      </c>
      <c r="C363" t="s">
        <v>5332</v>
      </c>
      <c r="D363" s="1" t="s">
        <v>232</v>
      </c>
      <c r="E363" t="s">
        <v>5333</v>
      </c>
      <c r="F363" t="s">
        <v>179</v>
      </c>
      <c r="G363" s="4" t="s">
        <v>5420</v>
      </c>
      <c r="H363" t="s">
        <v>5334</v>
      </c>
      <c r="I363" t="s">
        <v>112</v>
      </c>
      <c r="J363" s="4" t="s">
        <v>74</v>
      </c>
      <c r="K363" t="s">
        <v>5335</v>
      </c>
      <c r="L363">
        <v>4</v>
      </c>
      <c r="M363" t="s">
        <v>232</v>
      </c>
      <c r="N363" t="s">
        <v>671</v>
      </c>
      <c r="O363" t="s">
        <v>233</v>
      </c>
      <c r="P363" s="2" t="str">
        <f t="shared" si="15"/>
        <v>19/03/2025 to 24/03/2025</v>
      </c>
      <c r="Q363" s="3">
        <v>45738</v>
      </c>
      <c r="R363" t="str">
        <f t="shared" si="16"/>
        <v>On-Time</v>
      </c>
      <c r="S363" t="s">
        <v>928</v>
      </c>
      <c r="T363">
        <v>42.5</v>
      </c>
      <c r="U363" t="s">
        <v>79</v>
      </c>
      <c r="V363" t="s">
        <v>80</v>
      </c>
      <c r="W363" t="str">
        <f t="shared" ca="1" si="17"/>
        <v>Dormant</v>
      </c>
    </row>
    <row r="364" spans="1:23" x14ac:dyDescent="0.2">
      <c r="A364">
        <v>1967</v>
      </c>
      <c r="B364" t="s">
        <v>5331</v>
      </c>
      <c r="C364" t="s">
        <v>5336</v>
      </c>
      <c r="D364" s="1" t="s">
        <v>232</v>
      </c>
      <c r="E364" t="s">
        <v>5333</v>
      </c>
      <c r="F364" t="s">
        <v>179</v>
      </c>
      <c r="G364" s="4" t="s">
        <v>5418</v>
      </c>
      <c r="H364" t="s">
        <v>5334</v>
      </c>
      <c r="I364" t="s">
        <v>112</v>
      </c>
      <c r="J364" s="4" t="s">
        <v>5417</v>
      </c>
      <c r="K364" t="s">
        <v>12</v>
      </c>
      <c r="L364">
        <v>1</v>
      </c>
      <c r="M364" t="s">
        <v>233</v>
      </c>
      <c r="N364" t="s">
        <v>993</v>
      </c>
      <c r="O364" t="s">
        <v>671</v>
      </c>
      <c r="P364" s="2" t="str">
        <f t="shared" si="15"/>
        <v>20/03/2025 to 25/03/2025</v>
      </c>
      <c r="Q364" s="3">
        <v>45739</v>
      </c>
      <c r="R364" t="str">
        <f t="shared" si="16"/>
        <v>On-Time</v>
      </c>
      <c r="S364" t="s">
        <v>932</v>
      </c>
      <c r="T364">
        <v>9.5</v>
      </c>
      <c r="U364" t="s">
        <v>79</v>
      </c>
      <c r="V364" t="s">
        <v>72</v>
      </c>
      <c r="W364" t="str">
        <f t="shared" ca="1" si="17"/>
        <v>Dormant</v>
      </c>
    </row>
    <row r="365" spans="1:23" x14ac:dyDescent="0.2">
      <c r="A365">
        <v>1968</v>
      </c>
      <c r="B365" t="s">
        <v>5331</v>
      </c>
      <c r="C365" t="s">
        <v>5337</v>
      </c>
      <c r="D365" s="1" t="s">
        <v>232</v>
      </c>
      <c r="E365" t="s">
        <v>5333</v>
      </c>
      <c r="F365" t="s">
        <v>179</v>
      </c>
      <c r="G365" s="4" t="s">
        <v>5419</v>
      </c>
      <c r="H365" t="s">
        <v>5334</v>
      </c>
      <c r="I365" t="s">
        <v>112</v>
      </c>
      <c r="J365" s="4" t="s">
        <v>68</v>
      </c>
      <c r="K365" t="s">
        <v>1757</v>
      </c>
      <c r="L365">
        <v>2</v>
      </c>
      <c r="M365" t="s">
        <v>232</v>
      </c>
      <c r="N365" t="s">
        <v>232</v>
      </c>
      <c r="O365" t="s">
        <v>232</v>
      </c>
      <c r="P365" s="2" t="str">
        <f t="shared" si="15"/>
        <v>19/03/2025 to 24/03/2025</v>
      </c>
      <c r="Q365" s="3">
        <v>45734</v>
      </c>
      <c r="R365" t="str">
        <f t="shared" si="16"/>
        <v>Late</v>
      </c>
      <c r="S365" t="s">
        <v>972</v>
      </c>
      <c r="T365">
        <v>19.5</v>
      </c>
      <c r="U365" t="s">
        <v>65</v>
      </c>
      <c r="V365" t="s">
        <v>80</v>
      </c>
      <c r="W365" t="str">
        <f t="shared" ca="1" si="17"/>
        <v>Dormant</v>
      </c>
    </row>
    <row r="366" spans="1:23" x14ac:dyDescent="0.2">
      <c r="A366">
        <v>1969</v>
      </c>
      <c r="B366" t="s">
        <v>5331</v>
      </c>
      <c r="C366" t="s">
        <v>5338</v>
      </c>
      <c r="D366" s="1" t="s">
        <v>232</v>
      </c>
      <c r="E366" t="s">
        <v>5333</v>
      </c>
      <c r="F366" t="s">
        <v>179</v>
      </c>
      <c r="G366" s="4" t="s">
        <v>5419</v>
      </c>
      <c r="H366" t="s">
        <v>5334</v>
      </c>
      <c r="I366" t="s">
        <v>112</v>
      </c>
      <c r="J366" s="4" t="s">
        <v>60</v>
      </c>
      <c r="K366" t="s">
        <v>5339</v>
      </c>
      <c r="L366">
        <v>4</v>
      </c>
      <c r="M366" t="s">
        <v>233</v>
      </c>
      <c r="N366" t="s">
        <v>671</v>
      </c>
      <c r="O366" t="s">
        <v>233</v>
      </c>
      <c r="P366" s="2" t="str">
        <f t="shared" si="15"/>
        <v>20/03/2025 to 25/03/2025</v>
      </c>
      <c r="Q366" s="3">
        <v>45736</v>
      </c>
      <c r="R366" t="str">
        <f t="shared" si="16"/>
        <v>On-Time</v>
      </c>
      <c r="S366" t="s">
        <v>235</v>
      </c>
      <c r="T366">
        <v>32.5</v>
      </c>
      <c r="U366" t="s">
        <v>79</v>
      </c>
      <c r="V366" t="s">
        <v>80</v>
      </c>
      <c r="W366" t="str">
        <f t="shared" ca="1" si="17"/>
        <v>Dormant</v>
      </c>
    </row>
    <row r="367" spans="1:23" x14ac:dyDescent="0.2">
      <c r="A367">
        <v>1970</v>
      </c>
      <c r="B367" t="s">
        <v>5331</v>
      </c>
      <c r="C367" t="s">
        <v>5340</v>
      </c>
      <c r="D367" s="1" t="s">
        <v>232</v>
      </c>
      <c r="E367" t="s">
        <v>5333</v>
      </c>
      <c r="F367" t="s">
        <v>179</v>
      </c>
      <c r="G367" s="4" t="s">
        <v>5426</v>
      </c>
      <c r="H367" t="s">
        <v>5334</v>
      </c>
      <c r="I367" t="s">
        <v>112</v>
      </c>
      <c r="J367" s="4" t="s">
        <v>74</v>
      </c>
      <c r="K367" t="s">
        <v>5341</v>
      </c>
      <c r="L367">
        <v>4</v>
      </c>
      <c r="M367" t="s">
        <v>233</v>
      </c>
      <c r="N367" t="s">
        <v>993</v>
      </c>
      <c r="O367" t="s">
        <v>671</v>
      </c>
      <c r="P367" s="2" t="str">
        <f t="shared" si="15"/>
        <v>20/03/2025 to 25/03/2025</v>
      </c>
      <c r="Q367" s="3">
        <v>45738</v>
      </c>
      <c r="R367" t="str">
        <f t="shared" si="16"/>
        <v>On-Time</v>
      </c>
      <c r="S367" t="s">
        <v>928</v>
      </c>
      <c r="T367">
        <v>41</v>
      </c>
      <c r="U367" t="s">
        <v>65</v>
      </c>
      <c r="V367" t="s">
        <v>72</v>
      </c>
      <c r="W367" t="str">
        <f t="shared" ca="1" si="17"/>
        <v>Dormant</v>
      </c>
    </row>
    <row r="368" spans="1:23" x14ac:dyDescent="0.2">
      <c r="A368">
        <v>411</v>
      </c>
      <c r="B368" t="s">
        <v>1566</v>
      </c>
      <c r="C368" t="s">
        <v>1567</v>
      </c>
      <c r="D368" s="1" t="s">
        <v>233</v>
      </c>
      <c r="E368" t="s">
        <v>1568</v>
      </c>
      <c r="F368" t="s">
        <v>511</v>
      </c>
      <c r="G368" s="4" t="s">
        <v>5424</v>
      </c>
      <c r="H368" t="s">
        <v>1569</v>
      </c>
      <c r="I368" t="s">
        <v>201</v>
      </c>
      <c r="J368" s="4" t="s">
        <v>60</v>
      </c>
      <c r="K368" t="s">
        <v>1352</v>
      </c>
      <c r="L368">
        <v>2</v>
      </c>
      <c r="M368" t="s">
        <v>233</v>
      </c>
      <c r="N368" t="s">
        <v>993</v>
      </c>
      <c r="O368" t="s">
        <v>671</v>
      </c>
      <c r="P368" s="2" t="str">
        <f t="shared" si="15"/>
        <v>20/03/2025 to 25/03/2025</v>
      </c>
      <c r="Q368" s="3">
        <v>45736</v>
      </c>
      <c r="R368" t="str">
        <f t="shared" si="16"/>
        <v>On-Time</v>
      </c>
      <c r="S368" t="s">
        <v>235</v>
      </c>
      <c r="T368">
        <v>23.5</v>
      </c>
      <c r="U368" t="s">
        <v>65</v>
      </c>
      <c r="V368" t="s">
        <v>72</v>
      </c>
      <c r="W368" t="str">
        <f t="shared" ca="1" si="17"/>
        <v>Dormant</v>
      </c>
    </row>
    <row r="369" spans="1:23" x14ac:dyDescent="0.2">
      <c r="A369">
        <v>412</v>
      </c>
      <c r="B369" t="s">
        <v>1566</v>
      </c>
      <c r="C369" t="s">
        <v>1570</v>
      </c>
      <c r="D369" s="1" t="s">
        <v>233</v>
      </c>
      <c r="E369" t="s">
        <v>1568</v>
      </c>
      <c r="F369" t="s">
        <v>511</v>
      </c>
      <c r="G369" s="4" t="s">
        <v>5424</v>
      </c>
      <c r="H369" t="s">
        <v>1569</v>
      </c>
      <c r="I369" t="s">
        <v>201</v>
      </c>
      <c r="J369" s="4" t="s">
        <v>5417</v>
      </c>
      <c r="K369" t="s">
        <v>32</v>
      </c>
      <c r="L369">
        <v>1</v>
      </c>
      <c r="M369" t="s">
        <v>233</v>
      </c>
      <c r="N369" t="s">
        <v>233</v>
      </c>
      <c r="O369" t="s">
        <v>671</v>
      </c>
      <c r="P369" s="2" t="str">
        <f t="shared" si="15"/>
        <v>20/03/2025 to 25/03/2025</v>
      </c>
      <c r="Q369" s="3">
        <v>45738</v>
      </c>
      <c r="R369" t="str">
        <f t="shared" si="16"/>
        <v>On-Time</v>
      </c>
      <c r="S369" t="s">
        <v>867</v>
      </c>
      <c r="T369">
        <v>14</v>
      </c>
      <c r="U369" t="s">
        <v>65</v>
      </c>
      <c r="V369" t="s">
        <v>80</v>
      </c>
      <c r="W369" t="str">
        <f t="shared" ca="1" si="17"/>
        <v>Dormant</v>
      </c>
    </row>
    <row r="370" spans="1:23" x14ac:dyDescent="0.2">
      <c r="A370">
        <v>499</v>
      </c>
      <c r="B370" t="s">
        <v>1815</v>
      </c>
      <c r="C370" t="s">
        <v>1816</v>
      </c>
      <c r="D370" s="1" t="s">
        <v>233</v>
      </c>
      <c r="E370" t="s">
        <v>1817</v>
      </c>
      <c r="F370" t="s">
        <v>91</v>
      </c>
      <c r="G370" s="4" t="s">
        <v>5422</v>
      </c>
      <c r="H370" t="s">
        <v>571</v>
      </c>
      <c r="I370" t="s">
        <v>136</v>
      </c>
      <c r="J370" s="4" t="s">
        <v>68</v>
      </c>
      <c r="K370" t="s">
        <v>16</v>
      </c>
      <c r="L370">
        <v>1</v>
      </c>
      <c r="M370" t="s">
        <v>671</v>
      </c>
      <c r="N370" t="s">
        <v>862</v>
      </c>
      <c r="O370" t="s">
        <v>993</v>
      </c>
      <c r="P370" s="2" t="str">
        <f t="shared" si="15"/>
        <v>21/03/2025 to 26/03/2025</v>
      </c>
      <c r="Q370" s="3">
        <v>45737</v>
      </c>
      <c r="R370" t="str">
        <f t="shared" si="16"/>
        <v>On-Time</v>
      </c>
      <c r="S370" t="s">
        <v>867</v>
      </c>
      <c r="T370">
        <v>11</v>
      </c>
      <c r="U370" t="s">
        <v>65</v>
      </c>
      <c r="V370" t="s">
        <v>72</v>
      </c>
      <c r="W370" t="str">
        <f t="shared" ca="1" si="17"/>
        <v>Dormant</v>
      </c>
    </row>
    <row r="371" spans="1:23" x14ac:dyDescent="0.2">
      <c r="A371">
        <v>850</v>
      </c>
      <c r="B371" t="s">
        <v>2695</v>
      </c>
      <c r="C371" t="s">
        <v>2696</v>
      </c>
      <c r="D371" s="1" t="s">
        <v>233</v>
      </c>
      <c r="E371" t="s">
        <v>2697</v>
      </c>
      <c r="F371" t="s">
        <v>881</v>
      </c>
      <c r="G371" s="4" t="s">
        <v>5423</v>
      </c>
      <c r="H371" t="s">
        <v>135</v>
      </c>
      <c r="I371" t="s">
        <v>201</v>
      </c>
      <c r="J371" s="4" t="s">
        <v>68</v>
      </c>
      <c r="K371" t="s">
        <v>24</v>
      </c>
      <c r="L371">
        <v>1</v>
      </c>
      <c r="M371" t="s">
        <v>671</v>
      </c>
      <c r="N371" t="s">
        <v>862</v>
      </c>
      <c r="O371" t="s">
        <v>993</v>
      </c>
      <c r="P371" s="2" t="str">
        <f t="shared" si="15"/>
        <v>21/03/2025 to 26/03/2025</v>
      </c>
      <c r="Q371" s="3">
        <v>45739</v>
      </c>
      <c r="R371" t="str">
        <f t="shared" si="16"/>
        <v>On-Time</v>
      </c>
      <c r="S371" t="s">
        <v>868</v>
      </c>
      <c r="T371">
        <v>8</v>
      </c>
      <c r="U371" t="s">
        <v>65</v>
      </c>
      <c r="V371" t="s">
        <v>72</v>
      </c>
      <c r="W371" t="str">
        <f t="shared" ca="1" si="17"/>
        <v>Dormant</v>
      </c>
    </row>
    <row r="372" spans="1:23" x14ac:dyDescent="0.2">
      <c r="A372">
        <v>851</v>
      </c>
      <c r="B372" t="s">
        <v>2695</v>
      </c>
      <c r="C372" t="s">
        <v>2698</v>
      </c>
      <c r="D372" s="1" t="s">
        <v>233</v>
      </c>
      <c r="E372" t="s">
        <v>2697</v>
      </c>
      <c r="F372" t="s">
        <v>881</v>
      </c>
      <c r="G372" s="4" t="s">
        <v>5418</v>
      </c>
      <c r="H372" t="s">
        <v>135</v>
      </c>
      <c r="I372" t="s">
        <v>201</v>
      </c>
      <c r="J372" s="4" t="s">
        <v>5417</v>
      </c>
      <c r="K372" t="s">
        <v>1110</v>
      </c>
      <c r="L372">
        <v>2</v>
      </c>
      <c r="M372" t="s">
        <v>993</v>
      </c>
      <c r="N372" t="s">
        <v>866</v>
      </c>
      <c r="O372" t="s">
        <v>866</v>
      </c>
      <c r="P372" s="2" t="str">
        <f t="shared" si="15"/>
        <v>24/03/2025 to 27/03/2025</v>
      </c>
      <c r="Q372" s="3">
        <v>45739</v>
      </c>
      <c r="R372" t="str">
        <f t="shared" si="16"/>
        <v>Late</v>
      </c>
      <c r="S372" t="s">
        <v>928</v>
      </c>
      <c r="T372">
        <v>16.5</v>
      </c>
      <c r="U372" t="s">
        <v>65</v>
      </c>
      <c r="V372" t="s">
        <v>66</v>
      </c>
      <c r="W372" t="str">
        <f t="shared" ca="1" si="17"/>
        <v>Dormant</v>
      </c>
    </row>
    <row r="373" spans="1:23" x14ac:dyDescent="0.2">
      <c r="A373">
        <v>852</v>
      </c>
      <c r="B373" t="s">
        <v>2695</v>
      </c>
      <c r="C373" t="s">
        <v>2699</v>
      </c>
      <c r="D373" s="1" t="s">
        <v>233</v>
      </c>
      <c r="E373" t="s">
        <v>2697</v>
      </c>
      <c r="F373" t="s">
        <v>881</v>
      </c>
      <c r="G373" s="4" t="s">
        <v>5426</v>
      </c>
      <c r="H373" t="s">
        <v>135</v>
      </c>
      <c r="I373" t="s">
        <v>201</v>
      </c>
      <c r="J373" s="4" t="s">
        <v>60</v>
      </c>
      <c r="K373" t="s">
        <v>2700</v>
      </c>
      <c r="L373">
        <v>3</v>
      </c>
      <c r="M373" t="s">
        <v>233</v>
      </c>
      <c r="N373" t="s">
        <v>993</v>
      </c>
      <c r="O373" t="s">
        <v>671</v>
      </c>
      <c r="P373" s="2" t="str">
        <f t="shared" si="15"/>
        <v>20/03/2025 to 25/03/2025</v>
      </c>
      <c r="Q373" s="3">
        <v>45741</v>
      </c>
      <c r="R373" t="str">
        <f t="shared" si="16"/>
        <v>On-Time</v>
      </c>
      <c r="S373" t="s">
        <v>932</v>
      </c>
      <c r="T373">
        <v>27.5</v>
      </c>
      <c r="U373" t="s">
        <v>79</v>
      </c>
      <c r="V373" t="s">
        <v>72</v>
      </c>
      <c r="W373" t="str">
        <f t="shared" ca="1" si="17"/>
        <v>Dormant</v>
      </c>
    </row>
    <row r="374" spans="1:23" x14ac:dyDescent="0.2">
      <c r="A374">
        <v>853</v>
      </c>
      <c r="B374" t="s">
        <v>2695</v>
      </c>
      <c r="C374" t="s">
        <v>2701</v>
      </c>
      <c r="D374" s="1" t="s">
        <v>233</v>
      </c>
      <c r="E374" t="s">
        <v>2697</v>
      </c>
      <c r="F374" t="s">
        <v>881</v>
      </c>
      <c r="G374" s="4" t="s">
        <v>5423</v>
      </c>
      <c r="H374" t="s">
        <v>135</v>
      </c>
      <c r="I374" t="s">
        <v>201</v>
      </c>
      <c r="J374" s="4" t="s">
        <v>5417</v>
      </c>
      <c r="K374" t="s">
        <v>2702</v>
      </c>
      <c r="L374">
        <v>3</v>
      </c>
      <c r="M374" t="s">
        <v>993</v>
      </c>
      <c r="N374" t="s">
        <v>993</v>
      </c>
      <c r="O374" t="s">
        <v>866</v>
      </c>
      <c r="P374" s="2" t="str">
        <f t="shared" si="15"/>
        <v>24/03/2025 to 27/03/2025</v>
      </c>
      <c r="Q374" s="3">
        <v>45741</v>
      </c>
      <c r="R374" t="str">
        <f t="shared" si="16"/>
        <v>On-Time</v>
      </c>
      <c r="S374" t="s">
        <v>936</v>
      </c>
      <c r="T374">
        <v>27</v>
      </c>
      <c r="U374" t="s">
        <v>79</v>
      </c>
      <c r="V374" t="s">
        <v>72</v>
      </c>
      <c r="W374" t="str">
        <f t="shared" ca="1" si="17"/>
        <v>Dormant</v>
      </c>
    </row>
    <row r="375" spans="1:23" x14ac:dyDescent="0.2">
      <c r="A375">
        <v>1032</v>
      </c>
      <c r="B375" t="s">
        <v>3138</v>
      </c>
      <c r="C375" t="s">
        <v>3139</v>
      </c>
      <c r="D375" s="1" t="s">
        <v>233</v>
      </c>
      <c r="E375" t="s">
        <v>3140</v>
      </c>
      <c r="F375" t="s">
        <v>371</v>
      </c>
      <c r="G375" s="4" t="s">
        <v>5424</v>
      </c>
      <c r="H375" t="s">
        <v>3141</v>
      </c>
      <c r="I375" t="s">
        <v>201</v>
      </c>
      <c r="J375" s="4" t="s">
        <v>5417</v>
      </c>
      <c r="K375" t="s">
        <v>2489</v>
      </c>
      <c r="L375">
        <v>3</v>
      </c>
      <c r="M375" t="s">
        <v>671</v>
      </c>
      <c r="N375" t="s">
        <v>993</v>
      </c>
      <c r="O375" t="s">
        <v>993</v>
      </c>
      <c r="P375" s="2" t="str">
        <f t="shared" si="15"/>
        <v>21/03/2025 to 26/03/2025</v>
      </c>
      <c r="Q375" s="3">
        <v>45736</v>
      </c>
      <c r="R375" t="str">
        <f t="shared" si="16"/>
        <v>Late</v>
      </c>
      <c r="S375" t="s">
        <v>235</v>
      </c>
      <c r="T375">
        <v>25.5</v>
      </c>
      <c r="U375" t="s">
        <v>79</v>
      </c>
      <c r="V375" t="s">
        <v>66</v>
      </c>
      <c r="W375" t="str">
        <f t="shared" ca="1" si="17"/>
        <v>Dormant</v>
      </c>
    </row>
    <row r="376" spans="1:23" x14ac:dyDescent="0.2">
      <c r="A376">
        <v>1033</v>
      </c>
      <c r="B376" t="s">
        <v>3138</v>
      </c>
      <c r="C376" t="s">
        <v>3142</v>
      </c>
      <c r="D376" s="1" t="s">
        <v>233</v>
      </c>
      <c r="E376" t="s">
        <v>3140</v>
      </c>
      <c r="F376" t="s">
        <v>371</v>
      </c>
      <c r="G376" s="4" t="s">
        <v>5427</v>
      </c>
      <c r="H376" t="s">
        <v>3141</v>
      </c>
      <c r="I376" t="s">
        <v>201</v>
      </c>
      <c r="J376" s="4" t="s">
        <v>74</v>
      </c>
      <c r="K376" t="s">
        <v>3143</v>
      </c>
      <c r="L376">
        <v>3</v>
      </c>
      <c r="M376" t="s">
        <v>671</v>
      </c>
      <c r="N376" t="s">
        <v>671</v>
      </c>
      <c r="O376" t="s">
        <v>993</v>
      </c>
      <c r="P376" s="2" t="str">
        <f t="shared" si="15"/>
        <v>21/03/2025 to 26/03/2025</v>
      </c>
      <c r="Q376" s="3">
        <v>45740</v>
      </c>
      <c r="R376" t="str">
        <f t="shared" si="16"/>
        <v>On-Time</v>
      </c>
      <c r="S376" t="s">
        <v>936</v>
      </c>
      <c r="T376">
        <v>28</v>
      </c>
      <c r="U376" t="s">
        <v>65</v>
      </c>
      <c r="V376" t="s">
        <v>66</v>
      </c>
      <c r="W376" t="str">
        <f t="shared" ca="1" si="17"/>
        <v>Dormant</v>
      </c>
    </row>
    <row r="377" spans="1:23" x14ac:dyDescent="0.2">
      <c r="A377">
        <v>1125</v>
      </c>
      <c r="B377" t="s">
        <v>3367</v>
      </c>
      <c r="C377" t="s">
        <v>3368</v>
      </c>
      <c r="D377" s="1" t="s">
        <v>233</v>
      </c>
      <c r="E377" t="s">
        <v>3369</v>
      </c>
      <c r="F377" t="s">
        <v>910</v>
      </c>
      <c r="G377" s="4" t="s">
        <v>5422</v>
      </c>
      <c r="H377" t="s">
        <v>3370</v>
      </c>
      <c r="I377" t="s">
        <v>112</v>
      </c>
      <c r="J377" s="4" t="s">
        <v>5417</v>
      </c>
      <c r="K377" t="s">
        <v>12</v>
      </c>
      <c r="L377">
        <v>1</v>
      </c>
      <c r="M377" t="s">
        <v>671</v>
      </c>
      <c r="N377" t="s">
        <v>993</v>
      </c>
      <c r="O377" t="s">
        <v>993</v>
      </c>
      <c r="P377" s="2" t="str">
        <f t="shared" si="15"/>
        <v>21/03/2025 to 26/03/2025</v>
      </c>
      <c r="Q377" s="3">
        <v>45737</v>
      </c>
      <c r="R377" t="str">
        <f t="shared" si="16"/>
        <v>On-Time</v>
      </c>
      <c r="S377" t="s">
        <v>928</v>
      </c>
      <c r="T377">
        <v>9.5</v>
      </c>
      <c r="U377" t="s">
        <v>79</v>
      </c>
      <c r="V377" t="s">
        <v>66</v>
      </c>
      <c r="W377" t="str">
        <f t="shared" ca="1" si="17"/>
        <v>Dormant</v>
      </c>
    </row>
    <row r="378" spans="1:23" x14ac:dyDescent="0.2">
      <c r="A378">
        <v>1126</v>
      </c>
      <c r="B378" t="s">
        <v>3367</v>
      </c>
      <c r="C378" t="s">
        <v>3371</v>
      </c>
      <c r="D378" s="1" t="s">
        <v>233</v>
      </c>
      <c r="E378" t="s">
        <v>3369</v>
      </c>
      <c r="F378" t="s">
        <v>910</v>
      </c>
      <c r="G378" s="4" t="s">
        <v>5427</v>
      </c>
      <c r="H378" t="s">
        <v>3370</v>
      </c>
      <c r="I378" t="s">
        <v>112</v>
      </c>
      <c r="J378" s="4" t="s">
        <v>5417</v>
      </c>
      <c r="K378" t="s">
        <v>520</v>
      </c>
      <c r="L378">
        <v>2</v>
      </c>
      <c r="M378" t="s">
        <v>993</v>
      </c>
      <c r="N378" t="s">
        <v>993</v>
      </c>
      <c r="O378" t="s">
        <v>862</v>
      </c>
      <c r="P378" s="2" t="str">
        <f t="shared" si="15"/>
        <v>24/03/2025 to 27/03/2025</v>
      </c>
      <c r="Q378" s="3">
        <v>45741</v>
      </c>
      <c r="R378" t="str">
        <f t="shared" si="16"/>
        <v>On-Time</v>
      </c>
      <c r="S378" t="s">
        <v>932</v>
      </c>
      <c r="T378">
        <v>17</v>
      </c>
      <c r="U378" t="s">
        <v>79</v>
      </c>
      <c r="V378" t="s">
        <v>66</v>
      </c>
      <c r="W378" t="str">
        <f t="shared" ca="1" si="17"/>
        <v>Dormant</v>
      </c>
    </row>
    <row r="379" spans="1:23" x14ac:dyDescent="0.2">
      <c r="A379">
        <v>1920</v>
      </c>
      <c r="B379" t="s">
        <v>5223</v>
      </c>
      <c r="C379" t="s">
        <v>5224</v>
      </c>
      <c r="D379" s="1" t="s">
        <v>671</v>
      </c>
      <c r="E379" t="s">
        <v>5225</v>
      </c>
      <c r="F379" t="s">
        <v>490</v>
      </c>
      <c r="G379" s="4" t="s">
        <v>5427</v>
      </c>
      <c r="H379" t="s">
        <v>5226</v>
      </c>
      <c r="I379" t="s">
        <v>136</v>
      </c>
      <c r="J379" s="4" t="s">
        <v>74</v>
      </c>
      <c r="K379" t="s">
        <v>5227</v>
      </c>
      <c r="L379">
        <v>4</v>
      </c>
      <c r="M379" t="s">
        <v>671</v>
      </c>
      <c r="N379" t="s">
        <v>671</v>
      </c>
      <c r="O379" t="s">
        <v>862</v>
      </c>
      <c r="P379" s="2" t="str">
        <f t="shared" si="15"/>
        <v>21/03/2025 to 26/03/2025</v>
      </c>
      <c r="Q379" s="3">
        <v>45743</v>
      </c>
      <c r="R379" t="str">
        <f t="shared" si="16"/>
        <v>Late</v>
      </c>
      <c r="S379" t="s">
        <v>1621</v>
      </c>
      <c r="T379">
        <v>34</v>
      </c>
      <c r="U379" t="s">
        <v>65</v>
      </c>
      <c r="V379" t="s">
        <v>80</v>
      </c>
      <c r="W379" t="str">
        <f t="shared" ca="1" si="17"/>
        <v>Dormant</v>
      </c>
    </row>
    <row r="380" spans="1:23" x14ac:dyDescent="0.2">
      <c r="A380">
        <v>1921</v>
      </c>
      <c r="B380" t="s">
        <v>5223</v>
      </c>
      <c r="C380" t="s">
        <v>5228</v>
      </c>
      <c r="D380" s="1" t="s">
        <v>671</v>
      </c>
      <c r="E380" t="s">
        <v>5225</v>
      </c>
      <c r="F380" t="s">
        <v>490</v>
      </c>
      <c r="G380" s="4" t="s">
        <v>38</v>
      </c>
      <c r="H380" t="s">
        <v>5226</v>
      </c>
      <c r="I380" t="s">
        <v>136</v>
      </c>
      <c r="J380" s="4" t="s">
        <v>68</v>
      </c>
      <c r="K380" t="s">
        <v>1255</v>
      </c>
      <c r="L380">
        <v>2</v>
      </c>
      <c r="M380" t="s">
        <v>671</v>
      </c>
      <c r="N380" t="s">
        <v>993</v>
      </c>
      <c r="O380" t="s">
        <v>862</v>
      </c>
      <c r="P380" s="2" t="str">
        <f t="shared" si="15"/>
        <v>21/03/2025 to 26/03/2025</v>
      </c>
      <c r="Q380" s="3">
        <v>45737</v>
      </c>
      <c r="R380" t="str">
        <f t="shared" si="16"/>
        <v>On-Time</v>
      </c>
      <c r="S380" t="s">
        <v>867</v>
      </c>
      <c r="T380">
        <v>16.5</v>
      </c>
      <c r="U380" t="s">
        <v>65</v>
      </c>
      <c r="V380" t="s">
        <v>72</v>
      </c>
      <c r="W380" t="str">
        <f t="shared" ca="1" si="17"/>
        <v>Dormant</v>
      </c>
    </row>
    <row r="381" spans="1:23" x14ac:dyDescent="0.2">
      <c r="A381">
        <v>216</v>
      </c>
      <c r="B381" t="s">
        <v>991</v>
      </c>
      <c r="C381" t="s">
        <v>992</v>
      </c>
      <c r="D381" s="1" t="s">
        <v>993</v>
      </c>
      <c r="E381" t="s">
        <v>994</v>
      </c>
      <c r="F381" t="s">
        <v>995</v>
      </c>
      <c r="G381" s="4" t="s">
        <v>5421</v>
      </c>
      <c r="H381" t="s">
        <v>996</v>
      </c>
      <c r="I381" t="s">
        <v>201</v>
      </c>
      <c r="J381" s="4" t="s">
        <v>60</v>
      </c>
      <c r="K381" t="s">
        <v>18</v>
      </c>
      <c r="L381">
        <v>1</v>
      </c>
      <c r="M381" t="s">
        <v>866</v>
      </c>
      <c r="N381" t="s">
        <v>799</v>
      </c>
      <c r="O381" t="s">
        <v>997</v>
      </c>
      <c r="P381" s="2" t="str">
        <f t="shared" si="15"/>
        <v>25/03/2025 to 28/03/2025</v>
      </c>
      <c r="Q381" s="3">
        <v>45743</v>
      </c>
      <c r="R381" t="str">
        <f t="shared" si="16"/>
        <v>On-Time</v>
      </c>
      <c r="S381" t="s">
        <v>998</v>
      </c>
      <c r="T381">
        <v>8.5</v>
      </c>
      <c r="U381" t="s">
        <v>65</v>
      </c>
      <c r="V381" t="s">
        <v>80</v>
      </c>
      <c r="W381" t="str">
        <f t="shared" ca="1" si="17"/>
        <v>Dormant</v>
      </c>
    </row>
    <row r="382" spans="1:23" x14ac:dyDescent="0.2">
      <c r="A382">
        <v>233</v>
      </c>
      <c r="B382" t="s">
        <v>1054</v>
      </c>
      <c r="C382" t="s">
        <v>1055</v>
      </c>
      <c r="D382" s="1" t="s">
        <v>993</v>
      </c>
      <c r="E382" t="s">
        <v>1056</v>
      </c>
      <c r="F382" t="s">
        <v>546</v>
      </c>
      <c r="G382" s="4" t="s">
        <v>5423</v>
      </c>
      <c r="H382" t="s">
        <v>1057</v>
      </c>
      <c r="I382" t="s">
        <v>93</v>
      </c>
      <c r="J382" s="4" t="s">
        <v>74</v>
      </c>
      <c r="K382" t="s">
        <v>1058</v>
      </c>
      <c r="L382">
        <v>2</v>
      </c>
      <c r="M382" t="s">
        <v>866</v>
      </c>
      <c r="N382" t="s">
        <v>866</v>
      </c>
      <c r="O382" t="s">
        <v>997</v>
      </c>
      <c r="P382" s="2" t="str">
        <f t="shared" si="15"/>
        <v>25/03/2025 to 28/03/2025</v>
      </c>
      <c r="Q382" s="3">
        <v>45744</v>
      </c>
      <c r="R382" t="str">
        <f t="shared" si="16"/>
        <v>On-Time</v>
      </c>
      <c r="S382" t="s">
        <v>1059</v>
      </c>
      <c r="T382">
        <v>22.5</v>
      </c>
      <c r="U382" t="s">
        <v>79</v>
      </c>
      <c r="V382" t="s">
        <v>72</v>
      </c>
      <c r="W382" t="str">
        <f t="shared" ca="1" si="17"/>
        <v>Dormant</v>
      </c>
    </row>
    <row r="383" spans="1:23" x14ac:dyDescent="0.2">
      <c r="A383">
        <v>234</v>
      </c>
      <c r="B383" t="s">
        <v>1054</v>
      </c>
      <c r="C383" t="s">
        <v>1060</v>
      </c>
      <c r="D383" s="1" t="s">
        <v>993</v>
      </c>
      <c r="E383" t="s">
        <v>1056</v>
      </c>
      <c r="F383" t="s">
        <v>546</v>
      </c>
      <c r="G383" s="4" t="s">
        <v>5420</v>
      </c>
      <c r="H383" t="s">
        <v>1057</v>
      </c>
      <c r="I383" t="s">
        <v>93</v>
      </c>
      <c r="J383" s="4" t="s">
        <v>74</v>
      </c>
      <c r="K383" t="s">
        <v>1061</v>
      </c>
      <c r="L383">
        <v>4</v>
      </c>
      <c r="M383" t="s">
        <v>993</v>
      </c>
      <c r="N383" t="s">
        <v>862</v>
      </c>
      <c r="O383" t="s">
        <v>862</v>
      </c>
      <c r="P383" s="2" t="str">
        <f t="shared" si="15"/>
        <v>24/03/2025 to 27/03/2025</v>
      </c>
      <c r="Q383" s="3">
        <v>45741</v>
      </c>
      <c r="R383" t="str">
        <f t="shared" si="16"/>
        <v>On-Time</v>
      </c>
      <c r="S383" t="s">
        <v>932</v>
      </c>
      <c r="T383">
        <v>39.5</v>
      </c>
      <c r="U383" t="s">
        <v>79</v>
      </c>
      <c r="V383" t="s">
        <v>72</v>
      </c>
      <c r="W383" t="str">
        <f t="shared" ca="1" si="17"/>
        <v>Dormant</v>
      </c>
    </row>
    <row r="384" spans="1:23" x14ac:dyDescent="0.2">
      <c r="A384">
        <v>486</v>
      </c>
      <c r="B384" t="s">
        <v>1782</v>
      </c>
      <c r="C384" t="s">
        <v>1783</v>
      </c>
      <c r="D384" s="1" t="s">
        <v>993</v>
      </c>
      <c r="E384" t="s">
        <v>1784</v>
      </c>
      <c r="F384" t="s">
        <v>1785</v>
      </c>
      <c r="G384" s="4" t="s">
        <v>38</v>
      </c>
      <c r="H384" t="s">
        <v>1786</v>
      </c>
      <c r="I384" t="s">
        <v>93</v>
      </c>
      <c r="J384" s="4" t="s">
        <v>60</v>
      </c>
      <c r="K384" t="s">
        <v>26</v>
      </c>
      <c r="L384">
        <v>1</v>
      </c>
      <c r="M384" t="s">
        <v>866</v>
      </c>
      <c r="N384" t="s">
        <v>799</v>
      </c>
      <c r="O384" t="s">
        <v>997</v>
      </c>
      <c r="P384" s="2" t="str">
        <f t="shared" si="15"/>
        <v>25/03/2025 to 28/03/2025</v>
      </c>
      <c r="Q384" s="3">
        <v>45745</v>
      </c>
      <c r="R384" t="str">
        <f t="shared" si="16"/>
        <v>Late</v>
      </c>
      <c r="S384" t="s">
        <v>979</v>
      </c>
      <c r="T384">
        <v>9</v>
      </c>
      <c r="U384" t="s">
        <v>79</v>
      </c>
      <c r="V384" t="s">
        <v>72</v>
      </c>
      <c r="W384" t="str">
        <f t="shared" ca="1" si="17"/>
        <v>Dormant</v>
      </c>
    </row>
    <row r="385" spans="1:23" x14ac:dyDescent="0.2">
      <c r="A385">
        <v>487</v>
      </c>
      <c r="B385" t="s">
        <v>1782</v>
      </c>
      <c r="C385" t="s">
        <v>1787</v>
      </c>
      <c r="D385" s="1" t="s">
        <v>993</v>
      </c>
      <c r="E385" t="s">
        <v>1784</v>
      </c>
      <c r="F385" t="s">
        <v>1785</v>
      </c>
      <c r="G385" s="4" t="s">
        <v>5425</v>
      </c>
      <c r="H385" t="s">
        <v>1786</v>
      </c>
      <c r="I385" t="s">
        <v>93</v>
      </c>
      <c r="J385" s="4" t="s">
        <v>5417</v>
      </c>
      <c r="K385" t="s">
        <v>1788</v>
      </c>
      <c r="L385">
        <v>2</v>
      </c>
      <c r="M385" t="s">
        <v>862</v>
      </c>
      <c r="N385" t="s">
        <v>997</v>
      </c>
      <c r="O385" t="s">
        <v>866</v>
      </c>
      <c r="P385" s="2" t="str">
        <f t="shared" si="15"/>
        <v>25/03/2025 to 28/03/2025</v>
      </c>
      <c r="Q385" s="3">
        <v>45740</v>
      </c>
      <c r="R385" t="str">
        <f t="shared" si="16"/>
        <v>Late</v>
      </c>
      <c r="S385" t="s">
        <v>932</v>
      </c>
      <c r="T385">
        <v>17</v>
      </c>
      <c r="U385" t="s">
        <v>65</v>
      </c>
      <c r="V385" t="s">
        <v>66</v>
      </c>
      <c r="W385" t="str">
        <f t="shared" ca="1" si="17"/>
        <v>Dormant</v>
      </c>
    </row>
    <row r="386" spans="1:23" x14ac:dyDescent="0.2">
      <c r="A386">
        <v>488</v>
      </c>
      <c r="B386" t="s">
        <v>1782</v>
      </c>
      <c r="C386" t="s">
        <v>1789</v>
      </c>
      <c r="D386" s="1" t="s">
        <v>993</v>
      </c>
      <c r="E386" t="s">
        <v>1784</v>
      </c>
      <c r="F386" t="s">
        <v>1785</v>
      </c>
      <c r="G386" s="4" t="s">
        <v>5427</v>
      </c>
      <c r="H386" t="s">
        <v>1786</v>
      </c>
      <c r="I386" t="s">
        <v>93</v>
      </c>
      <c r="J386" s="4" t="s">
        <v>74</v>
      </c>
      <c r="K386" t="s">
        <v>304</v>
      </c>
      <c r="L386">
        <v>2</v>
      </c>
      <c r="M386" t="s">
        <v>866</v>
      </c>
      <c r="N386" t="s">
        <v>997</v>
      </c>
      <c r="O386" t="s">
        <v>866</v>
      </c>
      <c r="P386" s="2" t="str">
        <f t="shared" ref="P386:P449" si="18">IF(ISBLANK(M386), "", TEXT(WORKDAY(M386, 7), "dd/mm/yyyy") &amp; " to " &amp; TEXT(WORKDAY(M386, 10), "dd/mm/yyyy"))</f>
        <v>25/03/2025 to 28/03/2025</v>
      </c>
      <c r="Q386" s="3">
        <v>45742</v>
      </c>
      <c r="R386" t="str">
        <f t="shared" ref="R386:R449" si="19">IF(Q386="","In Progress",
IF(AND(--Q386&gt;=DATEVALUE(LEFT(P386,10)),
       --Q386&lt;=DATEVALUE(TRIM(MID(P386,FIND("to",P386)+3,10)))),
   "On-Time","Late"))</f>
        <v>On-Time</v>
      </c>
      <c r="S386" t="s">
        <v>998</v>
      </c>
      <c r="T386">
        <v>21</v>
      </c>
      <c r="U386" t="s">
        <v>65</v>
      </c>
      <c r="V386" t="s">
        <v>72</v>
      </c>
      <c r="W386" t="str">
        <f t="shared" ca="1" si="17"/>
        <v>Dormant</v>
      </c>
    </row>
    <row r="387" spans="1:23" x14ac:dyDescent="0.2">
      <c r="A387">
        <v>489</v>
      </c>
      <c r="B387" t="s">
        <v>1782</v>
      </c>
      <c r="C387" t="s">
        <v>1790</v>
      </c>
      <c r="D387" s="1" t="s">
        <v>993</v>
      </c>
      <c r="E387" t="s">
        <v>1784</v>
      </c>
      <c r="F387" t="s">
        <v>1785</v>
      </c>
      <c r="G387" s="4" t="s">
        <v>5421</v>
      </c>
      <c r="H387" t="s">
        <v>1786</v>
      </c>
      <c r="I387" t="s">
        <v>93</v>
      </c>
      <c r="J387" s="4" t="s">
        <v>68</v>
      </c>
      <c r="K387" t="s">
        <v>1791</v>
      </c>
      <c r="L387">
        <v>4</v>
      </c>
      <c r="M387" t="s">
        <v>862</v>
      </c>
      <c r="N387" t="s">
        <v>997</v>
      </c>
      <c r="O387" t="s">
        <v>862</v>
      </c>
      <c r="P387" s="2" t="str">
        <f t="shared" si="18"/>
        <v>25/03/2025 to 28/03/2025</v>
      </c>
      <c r="Q387" s="3">
        <v>45740</v>
      </c>
      <c r="R387" t="str">
        <f t="shared" si="19"/>
        <v>Late</v>
      </c>
      <c r="S387" t="s">
        <v>932</v>
      </c>
      <c r="T387">
        <v>35.5</v>
      </c>
      <c r="U387" t="s">
        <v>65</v>
      </c>
      <c r="V387" t="s">
        <v>72</v>
      </c>
      <c r="W387" t="str">
        <f t="shared" ref="W387:W450" ca="1" si="20">IF(D387="","",
IF(TODAY()-D387&lt;=120,"Active",
IF(TODAY()-D387&lt;=210,"At Risk",
IF(TODAY()-D387&lt;=395,"Dormant",
IF(TODAY()-D387&lt;=730,"Inactive","Archived")))))</f>
        <v>Dormant</v>
      </c>
    </row>
    <row r="388" spans="1:23" x14ac:dyDescent="0.2">
      <c r="A388">
        <v>490</v>
      </c>
      <c r="B388" t="s">
        <v>1782</v>
      </c>
      <c r="C388" t="s">
        <v>1792</v>
      </c>
      <c r="D388" s="1" t="s">
        <v>993</v>
      </c>
      <c r="E388" t="s">
        <v>1784</v>
      </c>
      <c r="F388" t="s">
        <v>1785</v>
      </c>
      <c r="G388" s="4" t="s">
        <v>5423</v>
      </c>
      <c r="H388" t="s">
        <v>1786</v>
      </c>
      <c r="I388" t="s">
        <v>93</v>
      </c>
      <c r="J388" s="4" t="s">
        <v>74</v>
      </c>
      <c r="K388" t="s">
        <v>28</v>
      </c>
      <c r="L388">
        <v>1</v>
      </c>
      <c r="M388" t="s">
        <v>866</v>
      </c>
      <c r="N388" t="s">
        <v>799</v>
      </c>
      <c r="O388" t="s">
        <v>799</v>
      </c>
      <c r="P388" s="2" t="str">
        <f t="shared" si="18"/>
        <v>25/03/2025 to 28/03/2025</v>
      </c>
      <c r="Q388" s="3">
        <v>45741</v>
      </c>
      <c r="R388" t="str">
        <f t="shared" si="19"/>
        <v>On-Time</v>
      </c>
      <c r="S388" t="s">
        <v>932</v>
      </c>
      <c r="T388">
        <v>9</v>
      </c>
      <c r="U388" t="s">
        <v>79</v>
      </c>
      <c r="V388" t="s">
        <v>72</v>
      </c>
      <c r="W388" t="str">
        <f t="shared" ca="1" si="20"/>
        <v>Dormant</v>
      </c>
    </row>
    <row r="389" spans="1:23" x14ac:dyDescent="0.2">
      <c r="A389">
        <v>840</v>
      </c>
      <c r="B389" t="s">
        <v>2669</v>
      </c>
      <c r="C389" t="s">
        <v>2670</v>
      </c>
      <c r="D389" s="1" t="s">
        <v>993</v>
      </c>
      <c r="E389" t="s">
        <v>2671</v>
      </c>
      <c r="F389" t="s">
        <v>511</v>
      </c>
      <c r="G389" s="4" t="s">
        <v>5420</v>
      </c>
      <c r="H389" t="s">
        <v>1155</v>
      </c>
      <c r="I389" t="s">
        <v>112</v>
      </c>
      <c r="J389" s="4" t="s">
        <v>74</v>
      </c>
      <c r="K389" t="s">
        <v>2672</v>
      </c>
      <c r="L389">
        <v>3</v>
      </c>
      <c r="M389" t="s">
        <v>993</v>
      </c>
      <c r="N389" t="s">
        <v>993</v>
      </c>
      <c r="O389" t="s">
        <v>862</v>
      </c>
      <c r="P389" s="2" t="str">
        <f t="shared" si="18"/>
        <v>24/03/2025 to 27/03/2025</v>
      </c>
      <c r="Q389" s="3">
        <v>45737</v>
      </c>
      <c r="R389" t="str">
        <f t="shared" si="19"/>
        <v>Late</v>
      </c>
      <c r="S389" t="s">
        <v>867</v>
      </c>
      <c r="T389">
        <v>28.5</v>
      </c>
      <c r="U389" t="s">
        <v>65</v>
      </c>
      <c r="V389" t="s">
        <v>72</v>
      </c>
      <c r="W389" t="str">
        <f t="shared" ca="1" si="20"/>
        <v>Dormant</v>
      </c>
    </row>
    <row r="390" spans="1:23" x14ac:dyDescent="0.2">
      <c r="A390">
        <v>841</v>
      </c>
      <c r="B390" t="s">
        <v>2669</v>
      </c>
      <c r="C390" t="s">
        <v>2673</v>
      </c>
      <c r="D390" s="1" t="s">
        <v>993</v>
      </c>
      <c r="E390" t="s">
        <v>2671</v>
      </c>
      <c r="F390" t="s">
        <v>511</v>
      </c>
      <c r="G390" s="4" t="s">
        <v>5428</v>
      </c>
      <c r="H390" t="s">
        <v>1155</v>
      </c>
      <c r="I390" t="s">
        <v>112</v>
      </c>
      <c r="J390" s="4" t="s">
        <v>68</v>
      </c>
      <c r="K390" t="s">
        <v>2674</v>
      </c>
      <c r="L390">
        <v>4</v>
      </c>
      <c r="M390" t="s">
        <v>866</v>
      </c>
      <c r="N390" t="s">
        <v>799</v>
      </c>
      <c r="O390" t="s">
        <v>799</v>
      </c>
      <c r="P390" s="2" t="str">
        <f t="shared" si="18"/>
        <v>25/03/2025 to 28/03/2025</v>
      </c>
      <c r="Q390" s="3">
        <v>45741</v>
      </c>
      <c r="R390" t="str">
        <f t="shared" si="19"/>
        <v>On-Time</v>
      </c>
      <c r="S390" t="s">
        <v>976</v>
      </c>
      <c r="T390">
        <v>34.5</v>
      </c>
      <c r="U390" t="s">
        <v>79</v>
      </c>
      <c r="V390" t="s">
        <v>80</v>
      </c>
      <c r="W390" t="str">
        <f t="shared" ca="1" si="20"/>
        <v>Dormant</v>
      </c>
    </row>
    <row r="391" spans="1:23" x14ac:dyDescent="0.2">
      <c r="A391">
        <v>842</v>
      </c>
      <c r="B391" t="s">
        <v>2669</v>
      </c>
      <c r="C391" t="s">
        <v>2675</v>
      </c>
      <c r="D391" s="1" t="s">
        <v>993</v>
      </c>
      <c r="E391" t="s">
        <v>2671</v>
      </c>
      <c r="F391" t="s">
        <v>511</v>
      </c>
      <c r="G391" s="4" t="s">
        <v>5421</v>
      </c>
      <c r="H391" t="s">
        <v>1155</v>
      </c>
      <c r="I391" t="s">
        <v>112</v>
      </c>
      <c r="J391" s="4" t="s">
        <v>74</v>
      </c>
      <c r="K391" t="s">
        <v>2676</v>
      </c>
      <c r="L391">
        <v>4</v>
      </c>
      <c r="M391" t="s">
        <v>862</v>
      </c>
      <c r="N391" t="s">
        <v>862</v>
      </c>
      <c r="O391" t="s">
        <v>997</v>
      </c>
      <c r="P391" s="2" t="str">
        <f t="shared" si="18"/>
        <v>25/03/2025 to 28/03/2025</v>
      </c>
      <c r="Q391" s="3">
        <v>45741</v>
      </c>
      <c r="R391" t="str">
        <f t="shared" si="19"/>
        <v>On-Time</v>
      </c>
      <c r="S391" t="s">
        <v>932</v>
      </c>
      <c r="T391">
        <v>37.5</v>
      </c>
      <c r="U391" t="s">
        <v>65</v>
      </c>
      <c r="V391" t="s">
        <v>66</v>
      </c>
      <c r="W391" t="str">
        <f t="shared" ca="1" si="20"/>
        <v>Dormant</v>
      </c>
    </row>
    <row r="392" spans="1:23" x14ac:dyDescent="0.2">
      <c r="A392">
        <v>843</v>
      </c>
      <c r="B392" t="s">
        <v>2669</v>
      </c>
      <c r="C392" t="s">
        <v>2677</v>
      </c>
      <c r="D392" s="1" t="s">
        <v>993</v>
      </c>
      <c r="E392" t="s">
        <v>2671</v>
      </c>
      <c r="F392" t="s">
        <v>511</v>
      </c>
      <c r="G392" s="4" t="s">
        <v>5423</v>
      </c>
      <c r="H392" t="s">
        <v>1155</v>
      </c>
      <c r="I392" t="s">
        <v>112</v>
      </c>
      <c r="J392" s="4" t="s">
        <v>74</v>
      </c>
      <c r="K392" t="s">
        <v>2678</v>
      </c>
      <c r="L392">
        <v>4</v>
      </c>
      <c r="M392" t="s">
        <v>866</v>
      </c>
      <c r="N392" t="s">
        <v>799</v>
      </c>
      <c r="O392" t="s">
        <v>799</v>
      </c>
      <c r="P392" s="2" t="str">
        <f t="shared" si="18"/>
        <v>25/03/2025 to 28/03/2025</v>
      </c>
      <c r="Q392" s="3">
        <v>45740</v>
      </c>
      <c r="R392" t="str">
        <f t="shared" si="19"/>
        <v>Late</v>
      </c>
      <c r="S392" t="s">
        <v>868</v>
      </c>
      <c r="T392">
        <v>40</v>
      </c>
      <c r="U392" t="s">
        <v>65</v>
      </c>
      <c r="V392" t="s">
        <v>72</v>
      </c>
      <c r="W392" t="str">
        <f t="shared" ca="1" si="20"/>
        <v>Dormant</v>
      </c>
    </row>
    <row r="393" spans="1:23" x14ac:dyDescent="0.2">
      <c r="A393">
        <v>844</v>
      </c>
      <c r="B393" t="s">
        <v>2669</v>
      </c>
      <c r="C393" t="s">
        <v>2679</v>
      </c>
      <c r="D393" s="1" t="s">
        <v>993</v>
      </c>
      <c r="E393" t="s">
        <v>2671</v>
      </c>
      <c r="F393" t="s">
        <v>511</v>
      </c>
      <c r="G393" s="4" t="s">
        <v>5419</v>
      </c>
      <c r="H393" t="s">
        <v>1155</v>
      </c>
      <c r="I393" t="s">
        <v>112</v>
      </c>
      <c r="J393" s="4" t="s">
        <v>74</v>
      </c>
      <c r="K393" t="s">
        <v>2680</v>
      </c>
      <c r="L393">
        <v>4</v>
      </c>
      <c r="M393" t="s">
        <v>993</v>
      </c>
      <c r="N393" t="s">
        <v>862</v>
      </c>
      <c r="O393" t="s">
        <v>862</v>
      </c>
      <c r="P393" s="2" t="str">
        <f t="shared" si="18"/>
        <v>24/03/2025 to 27/03/2025</v>
      </c>
      <c r="Q393" s="3">
        <v>45739</v>
      </c>
      <c r="R393" t="str">
        <f t="shared" si="19"/>
        <v>Late</v>
      </c>
      <c r="S393" t="s">
        <v>932</v>
      </c>
      <c r="T393">
        <v>37</v>
      </c>
      <c r="U393" t="s">
        <v>65</v>
      </c>
      <c r="V393" t="s">
        <v>66</v>
      </c>
      <c r="W393" t="str">
        <f t="shared" ca="1" si="20"/>
        <v>Dormant</v>
      </c>
    </row>
    <row r="394" spans="1:23" x14ac:dyDescent="0.2">
      <c r="A394">
        <v>1779</v>
      </c>
      <c r="B394" t="s">
        <v>4909</v>
      </c>
      <c r="C394" t="s">
        <v>4910</v>
      </c>
      <c r="D394" s="1" t="s">
        <v>993</v>
      </c>
      <c r="E394" t="s">
        <v>4911</v>
      </c>
      <c r="F394" t="s">
        <v>286</v>
      </c>
      <c r="G394" s="4" t="s">
        <v>5421</v>
      </c>
      <c r="H394" t="s">
        <v>4031</v>
      </c>
      <c r="I394" t="s">
        <v>201</v>
      </c>
      <c r="J394" s="4" t="s">
        <v>5417</v>
      </c>
      <c r="K394" t="s">
        <v>4912</v>
      </c>
      <c r="L394">
        <v>4</v>
      </c>
      <c r="M394" t="s">
        <v>993</v>
      </c>
      <c r="N394" t="s">
        <v>993</v>
      </c>
      <c r="O394" t="s">
        <v>866</v>
      </c>
      <c r="P394" s="2" t="str">
        <f t="shared" si="18"/>
        <v>24/03/2025 to 27/03/2025</v>
      </c>
      <c r="Q394" s="3">
        <v>45740</v>
      </c>
      <c r="R394" t="str">
        <f t="shared" si="19"/>
        <v>On-Time</v>
      </c>
      <c r="S394" t="s">
        <v>936</v>
      </c>
      <c r="T394">
        <v>34.5</v>
      </c>
      <c r="U394" t="s">
        <v>79</v>
      </c>
      <c r="V394" t="s">
        <v>72</v>
      </c>
      <c r="W394" t="str">
        <f t="shared" ca="1" si="20"/>
        <v>Dormant</v>
      </c>
    </row>
    <row r="395" spans="1:23" x14ac:dyDescent="0.2">
      <c r="A395">
        <v>1780</v>
      </c>
      <c r="B395" t="s">
        <v>4909</v>
      </c>
      <c r="C395" t="s">
        <v>4913</v>
      </c>
      <c r="D395" s="1" t="s">
        <v>993</v>
      </c>
      <c r="E395" t="s">
        <v>4911</v>
      </c>
      <c r="F395" t="s">
        <v>286</v>
      </c>
      <c r="G395" s="4" t="s">
        <v>5422</v>
      </c>
      <c r="H395" t="s">
        <v>4031</v>
      </c>
      <c r="I395" t="s">
        <v>201</v>
      </c>
      <c r="J395" s="4" t="s">
        <v>5417</v>
      </c>
      <c r="K395" t="s">
        <v>22</v>
      </c>
      <c r="L395">
        <v>1</v>
      </c>
      <c r="M395" t="s">
        <v>862</v>
      </c>
      <c r="N395" t="s">
        <v>862</v>
      </c>
      <c r="O395" t="s">
        <v>997</v>
      </c>
      <c r="P395" s="2" t="str">
        <f t="shared" si="18"/>
        <v>25/03/2025 to 28/03/2025</v>
      </c>
      <c r="Q395" s="3">
        <v>45739</v>
      </c>
      <c r="R395" t="str">
        <f t="shared" si="19"/>
        <v>Late</v>
      </c>
      <c r="S395" t="s">
        <v>932</v>
      </c>
      <c r="T395">
        <v>8</v>
      </c>
      <c r="U395" t="s">
        <v>79</v>
      </c>
      <c r="V395" t="s">
        <v>66</v>
      </c>
      <c r="W395" t="str">
        <f t="shared" ca="1" si="20"/>
        <v>Dormant</v>
      </c>
    </row>
    <row r="396" spans="1:23" x14ac:dyDescent="0.2">
      <c r="A396">
        <v>179</v>
      </c>
      <c r="B396" t="s">
        <v>860</v>
      </c>
      <c r="C396" t="s">
        <v>861</v>
      </c>
      <c r="D396" s="1" t="s">
        <v>862</v>
      </c>
      <c r="E396" t="s">
        <v>863</v>
      </c>
      <c r="F396" t="s">
        <v>490</v>
      </c>
      <c r="G396" s="4" t="s">
        <v>5422</v>
      </c>
      <c r="H396" t="s">
        <v>864</v>
      </c>
      <c r="I396" t="s">
        <v>112</v>
      </c>
      <c r="J396" s="4" t="s">
        <v>74</v>
      </c>
      <c r="K396" t="s">
        <v>865</v>
      </c>
      <c r="L396">
        <v>3</v>
      </c>
      <c r="M396" t="s">
        <v>866</v>
      </c>
      <c r="N396" t="s">
        <v>866</v>
      </c>
      <c r="O396" t="s">
        <v>866</v>
      </c>
      <c r="P396" s="2" t="str">
        <f t="shared" si="18"/>
        <v>25/03/2025 to 28/03/2025</v>
      </c>
      <c r="Q396" s="3">
        <v>45738</v>
      </c>
      <c r="R396" t="str">
        <f t="shared" si="19"/>
        <v>Late</v>
      </c>
      <c r="S396" t="s">
        <v>868</v>
      </c>
      <c r="T396">
        <v>29.5</v>
      </c>
      <c r="U396" t="s">
        <v>79</v>
      </c>
      <c r="V396" t="s">
        <v>66</v>
      </c>
      <c r="W396" t="str">
        <f t="shared" ca="1" si="20"/>
        <v>Dormant</v>
      </c>
    </row>
    <row r="397" spans="1:23" x14ac:dyDescent="0.2">
      <c r="A397">
        <v>1104</v>
      </c>
      <c r="B397" t="s">
        <v>3312</v>
      </c>
      <c r="C397" t="s">
        <v>3313</v>
      </c>
      <c r="D397" s="1" t="s">
        <v>862</v>
      </c>
      <c r="E397" t="s">
        <v>3314</v>
      </c>
      <c r="F397" t="s">
        <v>1658</v>
      </c>
      <c r="G397" s="4" t="s">
        <v>5428</v>
      </c>
      <c r="H397" t="s">
        <v>3315</v>
      </c>
      <c r="I397" t="s">
        <v>93</v>
      </c>
      <c r="J397" s="4" t="s">
        <v>68</v>
      </c>
      <c r="K397" t="s">
        <v>20</v>
      </c>
      <c r="L397">
        <v>1</v>
      </c>
      <c r="M397" t="s">
        <v>997</v>
      </c>
      <c r="N397" t="s">
        <v>997</v>
      </c>
      <c r="O397" t="s">
        <v>799</v>
      </c>
      <c r="P397" s="2" t="str">
        <f t="shared" si="18"/>
        <v>25/03/2025 to 28/03/2025</v>
      </c>
      <c r="Q397" s="3">
        <v>45742</v>
      </c>
      <c r="R397" t="str">
        <f t="shared" si="19"/>
        <v>On-Time</v>
      </c>
      <c r="S397" t="s">
        <v>936</v>
      </c>
      <c r="T397">
        <v>10.5</v>
      </c>
      <c r="U397" t="s">
        <v>65</v>
      </c>
      <c r="V397" t="s">
        <v>80</v>
      </c>
      <c r="W397" t="str">
        <f t="shared" ca="1" si="20"/>
        <v>Dormant</v>
      </c>
    </row>
    <row r="398" spans="1:23" x14ac:dyDescent="0.2">
      <c r="A398">
        <v>1743</v>
      </c>
      <c r="B398" t="s">
        <v>4833</v>
      </c>
      <c r="C398" t="s">
        <v>4834</v>
      </c>
      <c r="D398" s="1" t="s">
        <v>862</v>
      </c>
      <c r="E398" t="s">
        <v>4835</v>
      </c>
      <c r="F398" t="s">
        <v>371</v>
      </c>
      <c r="G398" s="4" t="s">
        <v>5420</v>
      </c>
      <c r="H398" t="s">
        <v>2096</v>
      </c>
      <c r="I398" t="s">
        <v>59</v>
      </c>
      <c r="J398" s="4" t="s">
        <v>5417</v>
      </c>
      <c r="K398" t="s">
        <v>4836</v>
      </c>
      <c r="L398">
        <v>4</v>
      </c>
      <c r="M398" t="s">
        <v>997</v>
      </c>
      <c r="N398" t="s">
        <v>1039</v>
      </c>
      <c r="O398" t="s">
        <v>997</v>
      </c>
      <c r="P398" s="2" t="str">
        <f t="shared" si="18"/>
        <v>25/03/2025 to 28/03/2025</v>
      </c>
      <c r="Q398" s="3">
        <v>45744</v>
      </c>
      <c r="R398" t="str">
        <f t="shared" si="19"/>
        <v>On-Time</v>
      </c>
      <c r="S398" t="s">
        <v>1621</v>
      </c>
      <c r="T398">
        <v>39</v>
      </c>
      <c r="U398" t="s">
        <v>65</v>
      </c>
      <c r="V398" t="s">
        <v>72</v>
      </c>
      <c r="W398" t="str">
        <f t="shared" ca="1" si="20"/>
        <v>Dormant</v>
      </c>
    </row>
    <row r="399" spans="1:23" x14ac:dyDescent="0.2">
      <c r="A399">
        <v>464</v>
      </c>
      <c r="B399" t="s">
        <v>1715</v>
      </c>
      <c r="C399" t="s">
        <v>1716</v>
      </c>
      <c r="D399" s="1" t="s">
        <v>866</v>
      </c>
      <c r="E399" t="s">
        <v>1717</v>
      </c>
      <c r="F399" t="s">
        <v>303</v>
      </c>
      <c r="G399" s="4" t="s">
        <v>5418</v>
      </c>
      <c r="H399" t="s">
        <v>1718</v>
      </c>
      <c r="I399" t="s">
        <v>201</v>
      </c>
      <c r="J399" s="4" t="s">
        <v>60</v>
      </c>
      <c r="K399" t="s">
        <v>1719</v>
      </c>
      <c r="L399">
        <v>2</v>
      </c>
      <c r="M399" t="s">
        <v>997</v>
      </c>
      <c r="N399" t="s">
        <v>1039</v>
      </c>
      <c r="O399" t="s">
        <v>799</v>
      </c>
      <c r="P399" s="2" t="str">
        <f t="shared" si="18"/>
        <v>25/03/2025 to 28/03/2025</v>
      </c>
      <c r="Q399" s="3">
        <v>45740</v>
      </c>
      <c r="R399" t="str">
        <f t="shared" si="19"/>
        <v>Late</v>
      </c>
      <c r="S399" t="s">
        <v>868</v>
      </c>
      <c r="T399">
        <v>21</v>
      </c>
      <c r="U399" t="s">
        <v>79</v>
      </c>
      <c r="V399" t="s">
        <v>72</v>
      </c>
      <c r="W399" t="str">
        <f t="shared" ca="1" si="20"/>
        <v>Dormant</v>
      </c>
    </row>
    <row r="400" spans="1:23" x14ac:dyDescent="0.2">
      <c r="A400">
        <v>944</v>
      </c>
      <c r="B400" t="s">
        <v>2927</v>
      </c>
      <c r="C400" t="s">
        <v>2928</v>
      </c>
      <c r="D400" s="1" t="s">
        <v>866</v>
      </c>
      <c r="E400" t="s">
        <v>2929</v>
      </c>
      <c r="F400" t="s">
        <v>57</v>
      </c>
      <c r="G400" s="4" t="s">
        <v>5420</v>
      </c>
      <c r="H400" t="s">
        <v>2930</v>
      </c>
      <c r="I400" t="s">
        <v>112</v>
      </c>
      <c r="J400" s="4" t="s">
        <v>60</v>
      </c>
      <c r="K400" t="s">
        <v>2931</v>
      </c>
      <c r="L400">
        <v>3</v>
      </c>
      <c r="M400" t="s">
        <v>866</v>
      </c>
      <c r="N400" t="s">
        <v>866</v>
      </c>
      <c r="O400" t="s">
        <v>997</v>
      </c>
      <c r="P400" s="2" t="str">
        <f t="shared" si="18"/>
        <v>25/03/2025 to 28/03/2025</v>
      </c>
      <c r="Q400" s="3">
        <v>45742</v>
      </c>
      <c r="R400" t="str">
        <f t="shared" si="19"/>
        <v>On-Time</v>
      </c>
      <c r="S400" t="s">
        <v>936</v>
      </c>
      <c r="T400">
        <v>26.5</v>
      </c>
      <c r="U400" t="s">
        <v>65</v>
      </c>
      <c r="V400" t="s">
        <v>80</v>
      </c>
      <c r="W400" t="str">
        <f t="shared" ca="1" si="20"/>
        <v>Dormant</v>
      </c>
    </row>
    <row r="401" spans="1:23" x14ac:dyDescent="0.2">
      <c r="A401">
        <v>945</v>
      </c>
      <c r="B401" t="s">
        <v>2927</v>
      </c>
      <c r="C401" t="s">
        <v>2932</v>
      </c>
      <c r="D401" s="1" t="s">
        <v>866</v>
      </c>
      <c r="E401" t="s">
        <v>2929</v>
      </c>
      <c r="F401" t="s">
        <v>57</v>
      </c>
      <c r="G401" s="4" t="s">
        <v>5426</v>
      </c>
      <c r="H401" t="s">
        <v>2930</v>
      </c>
      <c r="I401" t="s">
        <v>112</v>
      </c>
      <c r="J401" s="4" t="s">
        <v>60</v>
      </c>
      <c r="K401" t="s">
        <v>2910</v>
      </c>
      <c r="L401">
        <v>2</v>
      </c>
      <c r="M401" t="s">
        <v>866</v>
      </c>
      <c r="N401" t="s">
        <v>866</v>
      </c>
      <c r="O401" t="s">
        <v>997</v>
      </c>
      <c r="P401" s="2" t="str">
        <f t="shared" si="18"/>
        <v>25/03/2025 to 28/03/2025</v>
      </c>
      <c r="Q401" s="3">
        <v>45740</v>
      </c>
      <c r="R401" t="str">
        <f t="shared" si="19"/>
        <v>Late</v>
      </c>
      <c r="S401" t="s">
        <v>932</v>
      </c>
      <c r="T401">
        <v>22</v>
      </c>
      <c r="U401" t="s">
        <v>79</v>
      </c>
      <c r="V401" t="s">
        <v>72</v>
      </c>
      <c r="W401" t="str">
        <f t="shared" ca="1" si="20"/>
        <v>Dormant</v>
      </c>
    </row>
    <row r="402" spans="1:23" x14ac:dyDescent="0.2">
      <c r="A402">
        <v>946</v>
      </c>
      <c r="B402" t="s">
        <v>2927</v>
      </c>
      <c r="C402" t="s">
        <v>2933</v>
      </c>
      <c r="D402" s="1" t="s">
        <v>866</v>
      </c>
      <c r="E402" t="s">
        <v>2929</v>
      </c>
      <c r="F402" t="s">
        <v>57</v>
      </c>
      <c r="G402" s="4" t="s">
        <v>5422</v>
      </c>
      <c r="H402" t="s">
        <v>2930</v>
      </c>
      <c r="I402" t="s">
        <v>112</v>
      </c>
      <c r="J402" s="4" t="s">
        <v>74</v>
      </c>
      <c r="K402" t="s">
        <v>2934</v>
      </c>
      <c r="L402">
        <v>3</v>
      </c>
      <c r="M402" t="s">
        <v>799</v>
      </c>
      <c r="N402" t="s">
        <v>972</v>
      </c>
      <c r="O402" t="s">
        <v>1039</v>
      </c>
      <c r="P402" s="2" t="str">
        <f t="shared" si="18"/>
        <v>26/03/2025 to 31/03/2025</v>
      </c>
      <c r="Q402" s="3">
        <v>45746</v>
      </c>
      <c r="R402" t="str">
        <f t="shared" si="19"/>
        <v>On-Time</v>
      </c>
      <c r="S402" t="s">
        <v>979</v>
      </c>
      <c r="T402">
        <v>25.5</v>
      </c>
      <c r="U402" t="s">
        <v>65</v>
      </c>
      <c r="V402" t="s">
        <v>80</v>
      </c>
      <c r="W402" t="str">
        <f t="shared" ca="1" si="20"/>
        <v>Dormant</v>
      </c>
    </row>
    <row r="403" spans="1:23" x14ac:dyDescent="0.2">
      <c r="A403">
        <v>947</v>
      </c>
      <c r="B403" t="s">
        <v>2927</v>
      </c>
      <c r="C403" t="s">
        <v>2935</v>
      </c>
      <c r="D403" s="1" t="s">
        <v>866</v>
      </c>
      <c r="E403" t="s">
        <v>2929</v>
      </c>
      <c r="F403" t="s">
        <v>57</v>
      </c>
      <c r="G403" s="4" t="s">
        <v>5426</v>
      </c>
      <c r="H403" t="s">
        <v>2930</v>
      </c>
      <c r="I403" t="s">
        <v>112</v>
      </c>
      <c r="J403" s="4" t="s">
        <v>74</v>
      </c>
      <c r="K403" t="s">
        <v>2936</v>
      </c>
      <c r="L403">
        <v>3</v>
      </c>
      <c r="M403" t="s">
        <v>866</v>
      </c>
      <c r="N403" t="s">
        <v>997</v>
      </c>
      <c r="O403" t="s">
        <v>997</v>
      </c>
      <c r="P403" s="2" t="str">
        <f t="shared" si="18"/>
        <v>25/03/2025 to 28/03/2025</v>
      </c>
      <c r="Q403" s="3">
        <v>45740</v>
      </c>
      <c r="R403" t="str">
        <f t="shared" si="19"/>
        <v>Late</v>
      </c>
      <c r="S403" t="s">
        <v>868</v>
      </c>
      <c r="T403">
        <v>35.5</v>
      </c>
      <c r="U403" t="s">
        <v>65</v>
      </c>
      <c r="V403" t="s">
        <v>80</v>
      </c>
      <c r="W403" t="str">
        <f t="shared" ca="1" si="20"/>
        <v>Dormant</v>
      </c>
    </row>
    <row r="404" spans="1:23" x14ac:dyDescent="0.2">
      <c r="A404">
        <v>1095</v>
      </c>
      <c r="B404" t="s">
        <v>3291</v>
      </c>
      <c r="C404" t="s">
        <v>3292</v>
      </c>
      <c r="D404" s="1" t="s">
        <v>866</v>
      </c>
      <c r="E404" t="s">
        <v>3293</v>
      </c>
      <c r="F404" t="s">
        <v>626</v>
      </c>
      <c r="G404" s="4" t="s">
        <v>5427</v>
      </c>
      <c r="H404" t="s">
        <v>3294</v>
      </c>
      <c r="I404" t="s">
        <v>136</v>
      </c>
      <c r="J404" s="4" t="s">
        <v>74</v>
      </c>
      <c r="K404" t="s">
        <v>3295</v>
      </c>
      <c r="L404">
        <v>4</v>
      </c>
      <c r="M404" t="s">
        <v>866</v>
      </c>
      <c r="N404" t="s">
        <v>997</v>
      </c>
      <c r="O404" t="s">
        <v>799</v>
      </c>
      <c r="P404" s="2" t="str">
        <f t="shared" si="18"/>
        <v>25/03/2025 to 28/03/2025</v>
      </c>
      <c r="Q404" s="3">
        <v>45746</v>
      </c>
      <c r="R404" t="str">
        <f t="shared" si="19"/>
        <v>Late</v>
      </c>
      <c r="S404" t="s">
        <v>980</v>
      </c>
      <c r="T404">
        <v>45.5</v>
      </c>
      <c r="U404" t="s">
        <v>65</v>
      </c>
      <c r="V404" t="s">
        <v>72</v>
      </c>
      <c r="W404" t="str">
        <f t="shared" ca="1" si="20"/>
        <v>Dormant</v>
      </c>
    </row>
    <row r="405" spans="1:23" x14ac:dyDescent="0.2">
      <c r="A405">
        <v>1096</v>
      </c>
      <c r="B405" t="s">
        <v>3291</v>
      </c>
      <c r="C405" t="s">
        <v>3296</v>
      </c>
      <c r="D405" s="1" t="s">
        <v>866</v>
      </c>
      <c r="E405" t="s">
        <v>3293</v>
      </c>
      <c r="F405" t="s">
        <v>626</v>
      </c>
      <c r="G405" s="4" t="s">
        <v>5426</v>
      </c>
      <c r="H405" t="s">
        <v>3294</v>
      </c>
      <c r="I405" t="s">
        <v>136</v>
      </c>
      <c r="J405" s="4" t="s">
        <v>5417</v>
      </c>
      <c r="K405" t="s">
        <v>3297</v>
      </c>
      <c r="L405">
        <v>4</v>
      </c>
      <c r="M405" t="s">
        <v>866</v>
      </c>
      <c r="N405" t="s">
        <v>866</v>
      </c>
      <c r="O405" t="s">
        <v>997</v>
      </c>
      <c r="P405" s="2" t="str">
        <f t="shared" si="18"/>
        <v>25/03/2025 to 28/03/2025</v>
      </c>
      <c r="Q405" s="3">
        <v>45743</v>
      </c>
      <c r="R405" t="str">
        <f t="shared" si="19"/>
        <v>On-Time</v>
      </c>
      <c r="S405" t="s">
        <v>998</v>
      </c>
      <c r="T405">
        <v>42</v>
      </c>
      <c r="U405" t="s">
        <v>79</v>
      </c>
      <c r="V405" t="s">
        <v>80</v>
      </c>
      <c r="W405" t="str">
        <f t="shared" ca="1" si="20"/>
        <v>Dormant</v>
      </c>
    </row>
    <row r="406" spans="1:23" x14ac:dyDescent="0.2">
      <c r="A406">
        <v>1097</v>
      </c>
      <c r="B406" t="s">
        <v>3291</v>
      </c>
      <c r="C406" t="s">
        <v>3298</v>
      </c>
      <c r="D406" s="1" t="s">
        <v>866</v>
      </c>
      <c r="E406" t="s">
        <v>3293</v>
      </c>
      <c r="F406" t="s">
        <v>626</v>
      </c>
      <c r="G406" s="4" t="s">
        <v>5427</v>
      </c>
      <c r="H406" t="s">
        <v>3294</v>
      </c>
      <c r="I406" t="s">
        <v>136</v>
      </c>
      <c r="J406" s="4" t="s">
        <v>74</v>
      </c>
      <c r="K406" t="s">
        <v>3299</v>
      </c>
      <c r="L406">
        <v>3</v>
      </c>
      <c r="M406" t="s">
        <v>799</v>
      </c>
      <c r="N406" t="s">
        <v>1039</v>
      </c>
      <c r="O406" t="s">
        <v>799</v>
      </c>
      <c r="P406" s="2" t="str">
        <f t="shared" si="18"/>
        <v>26/03/2025 to 31/03/2025</v>
      </c>
      <c r="Q406" s="3">
        <v>45746</v>
      </c>
      <c r="R406" t="str">
        <f t="shared" si="19"/>
        <v>On-Time</v>
      </c>
      <c r="S406" t="s">
        <v>1059</v>
      </c>
      <c r="T406">
        <v>28.5</v>
      </c>
      <c r="U406" t="s">
        <v>79</v>
      </c>
      <c r="V406" t="s">
        <v>72</v>
      </c>
      <c r="W406" t="str">
        <f t="shared" ca="1" si="20"/>
        <v>Dormant</v>
      </c>
    </row>
    <row r="407" spans="1:23" x14ac:dyDescent="0.2">
      <c r="A407">
        <v>1098</v>
      </c>
      <c r="B407" t="s">
        <v>3291</v>
      </c>
      <c r="C407" t="s">
        <v>3300</v>
      </c>
      <c r="D407" s="1" t="s">
        <v>866</v>
      </c>
      <c r="E407" t="s">
        <v>3293</v>
      </c>
      <c r="F407" t="s">
        <v>626</v>
      </c>
      <c r="G407" s="4" t="s">
        <v>5425</v>
      </c>
      <c r="H407" t="s">
        <v>3294</v>
      </c>
      <c r="I407" t="s">
        <v>136</v>
      </c>
      <c r="J407" s="4" t="s">
        <v>5417</v>
      </c>
      <c r="K407" t="s">
        <v>938</v>
      </c>
      <c r="L407">
        <v>2</v>
      </c>
      <c r="M407" t="s">
        <v>866</v>
      </c>
      <c r="N407" t="s">
        <v>866</v>
      </c>
      <c r="O407" t="s">
        <v>799</v>
      </c>
      <c r="P407" s="2" t="str">
        <f t="shared" si="18"/>
        <v>25/03/2025 to 28/03/2025</v>
      </c>
      <c r="Q407" s="3">
        <v>45745</v>
      </c>
      <c r="R407" t="str">
        <f t="shared" si="19"/>
        <v>Late</v>
      </c>
      <c r="S407" t="s">
        <v>979</v>
      </c>
      <c r="T407">
        <v>20</v>
      </c>
      <c r="U407" t="s">
        <v>79</v>
      </c>
      <c r="V407" t="s">
        <v>72</v>
      </c>
      <c r="W407" t="str">
        <f t="shared" ca="1" si="20"/>
        <v>Dormant</v>
      </c>
    </row>
    <row r="408" spans="1:23" x14ac:dyDescent="0.2">
      <c r="A408">
        <v>1975</v>
      </c>
      <c r="B408" t="s">
        <v>5349</v>
      </c>
      <c r="C408" t="s">
        <v>5350</v>
      </c>
      <c r="D408" s="1" t="s">
        <v>866</v>
      </c>
      <c r="E408" t="s">
        <v>5351</v>
      </c>
      <c r="F408" t="s">
        <v>1003</v>
      </c>
      <c r="G408" s="4" t="s">
        <v>5419</v>
      </c>
      <c r="H408" t="s">
        <v>3285</v>
      </c>
      <c r="I408" t="s">
        <v>59</v>
      </c>
      <c r="J408" s="4" t="s">
        <v>68</v>
      </c>
      <c r="K408" t="s">
        <v>5352</v>
      </c>
      <c r="L408">
        <v>4</v>
      </c>
      <c r="M408" t="s">
        <v>997</v>
      </c>
      <c r="N408" t="s">
        <v>997</v>
      </c>
      <c r="O408" t="s">
        <v>1039</v>
      </c>
      <c r="P408" s="2" t="str">
        <f t="shared" si="18"/>
        <v>25/03/2025 to 28/03/2025</v>
      </c>
      <c r="Q408" s="3">
        <v>45745</v>
      </c>
      <c r="R408" t="str">
        <f t="shared" si="19"/>
        <v>Late</v>
      </c>
      <c r="S408" t="s">
        <v>1621</v>
      </c>
      <c r="T408">
        <v>38.5</v>
      </c>
      <c r="U408" t="s">
        <v>65</v>
      </c>
      <c r="V408" t="s">
        <v>72</v>
      </c>
      <c r="W408" t="str">
        <f t="shared" ca="1" si="20"/>
        <v>Dormant</v>
      </c>
    </row>
    <row r="409" spans="1:23" x14ac:dyDescent="0.2">
      <c r="A409">
        <v>1976</v>
      </c>
      <c r="B409" t="s">
        <v>5349</v>
      </c>
      <c r="C409" t="s">
        <v>5353</v>
      </c>
      <c r="D409" s="1" t="s">
        <v>866</v>
      </c>
      <c r="E409" t="s">
        <v>5351</v>
      </c>
      <c r="F409" t="s">
        <v>1003</v>
      </c>
      <c r="G409" s="4" t="s">
        <v>5423</v>
      </c>
      <c r="H409" t="s">
        <v>3285</v>
      </c>
      <c r="I409" t="s">
        <v>59</v>
      </c>
      <c r="J409" s="4" t="s">
        <v>5417</v>
      </c>
      <c r="K409" t="s">
        <v>5354</v>
      </c>
      <c r="L409">
        <v>4</v>
      </c>
      <c r="M409" t="s">
        <v>997</v>
      </c>
      <c r="N409" t="s">
        <v>997</v>
      </c>
      <c r="O409" t="s">
        <v>1039</v>
      </c>
      <c r="P409" s="2" t="str">
        <f t="shared" si="18"/>
        <v>25/03/2025 to 28/03/2025</v>
      </c>
      <c r="Q409" s="3">
        <v>45746</v>
      </c>
      <c r="R409" t="str">
        <f t="shared" si="19"/>
        <v>Late</v>
      </c>
      <c r="S409" t="s">
        <v>979</v>
      </c>
      <c r="T409">
        <v>37.5</v>
      </c>
      <c r="U409" t="s">
        <v>65</v>
      </c>
      <c r="V409" t="s">
        <v>66</v>
      </c>
      <c r="W409" t="str">
        <f t="shared" ca="1" si="20"/>
        <v>Dormant</v>
      </c>
    </row>
    <row r="410" spans="1:23" x14ac:dyDescent="0.2">
      <c r="A410">
        <v>1977</v>
      </c>
      <c r="B410" t="s">
        <v>5349</v>
      </c>
      <c r="C410" t="s">
        <v>5355</v>
      </c>
      <c r="D410" s="1" t="s">
        <v>866</v>
      </c>
      <c r="E410" t="s">
        <v>5351</v>
      </c>
      <c r="F410" t="s">
        <v>1003</v>
      </c>
      <c r="G410" s="4" t="s">
        <v>5423</v>
      </c>
      <c r="H410" t="s">
        <v>3285</v>
      </c>
      <c r="I410" t="s">
        <v>59</v>
      </c>
      <c r="J410" s="4" t="s">
        <v>68</v>
      </c>
      <c r="K410" t="s">
        <v>918</v>
      </c>
      <c r="L410">
        <v>2</v>
      </c>
      <c r="M410" t="s">
        <v>997</v>
      </c>
      <c r="N410" t="s">
        <v>799</v>
      </c>
      <c r="O410" t="s">
        <v>1039</v>
      </c>
      <c r="P410" s="2" t="str">
        <f t="shared" si="18"/>
        <v>25/03/2025 to 28/03/2025</v>
      </c>
      <c r="Q410" s="3">
        <v>45747</v>
      </c>
      <c r="R410" t="str">
        <f t="shared" si="19"/>
        <v>Late</v>
      </c>
      <c r="S410" t="s">
        <v>320</v>
      </c>
      <c r="T410">
        <v>24</v>
      </c>
      <c r="U410" t="s">
        <v>79</v>
      </c>
      <c r="V410" t="s">
        <v>66</v>
      </c>
      <c r="W410" t="str">
        <f t="shared" ca="1" si="20"/>
        <v>Dormant</v>
      </c>
    </row>
    <row r="411" spans="1:23" x14ac:dyDescent="0.2">
      <c r="A411">
        <v>1999</v>
      </c>
      <c r="B411" t="s">
        <v>5409</v>
      </c>
      <c r="C411" t="s">
        <v>5410</v>
      </c>
      <c r="D411" s="1" t="s">
        <v>866</v>
      </c>
      <c r="E411" t="s">
        <v>5411</v>
      </c>
      <c r="F411" t="s">
        <v>600</v>
      </c>
      <c r="G411" s="4" t="s">
        <v>5421</v>
      </c>
      <c r="H411" t="s">
        <v>4256</v>
      </c>
      <c r="I411" t="s">
        <v>136</v>
      </c>
      <c r="J411" s="4" t="s">
        <v>5417</v>
      </c>
      <c r="K411" t="s">
        <v>2737</v>
      </c>
      <c r="L411">
        <v>2</v>
      </c>
      <c r="M411" t="s">
        <v>997</v>
      </c>
      <c r="N411" t="s">
        <v>799</v>
      </c>
      <c r="O411" t="s">
        <v>799</v>
      </c>
      <c r="P411" s="2" t="str">
        <f t="shared" si="18"/>
        <v>25/03/2025 to 28/03/2025</v>
      </c>
      <c r="Q411" s="3">
        <v>45743</v>
      </c>
      <c r="R411" t="str">
        <f t="shared" si="19"/>
        <v>On-Time</v>
      </c>
      <c r="S411" t="s">
        <v>998</v>
      </c>
      <c r="T411">
        <v>16</v>
      </c>
      <c r="U411" t="s">
        <v>65</v>
      </c>
      <c r="V411" t="s">
        <v>72</v>
      </c>
      <c r="W411" t="str">
        <f t="shared" ca="1" si="20"/>
        <v>Dormant</v>
      </c>
    </row>
    <row r="412" spans="1:23" x14ac:dyDescent="0.2">
      <c r="A412">
        <v>2000</v>
      </c>
      <c r="B412" t="s">
        <v>5409</v>
      </c>
      <c r="C412" t="s">
        <v>5412</v>
      </c>
      <c r="D412" s="1" t="s">
        <v>866</v>
      </c>
      <c r="E412" t="s">
        <v>5411</v>
      </c>
      <c r="F412" t="s">
        <v>600</v>
      </c>
      <c r="G412" s="4" t="s">
        <v>38</v>
      </c>
      <c r="H412" t="s">
        <v>4256</v>
      </c>
      <c r="I412" t="s">
        <v>136</v>
      </c>
      <c r="J412" s="4" t="s">
        <v>68</v>
      </c>
      <c r="K412" t="s">
        <v>5413</v>
      </c>
      <c r="L412">
        <v>4</v>
      </c>
      <c r="M412" t="s">
        <v>799</v>
      </c>
      <c r="N412" t="s">
        <v>799</v>
      </c>
      <c r="O412" t="s">
        <v>972</v>
      </c>
      <c r="P412" s="2" t="str">
        <f t="shared" si="18"/>
        <v>26/03/2025 to 31/03/2025</v>
      </c>
      <c r="Q412" s="3">
        <v>45744</v>
      </c>
      <c r="R412" t="str">
        <f t="shared" si="19"/>
        <v>On-Time</v>
      </c>
      <c r="S412" t="s">
        <v>1621</v>
      </c>
      <c r="T412">
        <v>41.5</v>
      </c>
      <c r="U412" t="s">
        <v>65</v>
      </c>
      <c r="V412" t="s">
        <v>72</v>
      </c>
      <c r="W412" t="str">
        <f t="shared" ca="1" si="20"/>
        <v>Dormant</v>
      </c>
    </row>
    <row r="413" spans="1:23" x14ac:dyDescent="0.2">
      <c r="A413">
        <v>1483</v>
      </c>
      <c r="B413" t="s">
        <v>4229</v>
      </c>
      <c r="C413" t="s">
        <v>4230</v>
      </c>
      <c r="D413" s="1" t="s">
        <v>997</v>
      </c>
      <c r="E413" t="s">
        <v>4231</v>
      </c>
      <c r="F413" t="s">
        <v>286</v>
      </c>
      <c r="G413" s="4" t="s">
        <v>5423</v>
      </c>
      <c r="H413" t="s">
        <v>627</v>
      </c>
      <c r="I413" t="s">
        <v>201</v>
      </c>
      <c r="J413" s="4" t="s">
        <v>5417</v>
      </c>
      <c r="K413" t="s">
        <v>4086</v>
      </c>
      <c r="L413">
        <v>2</v>
      </c>
      <c r="M413" t="s">
        <v>997</v>
      </c>
      <c r="N413" t="s">
        <v>799</v>
      </c>
      <c r="O413" t="s">
        <v>997</v>
      </c>
      <c r="P413" s="2" t="str">
        <f t="shared" si="18"/>
        <v>25/03/2025 to 28/03/2025</v>
      </c>
      <c r="Q413" s="3">
        <v>45740</v>
      </c>
      <c r="R413" t="str">
        <f t="shared" si="19"/>
        <v>Late</v>
      </c>
      <c r="S413" t="s">
        <v>936</v>
      </c>
      <c r="T413">
        <v>21.5</v>
      </c>
      <c r="U413" t="s">
        <v>65</v>
      </c>
      <c r="V413" t="s">
        <v>72</v>
      </c>
      <c r="W413" t="str">
        <f t="shared" ca="1" si="20"/>
        <v>Dormant</v>
      </c>
    </row>
    <row r="414" spans="1:23" x14ac:dyDescent="0.2">
      <c r="A414">
        <v>1484</v>
      </c>
      <c r="B414" t="s">
        <v>4229</v>
      </c>
      <c r="C414" t="s">
        <v>4232</v>
      </c>
      <c r="D414" s="1" t="s">
        <v>997</v>
      </c>
      <c r="E414" t="s">
        <v>4231</v>
      </c>
      <c r="F414" t="s">
        <v>286</v>
      </c>
      <c r="G414" s="4" t="s">
        <v>5424</v>
      </c>
      <c r="H414" t="s">
        <v>627</v>
      </c>
      <c r="I414" t="s">
        <v>201</v>
      </c>
      <c r="J414" s="4" t="s">
        <v>5417</v>
      </c>
      <c r="K414" t="s">
        <v>4233</v>
      </c>
      <c r="L414">
        <v>2</v>
      </c>
      <c r="M414" t="s">
        <v>997</v>
      </c>
      <c r="N414" t="s">
        <v>997</v>
      </c>
      <c r="O414" t="s">
        <v>799</v>
      </c>
      <c r="P414" s="2" t="str">
        <f t="shared" si="18"/>
        <v>25/03/2025 to 28/03/2025</v>
      </c>
      <c r="Q414" s="3">
        <v>45743</v>
      </c>
      <c r="R414" t="str">
        <f t="shared" si="19"/>
        <v>On-Time</v>
      </c>
      <c r="S414" t="s">
        <v>998</v>
      </c>
      <c r="T414">
        <v>23</v>
      </c>
      <c r="U414" t="s">
        <v>79</v>
      </c>
      <c r="V414" t="s">
        <v>80</v>
      </c>
      <c r="W414" t="str">
        <f t="shared" ca="1" si="20"/>
        <v>Dormant</v>
      </c>
    </row>
    <row r="415" spans="1:23" x14ac:dyDescent="0.2">
      <c r="A415">
        <v>1485</v>
      </c>
      <c r="B415" t="s">
        <v>4229</v>
      </c>
      <c r="C415" t="s">
        <v>4234</v>
      </c>
      <c r="D415" s="1" t="s">
        <v>997</v>
      </c>
      <c r="E415" t="s">
        <v>4231</v>
      </c>
      <c r="F415" t="s">
        <v>286</v>
      </c>
      <c r="G415" s="4" t="s">
        <v>38</v>
      </c>
      <c r="H415" t="s">
        <v>627</v>
      </c>
      <c r="I415" t="s">
        <v>201</v>
      </c>
      <c r="J415" s="4" t="s">
        <v>5417</v>
      </c>
      <c r="K415" t="s">
        <v>4235</v>
      </c>
      <c r="L415">
        <v>3</v>
      </c>
      <c r="M415" t="s">
        <v>799</v>
      </c>
      <c r="N415" t="s">
        <v>1039</v>
      </c>
      <c r="O415" t="s">
        <v>1039</v>
      </c>
      <c r="P415" s="2" t="str">
        <f t="shared" si="18"/>
        <v>26/03/2025 to 31/03/2025</v>
      </c>
      <c r="Q415" s="3">
        <v>45742</v>
      </c>
      <c r="R415" t="str">
        <f t="shared" si="19"/>
        <v>On-Time</v>
      </c>
      <c r="S415" t="s">
        <v>936</v>
      </c>
      <c r="T415">
        <v>30.5</v>
      </c>
      <c r="U415" t="s">
        <v>65</v>
      </c>
      <c r="V415" t="s">
        <v>66</v>
      </c>
      <c r="W415" t="str">
        <f t="shared" ca="1" si="20"/>
        <v>Dormant</v>
      </c>
    </row>
    <row r="416" spans="1:23" x14ac:dyDescent="0.2">
      <c r="A416">
        <v>1486</v>
      </c>
      <c r="B416" t="s">
        <v>4229</v>
      </c>
      <c r="C416" t="s">
        <v>4236</v>
      </c>
      <c r="D416" s="1" t="s">
        <v>997</v>
      </c>
      <c r="E416" t="s">
        <v>4231</v>
      </c>
      <c r="F416" t="s">
        <v>286</v>
      </c>
      <c r="G416" s="4" t="s">
        <v>5423</v>
      </c>
      <c r="H416" t="s">
        <v>627</v>
      </c>
      <c r="I416" t="s">
        <v>201</v>
      </c>
      <c r="J416" s="4" t="s">
        <v>74</v>
      </c>
      <c r="K416" t="s">
        <v>4237</v>
      </c>
      <c r="L416">
        <v>4</v>
      </c>
      <c r="M416" t="s">
        <v>997</v>
      </c>
      <c r="N416" t="s">
        <v>799</v>
      </c>
      <c r="O416" t="s">
        <v>799</v>
      </c>
      <c r="P416" s="2" t="str">
        <f t="shared" si="18"/>
        <v>25/03/2025 to 28/03/2025</v>
      </c>
      <c r="Q416" s="3">
        <v>45741</v>
      </c>
      <c r="R416" t="str">
        <f t="shared" si="19"/>
        <v>On-Time</v>
      </c>
      <c r="S416" t="s">
        <v>932</v>
      </c>
      <c r="T416">
        <v>39</v>
      </c>
      <c r="U416" t="s">
        <v>65</v>
      </c>
      <c r="V416" t="s">
        <v>66</v>
      </c>
      <c r="W416" t="str">
        <f t="shared" ca="1" si="20"/>
        <v>Dormant</v>
      </c>
    </row>
    <row r="417" spans="1:23" x14ac:dyDescent="0.2">
      <c r="A417">
        <v>1487</v>
      </c>
      <c r="B417" t="s">
        <v>4229</v>
      </c>
      <c r="C417" t="s">
        <v>4238</v>
      </c>
      <c r="D417" s="1" t="s">
        <v>997</v>
      </c>
      <c r="E417" t="s">
        <v>4231</v>
      </c>
      <c r="F417" t="s">
        <v>286</v>
      </c>
      <c r="G417" s="4" t="s">
        <v>38</v>
      </c>
      <c r="H417" t="s">
        <v>627</v>
      </c>
      <c r="I417" t="s">
        <v>201</v>
      </c>
      <c r="J417" s="4" t="s">
        <v>68</v>
      </c>
      <c r="K417" t="s">
        <v>4239</v>
      </c>
      <c r="L417">
        <v>4</v>
      </c>
      <c r="M417" t="s">
        <v>997</v>
      </c>
      <c r="N417" t="s">
        <v>997</v>
      </c>
      <c r="O417" t="s">
        <v>997</v>
      </c>
      <c r="P417" s="2" t="str">
        <f t="shared" si="18"/>
        <v>25/03/2025 to 28/03/2025</v>
      </c>
      <c r="Q417" s="3">
        <v>45741</v>
      </c>
      <c r="R417" t="str">
        <f t="shared" si="19"/>
        <v>On-Time</v>
      </c>
      <c r="S417" t="s">
        <v>976</v>
      </c>
      <c r="T417">
        <v>43.5</v>
      </c>
      <c r="U417" t="s">
        <v>65</v>
      </c>
      <c r="V417" t="s">
        <v>80</v>
      </c>
      <c r="W417" t="str">
        <f t="shared" ca="1" si="20"/>
        <v>Dormant</v>
      </c>
    </row>
    <row r="418" spans="1:23" x14ac:dyDescent="0.2">
      <c r="A418">
        <v>500</v>
      </c>
      <c r="B418" t="s">
        <v>1818</v>
      </c>
      <c r="C418" t="s">
        <v>1819</v>
      </c>
      <c r="D418" s="1" t="s">
        <v>799</v>
      </c>
      <c r="E418" t="s">
        <v>1820</v>
      </c>
      <c r="F418" t="s">
        <v>511</v>
      </c>
      <c r="G418" s="4" t="s">
        <v>5427</v>
      </c>
      <c r="H418" t="s">
        <v>1821</v>
      </c>
      <c r="I418" t="s">
        <v>112</v>
      </c>
      <c r="J418" s="4" t="s">
        <v>74</v>
      </c>
      <c r="K418" t="s">
        <v>1822</v>
      </c>
      <c r="L418">
        <v>3</v>
      </c>
      <c r="M418" t="s">
        <v>1039</v>
      </c>
      <c r="N418" t="s">
        <v>234</v>
      </c>
      <c r="O418" t="s">
        <v>972</v>
      </c>
      <c r="P418" s="2" t="str">
        <f t="shared" si="18"/>
        <v>27/03/2025 to 01/04/2025</v>
      </c>
      <c r="Q418" s="3">
        <v>45746</v>
      </c>
      <c r="R418" t="str">
        <f t="shared" si="19"/>
        <v>On-Time</v>
      </c>
      <c r="S418" t="s">
        <v>1059</v>
      </c>
      <c r="T418">
        <v>27</v>
      </c>
      <c r="U418" t="s">
        <v>65</v>
      </c>
      <c r="V418" t="s">
        <v>80</v>
      </c>
      <c r="W418" t="str">
        <f t="shared" ca="1" si="20"/>
        <v>Dormant</v>
      </c>
    </row>
    <row r="419" spans="1:23" x14ac:dyDescent="0.2">
      <c r="A419">
        <v>501</v>
      </c>
      <c r="B419" t="s">
        <v>1818</v>
      </c>
      <c r="C419" t="s">
        <v>1823</v>
      </c>
      <c r="D419" s="1" t="s">
        <v>799</v>
      </c>
      <c r="E419" t="s">
        <v>1820</v>
      </c>
      <c r="F419" t="s">
        <v>511</v>
      </c>
      <c r="G419" s="4" t="s">
        <v>5420</v>
      </c>
      <c r="H419" t="s">
        <v>1821</v>
      </c>
      <c r="I419" t="s">
        <v>112</v>
      </c>
      <c r="J419" s="4" t="s">
        <v>60</v>
      </c>
      <c r="K419" t="s">
        <v>28</v>
      </c>
      <c r="L419">
        <v>1</v>
      </c>
      <c r="M419" t="s">
        <v>972</v>
      </c>
      <c r="N419" t="s">
        <v>234</v>
      </c>
      <c r="O419" t="s">
        <v>235</v>
      </c>
      <c r="P419" s="2" t="str">
        <f t="shared" si="18"/>
        <v>28/03/2025 to 02/04/2025</v>
      </c>
      <c r="Q419" s="3">
        <v>45749</v>
      </c>
      <c r="R419" t="str">
        <f t="shared" si="19"/>
        <v>On-Time</v>
      </c>
      <c r="S419" t="s">
        <v>324</v>
      </c>
      <c r="T419">
        <v>9</v>
      </c>
      <c r="U419" t="s">
        <v>65</v>
      </c>
      <c r="V419" t="s">
        <v>80</v>
      </c>
      <c r="W419" t="str">
        <f t="shared" ca="1" si="20"/>
        <v>Dormant</v>
      </c>
    </row>
    <row r="420" spans="1:23" x14ac:dyDescent="0.2">
      <c r="A420">
        <v>502</v>
      </c>
      <c r="B420" t="s">
        <v>1818</v>
      </c>
      <c r="C420" t="s">
        <v>1824</v>
      </c>
      <c r="D420" s="1" t="s">
        <v>799</v>
      </c>
      <c r="E420" t="s">
        <v>1820</v>
      </c>
      <c r="F420" t="s">
        <v>511</v>
      </c>
      <c r="G420" s="4" t="s">
        <v>5419</v>
      </c>
      <c r="H420" t="s">
        <v>1821</v>
      </c>
      <c r="I420" t="s">
        <v>112</v>
      </c>
      <c r="J420" s="4" t="s">
        <v>68</v>
      </c>
      <c r="K420" t="s">
        <v>1825</v>
      </c>
      <c r="L420">
        <v>2</v>
      </c>
      <c r="M420" t="s">
        <v>1039</v>
      </c>
      <c r="N420" t="s">
        <v>1039</v>
      </c>
      <c r="O420" t="s">
        <v>1039</v>
      </c>
      <c r="P420" s="2" t="str">
        <f t="shared" si="18"/>
        <v>27/03/2025 to 01/04/2025</v>
      </c>
      <c r="Q420" s="3">
        <v>45744</v>
      </c>
      <c r="R420" t="str">
        <f t="shared" si="19"/>
        <v>On-Time</v>
      </c>
      <c r="S420" t="s">
        <v>1621</v>
      </c>
      <c r="T420">
        <v>22</v>
      </c>
      <c r="U420" t="s">
        <v>65</v>
      </c>
      <c r="V420" t="s">
        <v>80</v>
      </c>
      <c r="W420" t="str">
        <f t="shared" ca="1" si="20"/>
        <v>Dormant</v>
      </c>
    </row>
    <row r="421" spans="1:23" x14ac:dyDescent="0.2">
      <c r="A421">
        <v>609</v>
      </c>
      <c r="B421" t="s">
        <v>2102</v>
      </c>
      <c r="C421" t="s">
        <v>2103</v>
      </c>
      <c r="D421" s="1" t="s">
        <v>799</v>
      </c>
      <c r="E421" t="s">
        <v>2104</v>
      </c>
      <c r="F421" t="s">
        <v>1036</v>
      </c>
      <c r="G421" s="4" t="s">
        <v>5425</v>
      </c>
      <c r="H421" t="s">
        <v>2105</v>
      </c>
      <c r="I421" t="s">
        <v>201</v>
      </c>
      <c r="J421" s="4" t="s">
        <v>74</v>
      </c>
      <c r="K421" t="s">
        <v>16</v>
      </c>
      <c r="L421">
        <v>1</v>
      </c>
      <c r="M421" t="s">
        <v>799</v>
      </c>
      <c r="N421" t="s">
        <v>799</v>
      </c>
      <c r="O421" t="s">
        <v>972</v>
      </c>
      <c r="P421" s="2" t="str">
        <f t="shared" si="18"/>
        <v>26/03/2025 to 31/03/2025</v>
      </c>
      <c r="Q421" s="3">
        <v>45745</v>
      </c>
      <c r="R421" t="str">
        <f t="shared" si="19"/>
        <v>On-Time</v>
      </c>
      <c r="S421" t="s">
        <v>1621</v>
      </c>
      <c r="T421">
        <v>11</v>
      </c>
      <c r="U421" t="s">
        <v>79</v>
      </c>
      <c r="V421" t="s">
        <v>66</v>
      </c>
      <c r="W421" t="str">
        <f t="shared" ca="1" si="20"/>
        <v>Dormant</v>
      </c>
    </row>
    <row r="422" spans="1:23" x14ac:dyDescent="0.2">
      <c r="A422">
        <v>610</v>
      </c>
      <c r="B422" t="s">
        <v>2102</v>
      </c>
      <c r="C422" t="s">
        <v>2106</v>
      </c>
      <c r="D422" s="1" t="s">
        <v>799</v>
      </c>
      <c r="E422" t="s">
        <v>2104</v>
      </c>
      <c r="F422" t="s">
        <v>1036</v>
      </c>
      <c r="G422" s="4" t="s">
        <v>5423</v>
      </c>
      <c r="H422" t="s">
        <v>2105</v>
      </c>
      <c r="I422" t="s">
        <v>201</v>
      </c>
      <c r="J422" s="4" t="s">
        <v>60</v>
      </c>
      <c r="K422" t="s">
        <v>10</v>
      </c>
      <c r="L422">
        <v>1</v>
      </c>
      <c r="M422" t="s">
        <v>972</v>
      </c>
      <c r="N422" t="s">
        <v>972</v>
      </c>
      <c r="O422" t="s">
        <v>235</v>
      </c>
      <c r="P422" s="2" t="str">
        <f t="shared" si="18"/>
        <v>28/03/2025 to 02/04/2025</v>
      </c>
      <c r="Q422" s="3">
        <v>45746</v>
      </c>
      <c r="R422" t="str">
        <f t="shared" si="19"/>
        <v>On-Time</v>
      </c>
      <c r="S422" t="s">
        <v>1059</v>
      </c>
      <c r="T422">
        <v>10</v>
      </c>
      <c r="U422" t="s">
        <v>79</v>
      </c>
      <c r="V422" t="s">
        <v>72</v>
      </c>
      <c r="W422" t="str">
        <f t="shared" ca="1" si="20"/>
        <v>Dormant</v>
      </c>
    </row>
    <row r="423" spans="1:23" x14ac:dyDescent="0.2">
      <c r="A423">
        <v>913</v>
      </c>
      <c r="B423" t="s">
        <v>2848</v>
      </c>
      <c r="C423" t="s">
        <v>2849</v>
      </c>
      <c r="D423" s="1" t="s">
        <v>799</v>
      </c>
      <c r="E423" t="s">
        <v>2850</v>
      </c>
      <c r="F423" t="s">
        <v>872</v>
      </c>
      <c r="G423" s="4" t="s">
        <v>5425</v>
      </c>
      <c r="H423" t="s">
        <v>2150</v>
      </c>
      <c r="I423" t="s">
        <v>112</v>
      </c>
      <c r="J423" s="4" t="s">
        <v>74</v>
      </c>
      <c r="K423" t="s">
        <v>663</v>
      </c>
      <c r="L423">
        <v>2</v>
      </c>
      <c r="M423" t="s">
        <v>799</v>
      </c>
      <c r="N423" t="s">
        <v>972</v>
      </c>
      <c r="O423" t="s">
        <v>1039</v>
      </c>
      <c r="P423" s="2" t="str">
        <f t="shared" si="18"/>
        <v>26/03/2025 to 31/03/2025</v>
      </c>
      <c r="Q423" s="3">
        <v>45747</v>
      </c>
      <c r="R423" t="str">
        <f t="shared" si="19"/>
        <v>On-Time</v>
      </c>
      <c r="S423" t="s">
        <v>320</v>
      </c>
      <c r="T423">
        <v>18.5</v>
      </c>
      <c r="U423" t="s">
        <v>79</v>
      </c>
      <c r="V423" t="s">
        <v>66</v>
      </c>
      <c r="W423" t="str">
        <f t="shared" ca="1" si="20"/>
        <v>Dormant</v>
      </c>
    </row>
    <row r="424" spans="1:23" x14ac:dyDescent="0.2">
      <c r="A424">
        <v>914</v>
      </c>
      <c r="B424" t="s">
        <v>2848</v>
      </c>
      <c r="C424" t="s">
        <v>2851</v>
      </c>
      <c r="D424" s="1" t="s">
        <v>799</v>
      </c>
      <c r="E424" t="s">
        <v>2850</v>
      </c>
      <c r="F424" t="s">
        <v>872</v>
      </c>
      <c r="G424" s="4" t="s">
        <v>5425</v>
      </c>
      <c r="H424" t="s">
        <v>2150</v>
      </c>
      <c r="I424" t="s">
        <v>112</v>
      </c>
      <c r="J424" s="4" t="s">
        <v>68</v>
      </c>
      <c r="K424" t="s">
        <v>2852</v>
      </c>
      <c r="L424">
        <v>4</v>
      </c>
      <c r="M424" t="s">
        <v>972</v>
      </c>
      <c r="N424" t="s">
        <v>234</v>
      </c>
      <c r="O424" t="s">
        <v>235</v>
      </c>
      <c r="P424" s="2" t="str">
        <f t="shared" si="18"/>
        <v>28/03/2025 to 02/04/2025</v>
      </c>
      <c r="Q424" s="3">
        <v>45746</v>
      </c>
      <c r="R424" t="str">
        <f t="shared" si="19"/>
        <v>On-Time</v>
      </c>
      <c r="S424" t="s">
        <v>979</v>
      </c>
      <c r="T424">
        <v>33.5</v>
      </c>
      <c r="U424" t="s">
        <v>65</v>
      </c>
      <c r="V424" t="s">
        <v>72</v>
      </c>
      <c r="W424" t="str">
        <f t="shared" ca="1" si="20"/>
        <v>Dormant</v>
      </c>
    </row>
    <row r="425" spans="1:23" x14ac:dyDescent="0.2">
      <c r="A425">
        <v>915</v>
      </c>
      <c r="B425" t="s">
        <v>2848</v>
      </c>
      <c r="C425" t="s">
        <v>2853</v>
      </c>
      <c r="D425" s="1" t="s">
        <v>799</v>
      </c>
      <c r="E425" t="s">
        <v>2850</v>
      </c>
      <c r="F425" t="s">
        <v>872</v>
      </c>
      <c r="G425" s="4" t="s">
        <v>5423</v>
      </c>
      <c r="H425" t="s">
        <v>2150</v>
      </c>
      <c r="I425" t="s">
        <v>112</v>
      </c>
      <c r="J425" s="4" t="s">
        <v>60</v>
      </c>
      <c r="K425" t="s">
        <v>1652</v>
      </c>
      <c r="L425">
        <v>2</v>
      </c>
      <c r="M425" t="s">
        <v>972</v>
      </c>
      <c r="N425" t="s">
        <v>234</v>
      </c>
      <c r="O425" t="s">
        <v>972</v>
      </c>
      <c r="P425" s="2" t="str">
        <f t="shared" si="18"/>
        <v>28/03/2025 to 02/04/2025</v>
      </c>
      <c r="Q425" s="3">
        <v>45744</v>
      </c>
      <c r="R425" t="str">
        <f t="shared" si="19"/>
        <v>On-Time</v>
      </c>
      <c r="S425" t="s">
        <v>1059</v>
      </c>
      <c r="T425">
        <v>17</v>
      </c>
      <c r="U425" t="s">
        <v>79</v>
      </c>
      <c r="V425" t="s">
        <v>66</v>
      </c>
      <c r="W425" t="str">
        <f t="shared" ca="1" si="20"/>
        <v>Dormant</v>
      </c>
    </row>
    <row r="426" spans="1:23" x14ac:dyDescent="0.2">
      <c r="A426">
        <v>916</v>
      </c>
      <c r="B426" t="s">
        <v>2848</v>
      </c>
      <c r="C426" t="s">
        <v>2854</v>
      </c>
      <c r="D426" s="1" t="s">
        <v>799</v>
      </c>
      <c r="E426" t="s">
        <v>2850</v>
      </c>
      <c r="F426" t="s">
        <v>872</v>
      </c>
      <c r="G426" s="4" t="s">
        <v>5422</v>
      </c>
      <c r="H426" t="s">
        <v>2150</v>
      </c>
      <c r="I426" t="s">
        <v>112</v>
      </c>
      <c r="J426" s="4" t="s">
        <v>68</v>
      </c>
      <c r="K426" t="s">
        <v>2855</v>
      </c>
      <c r="L426">
        <v>3</v>
      </c>
      <c r="M426" t="s">
        <v>799</v>
      </c>
      <c r="N426" t="s">
        <v>799</v>
      </c>
      <c r="O426" t="s">
        <v>799</v>
      </c>
      <c r="P426" s="2" t="str">
        <f t="shared" si="18"/>
        <v>26/03/2025 to 31/03/2025</v>
      </c>
      <c r="Q426" s="3">
        <v>45743</v>
      </c>
      <c r="R426" t="str">
        <f t="shared" si="19"/>
        <v>On-Time</v>
      </c>
      <c r="S426" t="s">
        <v>998</v>
      </c>
      <c r="T426">
        <v>33.5</v>
      </c>
      <c r="U426" t="s">
        <v>79</v>
      </c>
      <c r="V426" t="s">
        <v>66</v>
      </c>
      <c r="W426" t="str">
        <f t="shared" ca="1" si="20"/>
        <v>Dormant</v>
      </c>
    </row>
    <row r="427" spans="1:23" x14ac:dyDescent="0.2">
      <c r="A427">
        <v>612</v>
      </c>
      <c r="B427" t="s">
        <v>2112</v>
      </c>
      <c r="C427" t="s">
        <v>2113</v>
      </c>
      <c r="D427" s="1" t="s">
        <v>1039</v>
      </c>
      <c r="E427" t="s">
        <v>2114</v>
      </c>
      <c r="F427" t="s">
        <v>266</v>
      </c>
      <c r="G427" s="4" t="s">
        <v>5419</v>
      </c>
      <c r="H427" t="s">
        <v>1702</v>
      </c>
      <c r="I427" t="s">
        <v>93</v>
      </c>
      <c r="J427" s="4" t="s">
        <v>60</v>
      </c>
      <c r="K427" t="s">
        <v>2115</v>
      </c>
      <c r="L427">
        <v>4</v>
      </c>
      <c r="M427" t="s">
        <v>234</v>
      </c>
      <c r="N427" t="s">
        <v>234</v>
      </c>
      <c r="O427" t="s">
        <v>235</v>
      </c>
      <c r="P427" s="2" t="str">
        <f t="shared" si="18"/>
        <v>31/03/2025 to 03/04/2025</v>
      </c>
      <c r="Q427" s="3">
        <v>45748</v>
      </c>
      <c r="R427" t="str">
        <f t="shared" si="19"/>
        <v>On-Time</v>
      </c>
      <c r="S427" t="s">
        <v>320</v>
      </c>
      <c r="T427">
        <v>40.5</v>
      </c>
      <c r="U427" t="s">
        <v>79</v>
      </c>
      <c r="V427" t="s">
        <v>80</v>
      </c>
      <c r="W427" t="str">
        <f t="shared" ca="1" si="20"/>
        <v>Dormant</v>
      </c>
    </row>
    <row r="428" spans="1:23" x14ac:dyDescent="0.2">
      <c r="A428">
        <v>613</v>
      </c>
      <c r="B428" t="s">
        <v>2112</v>
      </c>
      <c r="C428" t="s">
        <v>2116</v>
      </c>
      <c r="D428" s="1" t="s">
        <v>1039</v>
      </c>
      <c r="E428" t="s">
        <v>2114</v>
      </c>
      <c r="F428" t="s">
        <v>266</v>
      </c>
      <c r="G428" s="4" t="s">
        <v>38</v>
      </c>
      <c r="H428" t="s">
        <v>1702</v>
      </c>
      <c r="I428" t="s">
        <v>93</v>
      </c>
      <c r="J428" s="4" t="s">
        <v>68</v>
      </c>
      <c r="K428" t="s">
        <v>2117</v>
      </c>
      <c r="L428">
        <v>4</v>
      </c>
      <c r="M428" t="s">
        <v>1039</v>
      </c>
      <c r="N428" t="s">
        <v>972</v>
      </c>
      <c r="O428" t="s">
        <v>1039</v>
      </c>
      <c r="P428" s="2" t="str">
        <f t="shared" si="18"/>
        <v>27/03/2025 to 01/04/2025</v>
      </c>
      <c r="Q428" s="3">
        <v>45745</v>
      </c>
      <c r="R428" t="str">
        <f t="shared" si="19"/>
        <v>On-Time</v>
      </c>
      <c r="S428" t="s">
        <v>1621</v>
      </c>
      <c r="T428">
        <v>36</v>
      </c>
      <c r="U428" t="s">
        <v>79</v>
      </c>
      <c r="V428" t="s">
        <v>66</v>
      </c>
      <c r="W428" t="str">
        <f t="shared" ca="1" si="20"/>
        <v>Dormant</v>
      </c>
    </row>
    <row r="429" spans="1:23" x14ac:dyDescent="0.2">
      <c r="A429">
        <v>1219</v>
      </c>
      <c r="B429" t="s">
        <v>3594</v>
      </c>
      <c r="C429" t="s">
        <v>3595</v>
      </c>
      <c r="D429" s="1" t="s">
        <v>1039</v>
      </c>
      <c r="E429" t="s">
        <v>3596</v>
      </c>
      <c r="F429" t="s">
        <v>741</v>
      </c>
      <c r="G429" s="4" t="s">
        <v>5423</v>
      </c>
      <c r="H429" t="s">
        <v>1022</v>
      </c>
      <c r="I429" t="s">
        <v>93</v>
      </c>
      <c r="J429" s="4" t="s">
        <v>74</v>
      </c>
      <c r="K429" t="s">
        <v>26</v>
      </c>
      <c r="L429">
        <v>1</v>
      </c>
      <c r="M429" t="s">
        <v>234</v>
      </c>
      <c r="N429" t="s">
        <v>235</v>
      </c>
      <c r="O429" t="s">
        <v>867</v>
      </c>
      <c r="P429" s="2" t="str">
        <f t="shared" si="18"/>
        <v>31/03/2025 to 03/04/2025</v>
      </c>
      <c r="Q429" s="3">
        <v>45746</v>
      </c>
      <c r="R429" t="str">
        <f t="shared" si="19"/>
        <v>Late</v>
      </c>
      <c r="S429" t="s">
        <v>980</v>
      </c>
      <c r="T429">
        <v>9</v>
      </c>
      <c r="U429" t="s">
        <v>65</v>
      </c>
      <c r="V429" t="s">
        <v>66</v>
      </c>
      <c r="W429" t="str">
        <f t="shared" ca="1" si="20"/>
        <v>Dormant</v>
      </c>
    </row>
    <row r="430" spans="1:23" x14ac:dyDescent="0.2">
      <c r="A430">
        <v>1220</v>
      </c>
      <c r="B430" t="s">
        <v>3594</v>
      </c>
      <c r="C430" t="s">
        <v>3597</v>
      </c>
      <c r="D430" s="1" t="s">
        <v>1039</v>
      </c>
      <c r="E430" t="s">
        <v>3596</v>
      </c>
      <c r="F430" t="s">
        <v>741</v>
      </c>
      <c r="G430" s="4" t="s">
        <v>5420</v>
      </c>
      <c r="H430" t="s">
        <v>1022</v>
      </c>
      <c r="I430" t="s">
        <v>93</v>
      </c>
      <c r="J430" s="4" t="s">
        <v>5417</v>
      </c>
      <c r="K430" t="s">
        <v>3598</v>
      </c>
      <c r="L430">
        <v>4</v>
      </c>
      <c r="M430" t="s">
        <v>972</v>
      </c>
      <c r="N430" t="s">
        <v>972</v>
      </c>
      <c r="O430" t="s">
        <v>235</v>
      </c>
      <c r="P430" s="2" t="str">
        <f t="shared" si="18"/>
        <v>28/03/2025 to 02/04/2025</v>
      </c>
      <c r="Q430" s="3">
        <v>45750</v>
      </c>
      <c r="R430" t="str">
        <f t="shared" si="19"/>
        <v>Late</v>
      </c>
      <c r="S430" t="s">
        <v>324</v>
      </c>
      <c r="T430">
        <v>40</v>
      </c>
      <c r="U430" t="s">
        <v>65</v>
      </c>
      <c r="V430" t="s">
        <v>72</v>
      </c>
      <c r="W430" t="str">
        <f t="shared" ca="1" si="20"/>
        <v>Dormant</v>
      </c>
    </row>
    <row r="431" spans="1:23" x14ac:dyDescent="0.2">
      <c r="A431">
        <v>1221</v>
      </c>
      <c r="B431" t="s">
        <v>3594</v>
      </c>
      <c r="C431" t="s">
        <v>3599</v>
      </c>
      <c r="D431" s="1" t="s">
        <v>1039</v>
      </c>
      <c r="E431" t="s">
        <v>3596</v>
      </c>
      <c r="F431" t="s">
        <v>741</v>
      </c>
      <c r="G431" s="4" t="s">
        <v>5428</v>
      </c>
      <c r="H431" t="s">
        <v>1022</v>
      </c>
      <c r="I431" t="s">
        <v>93</v>
      </c>
      <c r="J431" s="4" t="s">
        <v>74</v>
      </c>
      <c r="K431" t="s">
        <v>2685</v>
      </c>
      <c r="L431">
        <v>2</v>
      </c>
      <c r="M431" t="s">
        <v>234</v>
      </c>
      <c r="N431" t="s">
        <v>235</v>
      </c>
      <c r="O431" t="s">
        <v>867</v>
      </c>
      <c r="P431" s="2" t="str">
        <f t="shared" si="18"/>
        <v>31/03/2025 to 03/04/2025</v>
      </c>
      <c r="Q431" s="3">
        <v>45747</v>
      </c>
      <c r="R431" t="str">
        <f t="shared" si="19"/>
        <v>On-Time</v>
      </c>
      <c r="S431" t="s">
        <v>320</v>
      </c>
      <c r="T431">
        <v>15.5</v>
      </c>
      <c r="U431" t="s">
        <v>65</v>
      </c>
      <c r="V431" t="s">
        <v>80</v>
      </c>
      <c r="W431" t="str">
        <f t="shared" ca="1" si="20"/>
        <v>Dormant</v>
      </c>
    </row>
    <row r="432" spans="1:23" x14ac:dyDescent="0.2">
      <c r="A432">
        <v>1222</v>
      </c>
      <c r="B432" t="s">
        <v>3594</v>
      </c>
      <c r="C432" t="s">
        <v>3600</v>
      </c>
      <c r="D432" s="1" t="s">
        <v>1039</v>
      </c>
      <c r="E432" t="s">
        <v>3596</v>
      </c>
      <c r="F432" t="s">
        <v>741</v>
      </c>
      <c r="G432" s="4" t="s">
        <v>5422</v>
      </c>
      <c r="H432" t="s">
        <v>1022</v>
      </c>
      <c r="I432" t="s">
        <v>93</v>
      </c>
      <c r="J432" s="4" t="s">
        <v>74</v>
      </c>
      <c r="K432" t="s">
        <v>4</v>
      </c>
      <c r="L432">
        <v>1</v>
      </c>
      <c r="M432" t="s">
        <v>234</v>
      </c>
      <c r="N432" t="s">
        <v>867</v>
      </c>
      <c r="O432" t="s">
        <v>235</v>
      </c>
      <c r="P432" s="2" t="str">
        <f t="shared" si="18"/>
        <v>31/03/2025 to 03/04/2025</v>
      </c>
      <c r="Q432" s="3">
        <v>45750</v>
      </c>
      <c r="R432" t="str">
        <f t="shared" si="19"/>
        <v>On-Time</v>
      </c>
      <c r="S432" t="s">
        <v>324</v>
      </c>
      <c r="T432">
        <v>8</v>
      </c>
      <c r="U432" t="s">
        <v>65</v>
      </c>
      <c r="V432" t="s">
        <v>72</v>
      </c>
      <c r="W432" t="str">
        <f t="shared" ca="1" si="20"/>
        <v>Dormant</v>
      </c>
    </row>
    <row r="433" spans="1:23" x14ac:dyDescent="0.2">
      <c r="A433">
        <v>1223</v>
      </c>
      <c r="B433" t="s">
        <v>3594</v>
      </c>
      <c r="C433" t="s">
        <v>3601</v>
      </c>
      <c r="D433" s="1" t="s">
        <v>1039</v>
      </c>
      <c r="E433" t="s">
        <v>3596</v>
      </c>
      <c r="F433" t="s">
        <v>741</v>
      </c>
      <c r="G433" s="4" t="s">
        <v>38</v>
      </c>
      <c r="H433" t="s">
        <v>1022</v>
      </c>
      <c r="I433" t="s">
        <v>93</v>
      </c>
      <c r="J433" s="4" t="s">
        <v>5417</v>
      </c>
      <c r="K433" t="s">
        <v>3602</v>
      </c>
      <c r="L433">
        <v>3</v>
      </c>
      <c r="M433" t="s">
        <v>1039</v>
      </c>
      <c r="N433" t="s">
        <v>1039</v>
      </c>
      <c r="O433" t="s">
        <v>234</v>
      </c>
      <c r="P433" s="2" t="str">
        <f t="shared" si="18"/>
        <v>27/03/2025 to 01/04/2025</v>
      </c>
      <c r="Q433" s="3">
        <v>45748</v>
      </c>
      <c r="R433" t="str">
        <f t="shared" si="19"/>
        <v>On-Time</v>
      </c>
      <c r="S433" t="s">
        <v>320</v>
      </c>
      <c r="T433">
        <v>30</v>
      </c>
      <c r="U433" t="s">
        <v>79</v>
      </c>
      <c r="V433" t="s">
        <v>80</v>
      </c>
      <c r="W433" t="str">
        <f t="shared" ca="1" si="20"/>
        <v>Dormant</v>
      </c>
    </row>
    <row r="434" spans="1:23" x14ac:dyDescent="0.2">
      <c r="A434">
        <v>1372</v>
      </c>
      <c r="B434" t="s">
        <v>3953</v>
      </c>
      <c r="C434" t="s">
        <v>3954</v>
      </c>
      <c r="D434" s="1" t="s">
        <v>1039</v>
      </c>
      <c r="E434" t="s">
        <v>3955</v>
      </c>
      <c r="F434" t="s">
        <v>626</v>
      </c>
      <c r="G434" s="4" t="s">
        <v>5419</v>
      </c>
      <c r="H434" t="s">
        <v>2811</v>
      </c>
      <c r="I434" t="s">
        <v>201</v>
      </c>
      <c r="J434" s="4" t="s">
        <v>5417</v>
      </c>
      <c r="K434" t="s">
        <v>3956</v>
      </c>
      <c r="L434">
        <v>4</v>
      </c>
      <c r="M434" t="s">
        <v>234</v>
      </c>
      <c r="N434" t="s">
        <v>235</v>
      </c>
      <c r="O434" t="s">
        <v>234</v>
      </c>
      <c r="P434" s="2" t="str">
        <f t="shared" si="18"/>
        <v>31/03/2025 to 03/04/2025</v>
      </c>
      <c r="Q434" s="3">
        <v>45747</v>
      </c>
      <c r="R434" t="str">
        <f t="shared" si="19"/>
        <v>On-Time</v>
      </c>
      <c r="S434" t="s">
        <v>980</v>
      </c>
      <c r="T434">
        <v>39.5</v>
      </c>
      <c r="U434" t="s">
        <v>79</v>
      </c>
      <c r="V434" t="s">
        <v>66</v>
      </c>
      <c r="W434" t="str">
        <f t="shared" ca="1" si="20"/>
        <v>Dormant</v>
      </c>
    </row>
    <row r="435" spans="1:23" x14ac:dyDescent="0.2">
      <c r="A435">
        <v>210</v>
      </c>
      <c r="B435" t="s">
        <v>970</v>
      </c>
      <c r="C435" t="s">
        <v>971</v>
      </c>
      <c r="D435" s="1" t="s">
        <v>972</v>
      </c>
      <c r="E435" t="s">
        <v>973</v>
      </c>
      <c r="F435" t="s">
        <v>134</v>
      </c>
      <c r="G435" s="4" t="s">
        <v>5424</v>
      </c>
      <c r="H435" t="s">
        <v>974</v>
      </c>
      <c r="I435" t="s">
        <v>59</v>
      </c>
      <c r="J435" s="4" t="s">
        <v>68</v>
      </c>
      <c r="K435" t="s">
        <v>975</v>
      </c>
      <c r="L435">
        <v>4</v>
      </c>
      <c r="M435" t="s">
        <v>234</v>
      </c>
      <c r="N435" t="s">
        <v>867</v>
      </c>
      <c r="O435" t="s">
        <v>234</v>
      </c>
      <c r="P435" s="2" t="str">
        <f t="shared" si="18"/>
        <v>31/03/2025 to 03/04/2025</v>
      </c>
      <c r="Q435" s="3">
        <v>45743</v>
      </c>
      <c r="R435" t="str">
        <f t="shared" si="19"/>
        <v>Late</v>
      </c>
      <c r="S435" t="s">
        <v>976</v>
      </c>
      <c r="T435">
        <v>35.5</v>
      </c>
      <c r="U435" t="s">
        <v>65</v>
      </c>
      <c r="V435" t="s">
        <v>72</v>
      </c>
      <c r="W435" t="str">
        <f t="shared" ca="1" si="20"/>
        <v>Dormant</v>
      </c>
    </row>
    <row r="436" spans="1:23" x14ac:dyDescent="0.2">
      <c r="A436">
        <v>211</v>
      </c>
      <c r="B436" t="s">
        <v>970</v>
      </c>
      <c r="C436" t="s">
        <v>977</v>
      </c>
      <c r="D436" s="1" t="s">
        <v>972</v>
      </c>
      <c r="E436" t="s">
        <v>973</v>
      </c>
      <c r="F436" t="s">
        <v>134</v>
      </c>
      <c r="G436" s="4" t="s">
        <v>5425</v>
      </c>
      <c r="H436" t="s">
        <v>974</v>
      </c>
      <c r="I436" t="s">
        <v>59</v>
      </c>
      <c r="J436" s="4" t="s">
        <v>74</v>
      </c>
      <c r="K436" t="s">
        <v>978</v>
      </c>
      <c r="L436">
        <v>3</v>
      </c>
      <c r="M436" t="s">
        <v>234</v>
      </c>
      <c r="N436" t="s">
        <v>867</v>
      </c>
      <c r="O436" t="s">
        <v>235</v>
      </c>
      <c r="P436" s="2" t="str">
        <f t="shared" si="18"/>
        <v>31/03/2025 to 03/04/2025</v>
      </c>
      <c r="Q436" s="3">
        <v>45747</v>
      </c>
      <c r="R436" t="str">
        <f t="shared" si="19"/>
        <v>On-Time</v>
      </c>
      <c r="S436" t="s">
        <v>980</v>
      </c>
      <c r="T436">
        <v>28.5</v>
      </c>
      <c r="U436" t="s">
        <v>65</v>
      </c>
      <c r="V436" t="s">
        <v>66</v>
      </c>
      <c r="W436" t="str">
        <f t="shared" ca="1" si="20"/>
        <v>Dormant</v>
      </c>
    </row>
    <row r="437" spans="1:23" x14ac:dyDescent="0.2">
      <c r="A437">
        <v>327</v>
      </c>
      <c r="B437" t="s">
        <v>1336</v>
      </c>
      <c r="C437" t="s">
        <v>1337</v>
      </c>
      <c r="D437" s="1" t="s">
        <v>972</v>
      </c>
      <c r="E437" t="s">
        <v>1338</v>
      </c>
      <c r="F437" t="s">
        <v>881</v>
      </c>
      <c r="G437" s="4" t="s">
        <v>5426</v>
      </c>
      <c r="H437" t="s">
        <v>1339</v>
      </c>
      <c r="I437" t="s">
        <v>59</v>
      </c>
      <c r="J437" s="4" t="s">
        <v>74</v>
      </c>
      <c r="K437" t="s">
        <v>1340</v>
      </c>
      <c r="L437">
        <v>2</v>
      </c>
      <c r="M437" t="s">
        <v>235</v>
      </c>
      <c r="N437" t="s">
        <v>867</v>
      </c>
      <c r="O437" t="s">
        <v>235</v>
      </c>
      <c r="P437" s="2" t="str">
        <f t="shared" si="18"/>
        <v>01/04/2025 to 04/04/2025</v>
      </c>
      <c r="Q437" s="3">
        <v>45750</v>
      </c>
      <c r="R437" t="str">
        <f t="shared" si="19"/>
        <v>On-Time</v>
      </c>
      <c r="S437" t="s">
        <v>324</v>
      </c>
      <c r="T437">
        <v>18</v>
      </c>
      <c r="U437" t="s">
        <v>65</v>
      </c>
      <c r="V437" t="s">
        <v>72</v>
      </c>
      <c r="W437" t="str">
        <f t="shared" ca="1" si="20"/>
        <v>Dormant</v>
      </c>
    </row>
    <row r="438" spans="1:23" x14ac:dyDescent="0.2">
      <c r="A438">
        <v>328</v>
      </c>
      <c r="B438" t="s">
        <v>1336</v>
      </c>
      <c r="C438" t="s">
        <v>1341</v>
      </c>
      <c r="D438" s="1" t="s">
        <v>972</v>
      </c>
      <c r="E438" t="s">
        <v>1338</v>
      </c>
      <c r="F438" t="s">
        <v>881</v>
      </c>
      <c r="G438" s="4" t="s">
        <v>5418</v>
      </c>
      <c r="H438" t="s">
        <v>1339</v>
      </c>
      <c r="I438" t="s">
        <v>59</v>
      </c>
      <c r="J438" s="4" t="s">
        <v>68</v>
      </c>
      <c r="K438" t="s">
        <v>24</v>
      </c>
      <c r="L438">
        <v>1</v>
      </c>
      <c r="M438" t="s">
        <v>972</v>
      </c>
      <c r="N438" t="s">
        <v>972</v>
      </c>
      <c r="O438" t="s">
        <v>972</v>
      </c>
      <c r="P438" s="2" t="str">
        <f t="shared" si="18"/>
        <v>28/03/2025 to 02/04/2025</v>
      </c>
      <c r="Q438" s="3">
        <v>45748</v>
      </c>
      <c r="R438" t="str">
        <f t="shared" si="19"/>
        <v>On-Time</v>
      </c>
      <c r="S438" t="s">
        <v>980</v>
      </c>
      <c r="T438">
        <v>8</v>
      </c>
      <c r="U438" t="s">
        <v>65</v>
      </c>
      <c r="V438" t="s">
        <v>80</v>
      </c>
      <c r="W438" t="str">
        <f t="shared" ca="1" si="20"/>
        <v>Dormant</v>
      </c>
    </row>
    <row r="439" spans="1:23" x14ac:dyDescent="0.2">
      <c r="A439">
        <v>329</v>
      </c>
      <c r="B439" t="s">
        <v>1336</v>
      </c>
      <c r="C439" t="s">
        <v>1342</v>
      </c>
      <c r="D439" s="1" t="s">
        <v>972</v>
      </c>
      <c r="E439" t="s">
        <v>1338</v>
      </c>
      <c r="F439" t="s">
        <v>881</v>
      </c>
      <c r="G439" s="4" t="s">
        <v>5421</v>
      </c>
      <c r="H439" t="s">
        <v>1339</v>
      </c>
      <c r="I439" t="s">
        <v>59</v>
      </c>
      <c r="J439" s="4" t="s">
        <v>74</v>
      </c>
      <c r="K439" t="s">
        <v>1343</v>
      </c>
      <c r="L439">
        <v>4</v>
      </c>
      <c r="M439" t="s">
        <v>235</v>
      </c>
      <c r="N439" t="s">
        <v>235</v>
      </c>
      <c r="O439" t="s">
        <v>867</v>
      </c>
      <c r="P439" s="2" t="str">
        <f t="shared" si="18"/>
        <v>01/04/2025 to 04/04/2025</v>
      </c>
      <c r="Q439" s="3">
        <v>45747</v>
      </c>
      <c r="R439" t="str">
        <f t="shared" si="19"/>
        <v>Late</v>
      </c>
      <c r="S439" t="s">
        <v>980</v>
      </c>
      <c r="T439">
        <v>45</v>
      </c>
      <c r="U439" t="s">
        <v>79</v>
      </c>
      <c r="V439" t="s">
        <v>66</v>
      </c>
      <c r="W439" t="str">
        <f t="shared" ca="1" si="20"/>
        <v>Dormant</v>
      </c>
    </row>
    <row r="440" spans="1:23" x14ac:dyDescent="0.2">
      <c r="A440">
        <v>330</v>
      </c>
      <c r="B440" t="s">
        <v>1336</v>
      </c>
      <c r="C440" t="s">
        <v>1344</v>
      </c>
      <c r="D440" s="1" t="s">
        <v>972</v>
      </c>
      <c r="E440" t="s">
        <v>1338</v>
      </c>
      <c r="F440" t="s">
        <v>881</v>
      </c>
      <c r="G440" s="4" t="s">
        <v>5420</v>
      </c>
      <c r="H440" t="s">
        <v>1339</v>
      </c>
      <c r="I440" t="s">
        <v>59</v>
      </c>
      <c r="J440" s="4" t="s">
        <v>5417</v>
      </c>
      <c r="K440" t="s">
        <v>10</v>
      </c>
      <c r="L440">
        <v>1</v>
      </c>
      <c r="M440" t="s">
        <v>234</v>
      </c>
      <c r="N440" t="s">
        <v>234</v>
      </c>
      <c r="O440" t="s">
        <v>234</v>
      </c>
      <c r="P440" s="2" t="str">
        <f t="shared" si="18"/>
        <v>31/03/2025 to 03/04/2025</v>
      </c>
      <c r="Q440" s="3">
        <v>45748</v>
      </c>
      <c r="R440" t="str">
        <f t="shared" si="19"/>
        <v>On-Time</v>
      </c>
      <c r="S440" t="s">
        <v>980</v>
      </c>
      <c r="T440">
        <v>10</v>
      </c>
      <c r="U440" t="s">
        <v>79</v>
      </c>
      <c r="V440" t="s">
        <v>66</v>
      </c>
      <c r="W440" t="str">
        <f t="shared" ca="1" si="20"/>
        <v>Dormant</v>
      </c>
    </row>
    <row r="441" spans="1:23" x14ac:dyDescent="0.2">
      <c r="A441">
        <v>426</v>
      </c>
      <c r="B441" t="s">
        <v>1614</v>
      </c>
      <c r="C441" t="s">
        <v>1615</v>
      </c>
      <c r="D441" s="1" t="s">
        <v>972</v>
      </c>
      <c r="E441" t="s">
        <v>1616</v>
      </c>
      <c r="F441" t="s">
        <v>1139</v>
      </c>
      <c r="G441" s="4" t="s">
        <v>5428</v>
      </c>
      <c r="H441" t="s">
        <v>1617</v>
      </c>
      <c r="I441" t="s">
        <v>93</v>
      </c>
      <c r="J441" s="4" t="s">
        <v>68</v>
      </c>
      <c r="K441" t="s">
        <v>204</v>
      </c>
      <c r="L441">
        <v>2</v>
      </c>
      <c r="M441" t="s">
        <v>972</v>
      </c>
      <c r="N441" t="s">
        <v>234</v>
      </c>
      <c r="O441" t="s">
        <v>234</v>
      </c>
      <c r="P441" s="2" t="str">
        <f t="shared" si="18"/>
        <v>28/03/2025 to 02/04/2025</v>
      </c>
      <c r="Q441" s="3">
        <v>45747</v>
      </c>
      <c r="R441" t="str">
        <f t="shared" si="19"/>
        <v>On-Time</v>
      </c>
      <c r="S441" t="s">
        <v>979</v>
      </c>
      <c r="T441">
        <v>20</v>
      </c>
      <c r="U441" t="s">
        <v>65</v>
      </c>
      <c r="V441" t="s">
        <v>72</v>
      </c>
      <c r="W441" t="str">
        <f t="shared" ca="1" si="20"/>
        <v>Dormant</v>
      </c>
    </row>
    <row r="442" spans="1:23" x14ac:dyDescent="0.2">
      <c r="A442">
        <v>427</v>
      </c>
      <c r="B442" t="s">
        <v>1614</v>
      </c>
      <c r="C442" t="s">
        <v>1618</v>
      </c>
      <c r="D442" s="1" t="s">
        <v>972</v>
      </c>
      <c r="E442" t="s">
        <v>1616</v>
      </c>
      <c r="F442" t="s">
        <v>1139</v>
      </c>
      <c r="G442" s="4" t="s">
        <v>5421</v>
      </c>
      <c r="H442" t="s">
        <v>1617</v>
      </c>
      <c r="I442" t="s">
        <v>93</v>
      </c>
      <c r="J442" s="4" t="s">
        <v>68</v>
      </c>
      <c r="K442" t="s">
        <v>24</v>
      </c>
      <c r="L442">
        <v>1</v>
      </c>
      <c r="M442" t="s">
        <v>235</v>
      </c>
      <c r="N442" t="s">
        <v>235</v>
      </c>
      <c r="O442" t="s">
        <v>235</v>
      </c>
      <c r="P442" s="2" t="str">
        <f t="shared" si="18"/>
        <v>01/04/2025 to 04/04/2025</v>
      </c>
      <c r="Q442" s="3">
        <v>45747</v>
      </c>
      <c r="R442" t="str">
        <f t="shared" si="19"/>
        <v>Late</v>
      </c>
      <c r="S442" t="s">
        <v>980</v>
      </c>
      <c r="T442">
        <v>8</v>
      </c>
      <c r="U442" t="s">
        <v>79</v>
      </c>
      <c r="V442" t="s">
        <v>80</v>
      </c>
      <c r="W442" t="str">
        <f t="shared" ca="1" si="20"/>
        <v>Dormant</v>
      </c>
    </row>
    <row r="443" spans="1:23" x14ac:dyDescent="0.2">
      <c r="A443">
        <v>428</v>
      </c>
      <c r="B443" t="s">
        <v>1614</v>
      </c>
      <c r="C443" t="s">
        <v>1619</v>
      </c>
      <c r="D443" s="1" t="s">
        <v>972</v>
      </c>
      <c r="E443" t="s">
        <v>1616</v>
      </c>
      <c r="F443" t="s">
        <v>1139</v>
      </c>
      <c r="G443" s="4" t="s">
        <v>5418</v>
      </c>
      <c r="H443" t="s">
        <v>1617</v>
      </c>
      <c r="I443" t="s">
        <v>93</v>
      </c>
      <c r="J443" s="4" t="s">
        <v>74</v>
      </c>
      <c r="K443" t="s">
        <v>1620</v>
      </c>
      <c r="L443">
        <v>4</v>
      </c>
      <c r="M443" t="s">
        <v>972</v>
      </c>
      <c r="N443" t="s">
        <v>235</v>
      </c>
      <c r="O443" t="s">
        <v>234</v>
      </c>
      <c r="P443" s="2" t="str">
        <f t="shared" si="18"/>
        <v>28/03/2025 to 02/04/2025</v>
      </c>
      <c r="Q443" s="3">
        <v>45745</v>
      </c>
      <c r="R443" t="str">
        <f t="shared" si="19"/>
        <v>On-Time</v>
      </c>
      <c r="S443" t="s">
        <v>1621</v>
      </c>
      <c r="T443">
        <v>37.5</v>
      </c>
      <c r="U443" t="s">
        <v>65</v>
      </c>
      <c r="V443" t="s">
        <v>72</v>
      </c>
      <c r="W443" t="str">
        <f t="shared" ca="1" si="20"/>
        <v>Dormant</v>
      </c>
    </row>
    <row r="444" spans="1:23" x14ac:dyDescent="0.2">
      <c r="A444">
        <v>429</v>
      </c>
      <c r="B444" t="s">
        <v>1614</v>
      </c>
      <c r="C444" t="s">
        <v>1622</v>
      </c>
      <c r="D444" s="1" t="s">
        <v>972</v>
      </c>
      <c r="E444" t="s">
        <v>1616</v>
      </c>
      <c r="F444" t="s">
        <v>1139</v>
      </c>
      <c r="G444" s="4" t="s">
        <v>5418</v>
      </c>
      <c r="H444" t="s">
        <v>1617</v>
      </c>
      <c r="I444" t="s">
        <v>93</v>
      </c>
      <c r="J444" s="4" t="s">
        <v>68</v>
      </c>
      <c r="K444" t="s">
        <v>10</v>
      </c>
      <c r="L444">
        <v>1</v>
      </c>
      <c r="M444" t="s">
        <v>972</v>
      </c>
      <c r="N444" t="s">
        <v>234</v>
      </c>
      <c r="O444" t="s">
        <v>972</v>
      </c>
      <c r="P444" s="2" t="str">
        <f t="shared" si="18"/>
        <v>28/03/2025 to 02/04/2025</v>
      </c>
      <c r="Q444" s="3">
        <v>45745</v>
      </c>
      <c r="R444" t="str">
        <f t="shared" si="19"/>
        <v>On-Time</v>
      </c>
      <c r="S444" t="s">
        <v>1059</v>
      </c>
      <c r="T444">
        <v>10</v>
      </c>
      <c r="U444" t="s">
        <v>65</v>
      </c>
      <c r="V444" t="s">
        <v>66</v>
      </c>
      <c r="W444" t="str">
        <f t="shared" ca="1" si="20"/>
        <v>Dormant</v>
      </c>
    </row>
    <row r="445" spans="1:23" x14ac:dyDescent="0.2">
      <c r="A445">
        <v>430</v>
      </c>
      <c r="B445" t="s">
        <v>1614</v>
      </c>
      <c r="C445" t="s">
        <v>1623</v>
      </c>
      <c r="D445" s="1" t="s">
        <v>972</v>
      </c>
      <c r="E445" t="s">
        <v>1616</v>
      </c>
      <c r="F445" t="s">
        <v>1139</v>
      </c>
      <c r="G445" s="4" t="s">
        <v>5423</v>
      </c>
      <c r="H445" t="s">
        <v>1617</v>
      </c>
      <c r="I445" t="s">
        <v>93</v>
      </c>
      <c r="J445" s="4" t="s">
        <v>74</v>
      </c>
      <c r="K445" t="s">
        <v>26</v>
      </c>
      <c r="L445">
        <v>1</v>
      </c>
      <c r="M445" t="s">
        <v>234</v>
      </c>
      <c r="N445" t="s">
        <v>234</v>
      </c>
      <c r="O445" t="s">
        <v>235</v>
      </c>
      <c r="P445" s="2" t="str">
        <f t="shared" si="18"/>
        <v>31/03/2025 to 03/04/2025</v>
      </c>
      <c r="Q445" s="3">
        <v>45747</v>
      </c>
      <c r="R445" t="str">
        <f t="shared" si="19"/>
        <v>On-Time</v>
      </c>
      <c r="S445" t="s">
        <v>980</v>
      </c>
      <c r="T445">
        <v>9</v>
      </c>
      <c r="U445" t="s">
        <v>79</v>
      </c>
      <c r="V445" t="s">
        <v>66</v>
      </c>
      <c r="W445" t="str">
        <f t="shared" ca="1" si="20"/>
        <v>Dormant</v>
      </c>
    </row>
    <row r="446" spans="1:23" x14ac:dyDescent="0.2">
      <c r="A446">
        <v>813</v>
      </c>
      <c r="B446" t="s">
        <v>2605</v>
      </c>
      <c r="C446" t="s">
        <v>2606</v>
      </c>
      <c r="D446" s="1" t="s">
        <v>972</v>
      </c>
      <c r="E446" t="s">
        <v>2607</v>
      </c>
      <c r="F446" t="s">
        <v>881</v>
      </c>
      <c r="G446" s="4" t="s">
        <v>5428</v>
      </c>
      <c r="H446" t="s">
        <v>2608</v>
      </c>
      <c r="I446" t="s">
        <v>59</v>
      </c>
      <c r="J446" s="4" t="s">
        <v>60</v>
      </c>
      <c r="K446" t="s">
        <v>2483</v>
      </c>
      <c r="L446">
        <v>2</v>
      </c>
      <c r="M446" t="s">
        <v>972</v>
      </c>
      <c r="N446" t="s">
        <v>972</v>
      </c>
      <c r="O446" t="s">
        <v>972</v>
      </c>
      <c r="P446" s="2" t="str">
        <f t="shared" si="18"/>
        <v>28/03/2025 to 02/04/2025</v>
      </c>
      <c r="Q446" s="3">
        <v>45743</v>
      </c>
      <c r="R446" t="str">
        <f t="shared" si="19"/>
        <v>Late</v>
      </c>
      <c r="S446" t="s">
        <v>998</v>
      </c>
      <c r="T446">
        <v>18.5</v>
      </c>
      <c r="U446" t="s">
        <v>65</v>
      </c>
      <c r="V446" t="s">
        <v>80</v>
      </c>
      <c r="W446" t="str">
        <f t="shared" ca="1" si="20"/>
        <v>Dormant</v>
      </c>
    </row>
    <row r="447" spans="1:23" x14ac:dyDescent="0.2">
      <c r="A447">
        <v>313</v>
      </c>
      <c r="B447" t="s">
        <v>1296</v>
      </c>
      <c r="C447" t="s">
        <v>1297</v>
      </c>
      <c r="D447" s="1" t="s">
        <v>234</v>
      </c>
      <c r="E447" t="s">
        <v>1298</v>
      </c>
      <c r="F447" t="s">
        <v>57</v>
      </c>
      <c r="G447" s="4" t="s">
        <v>5420</v>
      </c>
      <c r="H447" t="s">
        <v>1299</v>
      </c>
      <c r="I447" t="s">
        <v>201</v>
      </c>
      <c r="J447" s="4" t="s">
        <v>74</v>
      </c>
      <c r="K447" t="s">
        <v>1300</v>
      </c>
      <c r="L447">
        <v>4</v>
      </c>
      <c r="M447" t="s">
        <v>867</v>
      </c>
      <c r="N447" t="s">
        <v>928</v>
      </c>
      <c r="O447" t="s">
        <v>928</v>
      </c>
      <c r="P447" s="2" t="str">
        <f t="shared" si="18"/>
        <v>01/04/2025 to 04/04/2025</v>
      </c>
      <c r="Q447" s="3">
        <v>45748</v>
      </c>
      <c r="R447" t="str">
        <f t="shared" si="19"/>
        <v>On-Time</v>
      </c>
      <c r="S447" t="s">
        <v>324</v>
      </c>
      <c r="T447">
        <v>38.5</v>
      </c>
      <c r="U447" t="s">
        <v>79</v>
      </c>
      <c r="V447" t="s">
        <v>66</v>
      </c>
      <c r="W447" t="str">
        <f t="shared" ca="1" si="20"/>
        <v>Dormant</v>
      </c>
    </row>
    <row r="448" spans="1:23" x14ac:dyDescent="0.2">
      <c r="A448">
        <v>314</v>
      </c>
      <c r="B448" t="s">
        <v>1296</v>
      </c>
      <c r="C448" t="s">
        <v>1301</v>
      </c>
      <c r="D448" s="1" t="s">
        <v>234</v>
      </c>
      <c r="E448" t="s">
        <v>1298</v>
      </c>
      <c r="F448" t="s">
        <v>57</v>
      </c>
      <c r="G448" s="4" t="s">
        <v>5427</v>
      </c>
      <c r="H448" t="s">
        <v>1299</v>
      </c>
      <c r="I448" t="s">
        <v>201</v>
      </c>
      <c r="J448" s="4" t="s">
        <v>60</v>
      </c>
      <c r="K448" t="s">
        <v>1302</v>
      </c>
      <c r="L448">
        <v>3</v>
      </c>
      <c r="M448" t="s">
        <v>867</v>
      </c>
      <c r="N448" t="s">
        <v>928</v>
      </c>
      <c r="O448" t="s">
        <v>928</v>
      </c>
      <c r="P448" s="2" t="str">
        <f t="shared" si="18"/>
        <v>01/04/2025 to 04/04/2025</v>
      </c>
      <c r="Q448" s="3">
        <v>45748</v>
      </c>
      <c r="R448" t="str">
        <f t="shared" si="19"/>
        <v>On-Time</v>
      </c>
      <c r="S448" t="s">
        <v>324</v>
      </c>
      <c r="T448">
        <v>26</v>
      </c>
      <c r="U448" t="s">
        <v>79</v>
      </c>
      <c r="V448" t="s">
        <v>80</v>
      </c>
      <c r="W448" t="str">
        <f t="shared" ca="1" si="20"/>
        <v>Dormant</v>
      </c>
    </row>
    <row r="449" spans="1:23" x14ac:dyDescent="0.2">
      <c r="A449">
        <v>315</v>
      </c>
      <c r="B449" t="s">
        <v>1296</v>
      </c>
      <c r="C449" t="s">
        <v>1303</v>
      </c>
      <c r="D449" s="1" t="s">
        <v>234</v>
      </c>
      <c r="E449" t="s">
        <v>1298</v>
      </c>
      <c r="F449" t="s">
        <v>57</v>
      </c>
      <c r="G449" s="4" t="s">
        <v>38</v>
      </c>
      <c r="H449" t="s">
        <v>1299</v>
      </c>
      <c r="I449" t="s">
        <v>201</v>
      </c>
      <c r="J449" s="4" t="s">
        <v>5417</v>
      </c>
      <c r="K449" t="s">
        <v>1110</v>
      </c>
      <c r="L449">
        <v>2</v>
      </c>
      <c r="M449" t="s">
        <v>235</v>
      </c>
      <c r="N449" t="s">
        <v>235</v>
      </c>
      <c r="O449" t="s">
        <v>928</v>
      </c>
      <c r="P449" s="2" t="str">
        <f t="shared" si="18"/>
        <v>01/04/2025 to 04/04/2025</v>
      </c>
      <c r="Q449" s="3">
        <v>45750</v>
      </c>
      <c r="R449" t="str">
        <f t="shared" si="19"/>
        <v>On-Time</v>
      </c>
      <c r="S449" t="s">
        <v>324</v>
      </c>
      <c r="T449">
        <v>16.5</v>
      </c>
      <c r="U449" t="s">
        <v>79</v>
      </c>
      <c r="V449" t="s">
        <v>66</v>
      </c>
      <c r="W449" t="str">
        <f t="shared" ca="1" si="20"/>
        <v>Dormant</v>
      </c>
    </row>
    <row r="450" spans="1:23" x14ac:dyDescent="0.2">
      <c r="A450">
        <v>1671</v>
      </c>
      <c r="B450" t="s">
        <v>4671</v>
      </c>
      <c r="C450" t="s">
        <v>4672</v>
      </c>
      <c r="D450" s="1" t="s">
        <v>234</v>
      </c>
      <c r="E450" t="s">
        <v>4673</v>
      </c>
      <c r="F450" t="s">
        <v>134</v>
      </c>
      <c r="G450" s="4" t="s">
        <v>5418</v>
      </c>
      <c r="H450" t="s">
        <v>4674</v>
      </c>
      <c r="I450" t="s">
        <v>93</v>
      </c>
      <c r="J450" s="4" t="s">
        <v>60</v>
      </c>
      <c r="K450" t="s">
        <v>2508</v>
      </c>
      <c r="L450">
        <v>3</v>
      </c>
      <c r="M450" t="s">
        <v>234</v>
      </c>
      <c r="N450" t="s">
        <v>235</v>
      </c>
      <c r="O450" t="s">
        <v>234</v>
      </c>
      <c r="P450" s="2" t="str">
        <f t="shared" ref="P450:P513" si="21">IF(ISBLANK(M450), "", TEXT(WORKDAY(M450, 7), "dd/mm/yyyy") &amp; " to " &amp; TEXT(WORKDAY(M450, 10), "dd/mm/yyyy"))</f>
        <v>31/03/2025 to 03/04/2025</v>
      </c>
      <c r="Q450" s="3">
        <v>45745</v>
      </c>
      <c r="R450" t="str">
        <f t="shared" ref="R450:R513" si="22">IF(Q450="","In Progress",
IF(AND(--Q450&gt;=DATEVALUE(LEFT(P450,10)),
       --Q450&lt;=DATEVALUE(TRIM(MID(P450,FIND("to",P450)+3,10)))),
   "On-Time","Late"))</f>
        <v>Late</v>
      </c>
      <c r="S450" t="s">
        <v>1059</v>
      </c>
      <c r="T450">
        <v>30.5</v>
      </c>
      <c r="U450" t="s">
        <v>65</v>
      </c>
      <c r="V450" t="s">
        <v>80</v>
      </c>
      <c r="W450" t="str">
        <f t="shared" ca="1" si="20"/>
        <v>Dormant</v>
      </c>
    </row>
    <row r="451" spans="1:23" x14ac:dyDescent="0.2">
      <c r="A451">
        <v>1672</v>
      </c>
      <c r="B451" t="s">
        <v>4671</v>
      </c>
      <c r="C451" t="s">
        <v>4675</v>
      </c>
      <c r="D451" s="1" t="s">
        <v>234</v>
      </c>
      <c r="E451" t="s">
        <v>4673</v>
      </c>
      <c r="F451" t="s">
        <v>134</v>
      </c>
      <c r="G451" s="4" t="s">
        <v>5418</v>
      </c>
      <c r="H451" t="s">
        <v>4674</v>
      </c>
      <c r="I451" t="s">
        <v>93</v>
      </c>
      <c r="J451" s="4" t="s">
        <v>5417</v>
      </c>
      <c r="K451" t="s">
        <v>4676</v>
      </c>
      <c r="L451">
        <v>3</v>
      </c>
      <c r="M451" t="s">
        <v>867</v>
      </c>
      <c r="N451" t="s">
        <v>928</v>
      </c>
      <c r="O451" t="s">
        <v>867</v>
      </c>
      <c r="P451" s="2" t="str">
        <f t="shared" si="21"/>
        <v>01/04/2025 to 04/04/2025</v>
      </c>
      <c r="Q451" s="3">
        <v>45745</v>
      </c>
      <c r="R451" t="str">
        <f t="shared" si="22"/>
        <v>Late</v>
      </c>
      <c r="S451" t="s">
        <v>1621</v>
      </c>
      <c r="T451">
        <v>27</v>
      </c>
      <c r="U451" t="s">
        <v>65</v>
      </c>
      <c r="V451" t="s">
        <v>66</v>
      </c>
      <c r="W451" t="str">
        <f t="shared" ref="W451:W514" ca="1" si="23">IF(D451="","",
IF(TODAY()-D451&lt;=120,"Active",
IF(TODAY()-D451&lt;=210,"At Risk",
IF(TODAY()-D451&lt;=395,"Dormant",
IF(TODAY()-D451&lt;=730,"Inactive","Archived")))))</f>
        <v>Dormant</v>
      </c>
    </row>
    <row r="452" spans="1:23" x14ac:dyDescent="0.2">
      <c r="A452">
        <v>1673</v>
      </c>
      <c r="B452" t="s">
        <v>4671</v>
      </c>
      <c r="C452" t="s">
        <v>4677</v>
      </c>
      <c r="D452" s="1" t="s">
        <v>234</v>
      </c>
      <c r="E452" t="s">
        <v>4673</v>
      </c>
      <c r="F452" t="s">
        <v>134</v>
      </c>
      <c r="G452" s="4" t="s">
        <v>38</v>
      </c>
      <c r="H452" t="s">
        <v>4674</v>
      </c>
      <c r="I452" t="s">
        <v>93</v>
      </c>
      <c r="J452" s="4" t="s">
        <v>68</v>
      </c>
      <c r="K452" t="s">
        <v>2389</v>
      </c>
      <c r="L452">
        <v>2</v>
      </c>
      <c r="M452" t="s">
        <v>234</v>
      </c>
      <c r="N452" t="s">
        <v>235</v>
      </c>
      <c r="O452" t="s">
        <v>234</v>
      </c>
      <c r="P452" s="2" t="str">
        <f t="shared" si="21"/>
        <v>31/03/2025 to 03/04/2025</v>
      </c>
      <c r="Q452" s="3">
        <v>45743</v>
      </c>
      <c r="R452" t="str">
        <f t="shared" si="22"/>
        <v>Late</v>
      </c>
      <c r="S452" t="s">
        <v>976</v>
      </c>
      <c r="T452">
        <v>18</v>
      </c>
      <c r="U452" t="s">
        <v>79</v>
      </c>
      <c r="V452" t="s">
        <v>80</v>
      </c>
      <c r="W452" t="str">
        <f t="shared" ca="1" si="23"/>
        <v>Dormant</v>
      </c>
    </row>
    <row r="453" spans="1:23" x14ac:dyDescent="0.2">
      <c r="A453">
        <v>1674</v>
      </c>
      <c r="B453" t="s">
        <v>4671</v>
      </c>
      <c r="C453" t="s">
        <v>4678</v>
      </c>
      <c r="D453" s="1" t="s">
        <v>234</v>
      </c>
      <c r="E453" t="s">
        <v>4673</v>
      </c>
      <c r="F453" t="s">
        <v>134</v>
      </c>
      <c r="G453" s="4" t="s">
        <v>5424</v>
      </c>
      <c r="H453" t="s">
        <v>4674</v>
      </c>
      <c r="I453" t="s">
        <v>93</v>
      </c>
      <c r="J453" s="4" t="s">
        <v>5417</v>
      </c>
      <c r="K453" t="s">
        <v>4679</v>
      </c>
      <c r="L453">
        <v>4</v>
      </c>
      <c r="M453" t="s">
        <v>235</v>
      </c>
      <c r="N453" t="s">
        <v>867</v>
      </c>
      <c r="O453" t="s">
        <v>867</v>
      </c>
      <c r="P453" s="2" t="str">
        <f t="shared" si="21"/>
        <v>01/04/2025 to 04/04/2025</v>
      </c>
      <c r="Q453" s="3">
        <v>45750</v>
      </c>
      <c r="R453" t="str">
        <f t="shared" si="22"/>
        <v>On-Time</v>
      </c>
      <c r="S453" t="s">
        <v>329</v>
      </c>
      <c r="T453">
        <v>41.5</v>
      </c>
      <c r="U453" t="s">
        <v>79</v>
      </c>
      <c r="V453" t="s">
        <v>80</v>
      </c>
      <c r="W453" t="str">
        <f t="shared" ca="1" si="23"/>
        <v>Dormant</v>
      </c>
    </row>
    <row r="454" spans="1:23" x14ac:dyDescent="0.2">
      <c r="A454">
        <v>1675</v>
      </c>
      <c r="B454" t="s">
        <v>4671</v>
      </c>
      <c r="C454" t="s">
        <v>4680</v>
      </c>
      <c r="D454" s="1" t="s">
        <v>234</v>
      </c>
      <c r="E454" t="s">
        <v>4673</v>
      </c>
      <c r="F454" t="s">
        <v>134</v>
      </c>
      <c r="G454" s="4" t="s">
        <v>5423</v>
      </c>
      <c r="H454" t="s">
        <v>4674</v>
      </c>
      <c r="I454" t="s">
        <v>93</v>
      </c>
      <c r="J454" s="4" t="s">
        <v>74</v>
      </c>
      <c r="K454" t="s">
        <v>4681</v>
      </c>
      <c r="L454">
        <v>4</v>
      </c>
      <c r="M454" t="s">
        <v>867</v>
      </c>
      <c r="N454" t="s">
        <v>928</v>
      </c>
      <c r="O454" t="s">
        <v>928</v>
      </c>
      <c r="P454" s="2" t="str">
        <f t="shared" si="21"/>
        <v>01/04/2025 to 04/04/2025</v>
      </c>
      <c r="Q454" s="3">
        <v>45751</v>
      </c>
      <c r="R454" t="str">
        <f t="shared" si="22"/>
        <v>On-Time</v>
      </c>
      <c r="S454" t="s">
        <v>329</v>
      </c>
      <c r="T454">
        <v>42.5</v>
      </c>
      <c r="U454" t="s">
        <v>79</v>
      </c>
      <c r="V454" t="s">
        <v>66</v>
      </c>
      <c r="W454" t="str">
        <f t="shared" ca="1" si="23"/>
        <v>Dormant</v>
      </c>
    </row>
    <row r="455" spans="1:23" x14ac:dyDescent="0.2">
      <c r="A455">
        <v>723</v>
      </c>
      <c r="B455" t="s">
        <v>2391</v>
      </c>
      <c r="C455" t="s">
        <v>2392</v>
      </c>
      <c r="D455" s="1" t="s">
        <v>235</v>
      </c>
      <c r="E455" t="s">
        <v>2393</v>
      </c>
      <c r="F455" t="s">
        <v>91</v>
      </c>
      <c r="G455" s="4" t="s">
        <v>5419</v>
      </c>
      <c r="H455" t="s">
        <v>2394</v>
      </c>
      <c r="I455" t="s">
        <v>112</v>
      </c>
      <c r="J455" s="4" t="s">
        <v>60</v>
      </c>
      <c r="K455" t="s">
        <v>22</v>
      </c>
      <c r="L455">
        <v>1</v>
      </c>
      <c r="M455" t="s">
        <v>928</v>
      </c>
      <c r="N455" t="s">
        <v>868</v>
      </c>
      <c r="O455" t="s">
        <v>928</v>
      </c>
      <c r="P455" s="2" t="str">
        <f t="shared" si="21"/>
        <v>01/04/2025 to 04/04/2025</v>
      </c>
      <c r="Q455" s="3">
        <v>45752</v>
      </c>
      <c r="R455" t="str">
        <f t="shared" si="22"/>
        <v>Late</v>
      </c>
      <c r="S455" t="s">
        <v>939</v>
      </c>
      <c r="T455">
        <v>8</v>
      </c>
      <c r="U455" t="s">
        <v>65</v>
      </c>
      <c r="V455" t="s">
        <v>72</v>
      </c>
      <c r="W455" t="str">
        <f t="shared" ca="1" si="23"/>
        <v>Dormant</v>
      </c>
    </row>
    <row r="456" spans="1:23" x14ac:dyDescent="0.2">
      <c r="A456">
        <v>724</v>
      </c>
      <c r="B456" t="s">
        <v>2391</v>
      </c>
      <c r="C456" t="s">
        <v>2395</v>
      </c>
      <c r="D456" s="1" t="s">
        <v>235</v>
      </c>
      <c r="E456" t="s">
        <v>2393</v>
      </c>
      <c r="F456" t="s">
        <v>91</v>
      </c>
      <c r="G456" s="4" t="s">
        <v>38</v>
      </c>
      <c r="H456" t="s">
        <v>2394</v>
      </c>
      <c r="I456" t="s">
        <v>112</v>
      </c>
      <c r="J456" s="4" t="s">
        <v>5417</v>
      </c>
      <c r="K456" t="s">
        <v>20</v>
      </c>
      <c r="L456">
        <v>1</v>
      </c>
      <c r="M456" t="s">
        <v>928</v>
      </c>
      <c r="N456" t="s">
        <v>868</v>
      </c>
      <c r="O456" t="s">
        <v>932</v>
      </c>
      <c r="P456" s="2" t="str">
        <f t="shared" si="21"/>
        <v>01/04/2025 to 04/04/2025</v>
      </c>
      <c r="Q456" s="3">
        <v>45754</v>
      </c>
      <c r="R456" t="str">
        <f t="shared" si="22"/>
        <v>Late</v>
      </c>
      <c r="S456" t="s">
        <v>939</v>
      </c>
      <c r="T456">
        <v>10.5</v>
      </c>
      <c r="U456" t="s">
        <v>79</v>
      </c>
      <c r="V456" t="s">
        <v>80</v>
      </c>
      <c r="W456" t="str">
        <f t="shared" ca="1" si="23"/>
        <v>Dormant</v>
      </c>
    </row>
    <row r="457" spans="1:23" x14ac:dyDescent="0.2">
      <c r="A457">
        <v>725</v>
      </c>
      <c r="B457" t="s">
        <v>2391</v>
      </c>
      <c r="C457" t="s">
        <v>2396</v>
      </c>
      <c r="D457" s="1" t="s">
        <v>235</v>
      </c>
      <c r="E457" t="s">
        <v>2393</v>
      </c>
      <c r="F457" t="s">
        <v>91</v>
      </c>
      <c r="G457" s="4" t="s">
        <v>5428</v>
      </c>
      <c r="H457" t="s">
        <v>2394</v>
      </c>
      <c r="I457" t="s">
        <v>112</v>
      </c>
      <c r="J457" s="4" t="s">
        <v>60</v>
      </c>
      <c r="K457" t="s">
        <v>2397</v>
      </c>
      <c r="L457">
        <v>4</v>
      </c>
      <c r="M457" t="s">
        <v>928</v>
      </c>
      <c r="N457" t="s">
        <v>932</v>
      </c>
      <c r="O457" t="s">
        <v>928</v>
      </c>
      <c r="P457" s="2" t="str">
        <f t="shared" si="21"/>
        <v>01/04/2025 to 04/04/2025</v>
      </c>
      <c r="Q457" s="3">
        <v>45747</v>
      </c>
      <c r="R457" t="str">
        <f t="shared" si="22"/>
        <v>Late</v>
      </c>
      <c r="S457" t="s">
        <v>980</v>
      </c>
      <c r="T457">
        <v>42</v>
      </c>
      <c r="U457" t="s">
        <v>65</v>
      </c>
      <c r="V457" t="s">
        <v>72</v>
      </c>
      <c r="W457" t="str">
        <f t="shared" ca="1" si="23"/>
        <v>Dormant</v>
      </c>
    </row>
    <row r="458" spans="1:23" x14ac:dyDescent="0.2">
      <c r="A458">
        <v>726</v>
      </c>
      <c r="B458" t="s">
        <v>2391</v>
      </c>
      <c r="C458" t="s">
        <v>2398</v>
      </c>
      <c r="D458" s="1" t="s">
        <v>235</v>
      </c>
      <c r="E458" t="s">
        <v>2393</v>
      </c>
      <c r="F458" t="s">
        <v>91</v>
      </c>
      <c r="G458" s="4" t="s">
        <v>5423</v>
      </c>
      <c r="H458" t="s">
        <v>2394</v>
      </c>
      <c r="I458" t="s">
        <v>112</v>
      </c>
      <c r="J458" s="4" t="s">
        <v>74</v>
      </c>
      <c r="K458" t="s">
        <v>2399</v>
      </c>
      <c r="L458">
        <v>3</v>
      </c>
      <c r="M458" t="s">
        <v>928</v>
      </c>
      <c r="N458" t="s">
        <v>868</v>
      </c>
      <c r="O458" t="s">
        <v>932</v>
      </c>
      <c r="P458" s="2" t="str">
        <f t="shared" si="21"/>
        <v>01/04/2025 to 04/04/2025</v>
      </c>
      <c r="Q458" s="3">
        <v>45750</v>
      </c>
      <c r="R458" t="str">
        <f t="shared" si="22"/>
        <v>On-Time</v>
      </c>
      <c r="S458" t="s">
        <v>329</v>
      </c>
      <c r="T458">
        <v>30.5</v>
      </c>
      <c r="U458" t="s">
        <v>65</v>
      </c>
      <c r="V458" t="s">
        <v>72</v>
      </c>
      <c r="W458" t="str">
        <f t="shared" ca="1" si="23"/>
        <v>Dormant</v>
      </c>
    </row>
    <row r="459" spans="1:23" x14ac:dyDescent="0.2">
      <c r="A459">
        <v>727</v>
      </c>
      <c r="B459" t="s">
        <v>2391</v>
      </c>
      <c r="C459" t="s">
        <v>2400</v>
      </c>
      <c r="D459" s="1" t="s">
        <v>235</v>
      </c>
      <c r="E459" t="s">
        <v>2393</v>
      </c>
      <c r="F459" t="s">
        <v>91</v>
      </c>
      <c r="G459" s="4" t="s">
        <v>5421</v>
      </c>
      <c r="H459" t="s">
        <v>2394</v>
      </c>
      <c r="I459" t="s">
        <v>112</v>
      </c>
      <c r="J459" s="4" t="s">
        <v>60</v>
      </c>
      <c r="K459" t="s">
        <v>1924</v>
      </c>
      <c r="L459">
        <v>2</v>
      </c>
      <c r="M459" t="s">
        <v>235</v>
      </c>
      <c r="N459" t="s">
        <v>867</v>
      </c>
      <c r="O459" t="s">
        <v>235</v>
      </c>
      <c r="P459" s="2" t="str">
        <f t="shared" si="21"/>
        <v>01/04/2025 to 04/04/2025</v>
      </c>
      <c r="Q459" s="3">
        <v>45747</v>
      </c>
      <c r="R459" t="str">
        <f t="shared" si="22"/>
        <v>Late</v>
      </c>
      <c r="S459" t="s">
        <v>980</v>
      </c>
      <c r="T459">
        <v>23.5</v>
      </c>
      <c r="U459" t="s">
        <v>65</v>
      </c>
      <c r="V459" t="s">
        <v>80</v>
      </c>
      <c r="W459" t="str">
        <f t="shared" ca="1" si="23"/>
        <v>Dormant</v>
      </c>
    </row>
    <row r="460" spans="1:23" x14ac:dyDescent="0.2">
      <c r="A460">
        <v>871</v>
      </c>
      <c r="B460" t="s">
        <v>2744</v>
      </c>
      <c r="C460" t="s">
        <v>2745</v>
      </c>
      <c r="D460" s="1" t="s">
        <v>235</v>
      </c>
      <c r="E460" t="s">
        <v>2746</v>
      </c>
      <c r="F460" t="s">
        <v>406</v>
      </c>
      <c r="G460" s="4" t="s">
        <v>5422</v>
      </c>
      <c r="H460" t="s">
        <v>2747</v>
      </c>
      <c r="I460" t="s">
        <v>201</v>
      </c>
      <c r="J460" s="4" t="s">
        <v>60</v>
      </c>
      <c r="K460" t="s">
        <v>2748</v>
      </c>
      <c r="L460">
        <v>4</v>
      </c>
      <c r="M460" t="s">
        <v>928</v>
      </c>
      <c r="N460" t="s">
        <v>868</v>
      </c>
      <c r="O460" t="s">
        <v>868</v>
      </c>
      <c r="P460" s="2" t="str">
        <f t="shared" si="21"/>
        <v>01/04/2025 to 04/04/2025</v>
      </c>
      <c r="Q460" s="3">
        <v>45747</v>
      </c>
      <c r="R460" t="str">
        <f t="shared" si="22"/>
        <v>Late</v>
      </c>
      <c r="S460" t="s">
        <v>979</v>
      </c>
      <c r="T460">
        <v>35</v>
      </c>
      <c r="U460" t="s">
        <v>79</v>
      </c>
      <c r="V460" t="s">
        <v>72</v>
      </c>
      <c r="W460" t="str">
        <f t="shared" ca="1" si="23"/>
        <v>Dormant</v>
      </c>
    </row>
    <row r="461" spans="1:23" x14ac:dyDescent="0.2">
      <c r="A461">
        <v>872</v>
      </c>
      <c r="B461" t="s">
        <v>2744</v>
      </c>
      <c r="C461" t="s">
        <v>2749</v>
      </c>
      <c r="D461" s="1" t="s">
        <v>235</v>
      </c>
      <c r="E461" t="s">
        <v>2746</v>
      </c>
      <c r="F461" t="s">
        <v>406</v>
      </c>
      <c r="G461" s="4" t="s">
        <v>5418</v>
      </c>
      <c r="H461" t="s">
        <v>2747</v>
      </c>
      <c r="I461" t="s">
        <v>201</v>
      </c>
      <c r="J461" s="4" t="s">
        <v>74</v>
      </c>
      <c r="K461" t="s">
        <v>4</v>
      </c>
      <c r="L461">
        <v>1</v>
      </c>
      <c r="M461" t="s">
        <v>928</v>
      </c>
      <c r="N461" t="s">
        <v>932</v>
      </c>
      <c r="O461" t="s">
        <v>932</v>
      </c>
      <c r="P461" s="2" t="str">
        <f t="shared" si="21"/>
        <v>01/04/2025 to 04/04/2025</v>
      </c>
      <c r="Q461" s="3">
        <v>45749</v>
      </c>
      <c r="R461" t="str">
        <f t="shared" si="22"/>
        <v>On-Time</v>
      </c>
      <c r="S461" t="s">
        <v>325</v>
      </c>
      <c r="T461">
        <v>8</v>
      </c>
      <c r="U461" t="s">
        <v>79</v>
      </c>
      <c r="V461" t="s">
        <v>66</v>
      </c>
      <c r="W461" t="str">
        <f t="shared" ca="1" si="23"/>
        <v>Dormant</v>
      </c>
    </row>
    <row r="462" spans="1:23" x14ac:dyDescent="0.2">
      <c r="A462">
        <v>873</v>
      </c>
      <c r="B462" t="s">
        <v>2744</v>
      </c>
      <c r="C462" t="s">
        <v>2750</v>
      </c>
      <c r="D462" s="1" t="s">
        <v>235</v>
      </c>
      <c r="E462" t="s">
        <v>2746</v>
      </c>
      <c r="F462" t="s">
        <v>406</v>
      </c>
      <c r="G462" s="4" t="s">
        <v>5419</v>
      </c>
      <c r="H462" t="s">
        <v>2747</v>
      </c>
      <c r="I462" t="s">
        <v>201</v>
      </c>
      <c r="J462" s="4" t="s">
        <v>5417</v>
      </c>
      <c r="K462" t="s">
        <v>2751</v>
      </c>
      <c r="L462">
        <v>2</v>
      </c>
      <c r="M462" t="s">
        <v>867</v>
      </c>
      <c r="N462" t="s">
        <v>868</v>
      </c>
      <c r="O462" t="s">
        <v>868</v>
      </c>
      <c r="P462" s="2" t="str">
        <f t="shared" si="21"/>
        <v>01/04/2025 to 04/04/2025</v>
      </c>
      <c r="Q462" s="3">
        <v>45750</v>
      </c>
      <c r="R462" t="str">
        <f t="shared" si="22"/>
        <v>On-Time</v>
      </c>
      <c r="S462" t="s">
        <v>324</v>
      </c>
      <c r="T462">
        <v>22</v>
      </c>
      <c r="U462" t="s">
        <v>65</v>
      </c>
      <c r="V462" t="s">
        <v>72</v>
      </c>
      <c r="W462" t="str">
        <f t="shared" ca="1" si="23"/>
        <v>Dormant</v>
      </c>
    </row>
    <row r="463" spans="1:23" x14ac:dyDescent="0.2">
      <c r="A463">
        <v>874</v>
      </c>
      <c r="B463" t="s">
        <v>2744</v>
      </c>
      <c r="C463" t="s">
        <v>2752</v>
      </c>
      <c r="D463" s="1" t="s">
        <v>235</v>
      </c>
      <c r="E463" t="s">
        <v>2746</v>
      </c>
      <c r="F463" t="s">
        <v>406</v>
      </c>
      <c r="G463" s="4" t="s">
        <v>5427</v>
      </c>
      <c r="H463" t="s">
        <v>2747</v>
      </c>
      <c r="I463" t="s">
        <v>201</v>
      </c>
      <c r="J463" s="4" t="s">
        <v>74</v>
      </c>
      <c r="K463" t="s">
        <v>2247</v>
      </c>
      <c r="L463">
        <v>2</v>
      </c>
      <c r="M463" t="s">
        <v>928</v>
      </c>
      <c r="N463" t="s">
        <v>868</v>
      </c>
      <c r="O463" t="s">
        <v>868</v>
      </c>
      <c r="P463" s="2" t="str">
        <f t="shared" si="21"/>
        <v>01/04/2025 to 04/04/2025</v>
      </c>
      <c r="Q463" s="3">
        <v>45748</v>
      </c>
      <c r="R463" t="str">
        <f t="shared" si="22"/>
        <v>On-Time</v>
      </c>
      <c r="S463" t="s">
        <v>320</v>
      </c>
      <c r="T463">
        <v>21</v>
      </c>
      <c r="U463" t="s">
        <v>65</v>
      </c>
      <c r="V463" t="s">
        <v>72</v>
      </c>
      <c r="W463" t="str">
        <f t="shared" ca="1" si="23"/>
        <v>Dormant</v>
      </c>
    </row>
    <row r="464" spans="1:23" x14ac:dyDescent="0.2">
      <c r="A464">
        <v>875</v>
      </c>
      <c r="B464" t="s">
        <v>2744</v>
      </c>
      <c r="C464" t="s">
        <v>2753</v>
      </c>
      <c r="D464" s="1" t="s">
        <v>235</v>
      </c>
      <c r="E464" t="s">
        <v>2746</v>
      </c>
      <c r="F464" t="s">
        <v>406</v>
      </c>
      <c r="G464" s="4" t="s">
        <v>5418</v>
      </c>
      <c r="H464" t="s">
        <v>2747</v>
      </c>
      <c r="I464" t="s">
        <v>201</v>
      </c>
      <c r="J464" s="4" t="s">
        <v>74</v>
      </c>
      <c r="K464" t="s">
        <v>2754</v>
      </c>
      <c r="L464">
        <v>4</v>
      </c>
      <c r="M464" t="s">
        <v>235</v>
      </c>
      <c r="N464" t="s">
        <v>867</v>
      </c>
      <c r="O464" t="s">
        <v>928</v>
      </c>
      <c r="P464" s="2" t="str">
        <f t="shared" si="21"/>
        <v>01/04/2025 to 04/04/2025</v>
      </c>
      <c r="Q464" s="3">
        <v>45746</v>
      </c>
      <c r="R464" t="str">
        <f t="shared" si="22"/>
        <v>Late</v>
      </c>
      <c r="S464" t="s">
        <v>979</v>
      </c>
      <c r="T464">
        <v>43.5</v>
      </c>
      <c r="U464" t="s">
        <v>79</v>
      </c>
      <c r="V464" t="s">
        <v>66</v>
      </c>
      <c r="W464" t="str">
        <f t="shared" ca="1" si="23"/>
        <v>Dormant</v>
      </c>
    </row>
    <row r="465" spans="1:23" x14ac:dyDescent="0.2">
      <c r="A465">
        <v>1028</v>
      </c>
      <c r="B465" t="s">
        <v>3127</v>
      </c>
      <c r="C465" t="s">
        <v>3128</v>
      </c>
      <c r="D465" s="1" t="s">
        <v>867</v>
      </c>
      <c r="E465" t="s">
        <v>3129</v>
      </c>
      <c r="F465" t="s">
        <v>1204</v>
      </c>
      <c r="G465" s="4" t="s">
        <v>5422</v>
      </c>
      <c r="H465" t="s">
        <v>3130</v>
      </c>
      <c r="I465" t="s">
        <v>93</v>
      </c>
      <c r="J465" s="4" t="s">
        <v>60</v>
      </c>
      <c r="K465" t="s">
        <v>3131</v>
      </c>
      <c r="L465">
        <v>4</v>
      </c>
      <c r="M465" t="s">
        <v>868</v>
      </c>
      <c r="N465" t="s">
        <v>868</v>
      </c>
      <c r="O465" t="s">
        <v>868</v>
      </c>
      <c r="P465" s="2" t="str">
        <f t="shared" si="21"/>
        <v>02/04/2025 to 07/04/2025</v>
      </c>
      <c r="Q465" s="3">
        <v>45748</v>
      </c>
      <c r="R465" t="str">
        <f t="shared" si="22"/>
        <v>Late</v>
      </c>
      <c r="S465" t="s">
        <v>980</v>
      </c>
      <c r="T465">
        <v>43</v>
      </c>
      <c r="U465" t="s">
        <v>65</v>
      </c>
      <c r="V465" t="s">
        <v>72</v>
      </c>
      <c r="W465" t="str">
        <f t="shared" ca="1" si="23"/>
        <v>Dormant</v>
      </c>
    </row>
    <row r="466" spans="1:23" x14ac:dyDescent="0.2">
      <c r="A466">
        <v>1029</v>
      </c>
      <c r="B466" t="s">
        <v>3127</v>
      </c>
      <c r="C466" t="s">
        <v>3132</v>
      </c>
      <c r="D466" s="1" t="s">
        <v>867</v>
      </c>
      <c r="E466" t="s">
        <v>3129</v>
      </c>
      <c r="F466" t="s">
        <v>1204</v>
      </c>
      <c r="G466" s="4" t="s">
        <v>5428</v>
      </c>
      <c r="H466" t="s">
        <v>3130</v>
      </c>
      <c r="I466" t="s">
        <v>93</v>
      </c>
      <c r="J466" s="4" t="s">
        <v>5417</v>
      </c>
      <c r="K466" t="s">
        <v>3133</v>
      </c>
      <c r="L466">
        <v>4</v>
      </c>
      <c r="M466" t="s">
        <v>868</v>
      </c>
      <c r="N466" t="s">
        <v>936</v>
      </c>
      <c r="O466" t="s">
        <v>936</v>
      </c>
      <c r="P466" s="2" t="str">
        <f t="shared" si="21"/>
        <v>02/04/2025 to 07/04/2025</v>
      </c>
      <c r="Q466" s="3">
        <v>45753</v>
      </c>
      <c r="R466" t="str">
        <f t="shared" si="22"/>
        <v>On-Time</v>
      </c>
      <c r="S466" t="s">
        <v>431</v>
      </c>
      <c r="T466">
        <v>37.5</v>
      </c>
      <c r="U466" t="s">
        <v>65</v>
      </c>
      <c r="V466" t="s">
        <v>72</v>
      </c>
      <c r="W466" t="str">
        <f t="shared" ca="1" si="23"/>
        <v>Dormant</v>
      </c>
    </row>
    <row r="467" spans="1:23" x14ac:dyDescent="0.2">
      <c r="A467">
        <v>1030</v>
      </c>
      <c r="B467" t="s">
        <v>3127</v>
      </c>
      <c r="C467" t="s">
        <v>3134</v>
      </c>
      <c r="D467" s="1" t="s">
        <v>867</v>
      </c>
      <c r="E467" t="s">
        <v>3129</v>
      </c>
      <c r="F467" t="s">
        <v>1204</v>
      </c>
      <c r="G467" s="4" t="s">
        <v>5424</v>
      </c>
      <c r="H467" t="s">
        <v>3130</v>
      </c>
      <c r="I467" t="s">
        <v>93</v>
      </c>
      <c r="J467" s="4" t="s">
        <v>74</v>
      </c>
      <c r="K467" t="s">
        <v>3135</v>
      </c>
      <c r="L467">
        <v>4</v>
      </c>
      <c r="M467" t="s">
        <v>868</v>
      </c>
      <c r="N467" t="s">
        <v>936</v>
      </c>
      <c r="O467" t="s">
        <v>936</v>
      </c>
      <c r="P467" s="2" t="str">
        <f t="shared" si="21"/>
        <v>02/04/2025 to 07/04/2025</v>
      </c>
      <c r="Q467" s="3">
        <v>45754</v>
      </c>
      <c r="R467" t="str">
        <f t="shared" si="22"/>
        <v>On-Time</v>
      </c>
      <c r="S467" t="s">
        <v>439</v>
      </c>
      <c r="T467">
        <v>40.5</v>
      </c>
      <c r="U467" t="s">
        <v>79</v>
      </c>
      <c r="V467" t="s">
        <v>80</v>
      </c>
      <c r="W467" t="str">
        <f t="shared" ca="1" si="23"/>
        <v>Dormant</v>
      </c>
    </row>
    <row r="468" spans="1:23" x14ac:dyDescent="0.2">
      <c r="A468">
        <v>1031</v>
      </c>
      <c r="B468" t="s">
        <v>3127</v>
      </c>
      <c r="C468" t="s">
        <v>3136</v>
      </c>
      <c r="D468" s="1" t="s">
        <v>867</v>
      </c>
      <c r="E468" t="s">
        <v>3129</v>
      </c>
      <c r="F468" t="s">
        <v>1204</v>
      </c>
      <c r="G468" s="4" t="s">
        <v>5420</v>
      </c>
      <c r="H468" t="s">
        <v>3130</v>
      </c>
      <c r="I468" t="s">
        <v>93</v>
      </c>
      <c r="J468" s="4" t="s">
        <v>74</v>
      </c>
      <c r="K468" t="s">
        <v>3137</v>
      </c>
      <c r="L468">
        <v>3</v>
      </c>
      <c r="M468" t="s">
        <v>867</v>
      </c>
      <c r="N468" t="s">
        <v>928</v>
      </c>
      <c r="O468" t="s">
        <v>928</v>
      </c>
      <c r="P468" s="2" t="str">
        <f t="shared" si="21"/>
        <v>01/04/2025 to 04/04/2025</v>
      </c>
      <c r="Q468" s="3">
        <v>45750</v>
      </c>
      <c r="R468" t="str">
        <f t="shared" si="22"/>
        <v>On-Time</v>
      </c>
      <c r="S468" t="s">
        <v>329</v>
      </c>
      <c r="T468">
        <v>30.5</v>
      </c>
      <c r="U468" t="s">
        <v>79</v>
      </c>
      <c r="V468" t="s">
        <v>66</v>
      </c>
      <c r="W468" t="str">
        <f t="shared" ca="1" si="23"/>
        <v>Dormant</v>
      </c>
    </row>
    <row r="469" spans="1:23" x14ac:dyDescent="0.2">
      <c r="A469">
        <v>1040</v>
      </c>
      <c r="B469" t="s">
        <v>3160</v>
      </c>
      <c r="C469" t="s">
        <v>3161</v>
      </c>
      <c r="D469" s="1" t="s">
        <v>867</v>
      </c>
      <c r="E469" t="s">
        <v>3162</v>
      </c>
      <c r="F469" t="s">
        <v>134</v>
      </c>
      <c r="G469" s="4" t="s">
        <v>38</v>
      </c>
      <c r="H469" t="s">
        <v>3163</v>
      </c>
      <c r="I469" t="s">
        <v>93</v>
      </c>
      <c r="J469" s="4" t="s">
        <v>74</v>
      </c>
      <c r="K469" t="s">
        <v>3164</v>
      </c>
      <c r="L469">
        <v>3</v>
      </c>
      <c r="M469" t="s">
        <v>868</v>
      </c>
      <c r="N469" t="s">
        <v>936</v>
      </c>
      <c r="O469" t="s">
        <v>936</v>
      </c>
      <c r="P469" s="2" t="str">
        <f t="shared" si="21"/>
        <v>02/04/2025 to 07/04/2025</v>
      </c>
      <c r="Q469" s="3">
        <v>45752</v>
      </c>
      <c r="R469" t="str">
        <f t="shared" si="22"/>
        <v>On-Time</v>
      </c>
      <c r="S469" t="s">
        <v>431</v>
      </c>
      <c r="T469">
        <v>25</v>
      </c>
      <c r="U469" t="s">
        <v>79</v>
      </c>
      <c r="V469" t="s">
        <v>72</v>
      </c>
      <c r="W469" t="str">
        <f t="shared" ca="1" si="23"/>
        <v>Dormant</v>
      </c>
    </row>
    <row r="470" spans="1:23" x14ac:dyDescent="0.2">
      <c r="A470">
        <v>1041</v>
      </c>
      <c r="B470" t="s">
        <v>3160</v>
      </c>
      <c r="C470" t="s">
        <v>3165</v>
      </c>
      <c r="D470" s="1" t="s">
        <v>867</v>
      </c>
      <c r="E470" t="s">
        <v>3162</v>
      </c>
      <c r="F470" t="s">
        <v>134</v>
      </c>
      <c r="G470" s="4" t="s">
        <v>5423</v>
      </c>
      <c r="H470" t="s">
        <v>3163</v>
      </c>
      <c r="I470" t="s">
        <v>93</v>
      </c>
      <c r="J470" s="4" t="s">
        <v>5417</v>
      </c>
      <c r="K470" t="s">
        <v>1102</v>
      </c>
      <c r="L470">
        <v>2</v>
      </c>
      <c r="M470" t="s">
        <v>868</v>
      </c>
      <c r="N470" t="s">
        <v>868</v>
      </c>
      <c r="O470" t="s">
        <v>936</v>
      </c>
      <c r="P470" s="2" t="str">
        <f t="shared" si="21"/>
        <v>02/04/2025 to 07/04/2025</v>
      </c>
      <c r="Q470" s="3">
        <v>45752</v>
      </c>
      <c r="R470" t="str">
        <f t="shared" si="22"/>
        <v>On-Time</v>
      </c>
      <c r="S470" t="s">
        <v>939</v>
      </c>
      <c r="T470">
        <v>18.5</v>
      </c>
      <c r="U470" t="s">
        <v>65</v>
      </c>
      <c r="V470" t="s">
        <v>80</v>
      </c>
      <c r="W470" t="str">
        <f t="shared" ca="1" si="23"/>
        <v>Dormant</v>
      </c>
    </row>
    <row r="471" spans="1:23" x14ac:dyDescent="0.2">
      <c r="A471">
        <v>1042</v>
      </c>
      <c r="B471" t="s">
        <v>3160</v>
      </c>
      <c r="C471" t="s">
        <v>3166</v>
      </c>
      <c r="D471" s="1" t="s">
        <v>867</v>
      </c>
      <c r="E471" t="s">
        <v>3162</v>
      </c>
      <c r="F471" t="s">
        <v>134</v>
      </c>
      <c r="G471" s="4" t="s">
        <v>5421</v>
      </c>
      <c r="H471" t="s">
        <v>3163</v>
      </c>
      <c r="I471" t="s">
        <v>93</v>
      </c>
      <c r="J471" s="4" t="s">
        <v>74</v>
      </c>
      <c r="K471" t="s">
        <v>3167</v>
      </c>
      <c r="L471">
        <v>3</v>
      </c>
      <c r="M471" t="s">
        <v>868</v>
      </c>
      <c r="N471" t="s">
        <v>932</v>
      </c>
      <c r="O471" t="s">
        <v>936</v>
      </c>
      <c r="P471" s="2" t="str">
        <f t="shared" si="21"/>
        <v>02/04/2025 to 07/04/2025</v>
      </c>
      <c r="Q471" s="3">
        <v>45755</v>
      </c>
      <c r="R471" t="str">
        <f t="shared" si="22"/>
        <v>Late</v>
      </c>
      <c r="S471" t="s">
        <v>439</v>
      </c>
      <c r="T471">
        <v>30</v>
      </c>
      <c r="U471" t="s">
        <v>65</v>
      </c>
      <c r="V471" t="s">
        <v>66</v>
      </c>
      <c r="W471" t="str">
        <f t="shared" ca="1" si="23"/>
        <v>Dormant</v>
      </c>
    </row>
    <row r="472" spans="1:23" x14ac:dyDescent="0.2">
      <c r="A472">
        <v>1043</v>
      </c>
      <c r="B472" t="s">
        <v>3160</v>
      </c>
      <c r="C472" t="s">
        <v>3168</v>
      </c>
      <c r="D472" s="1" t="s">
        <v>867</v>
      </c>
      <c r="E472" t="s">
        <v>3162</v>
      </c>
      <c r="F472" t="s">
        <v>134</v>
      </c>
      <c r="G472" s="4" t="s">
        <v>5428</v>
      </c>
      <c r="H472" t="s">
        <v>3163</v>
      </c>
      <c r="I472" t="s">
        <v>93</v>
      </c>
      <c r="J472" s="4" t="s">
        <v>5417</v>
      </c>
      <c r="K472" t="s">
        <v>3124</v>
      </c>
      <c r="L472">
        <v>2</v>
      </c>
      <c r="M472" t="s">
        <v>867</v>
      </c>
      <c r="N472" t="s">
        <v>867</v>
      </c>
      <c r="O472" t="s">
        <v>868</v>
      </c>
      <c r="P472" s="2" t="str">
        <f t="shared" si="21"/>
        <v>01/04/2025 to 04/04/2025</v>
      </c>
      <c r="Q472" s="3">
        <v>45753</v>
      </c>
      <c r="R472" t="str">
        <f t="shared" si="22"/>
        <v>Late</v>
      </c>
      <c r="S472" t="s">
        <v>431</v>
      </c>
      <c r="T472">
        <v>16</v>
      </c>
      <c r="U472" t="s">
        <v>65</v>
      </c>
      <c r="V472" t="s">
        <v>80</v>
      </c>
      <c r="W472" t="str">
        <f t="shared" ca="1" si="23"/>
        <v>Dormant</v>
      </c>
    </row>
    <row r="473" spans="1:23" x14ac:dyDescent="0.2">
      <c r="A473">
        <v>1044</v>
      </c>
      <c r="B473" t="s">
        <v>3160</v>
      </c>
      <c r="C473" t="s">
        <v>3169</v>
      </c>
      <c r="D473" s="1" t="s">
        <v>867</v>
      </c>
      <c r="E473" t="s">
        <v>3162</v>
      </c>
      <c r="F473" t="s">
        <v>134</v>
      </c>
      <c r="G473" s="4" t="s">
        <v>5421</v>
      </c>
      <c r="H473" t="s">
        <v>3163</v>
      </c>
      <c r="I473" t="s">
        <v>93</v>
      </c>
      <c r="J473" s="4" t="s">
        <v>74</v>
      </c>
      <c r="K473" t="s">
        <v>3170</v>
      </c>
      <c r="L473">
        <v>2</v>
      </c>
      <c r="M473" t="s">
        <v>868</v>
      </c>
      <c r="N473" t="s">
        <v>932</v>
      </c>
      <c r="O473" t="s">
        <v>868</v>
      </c>
      <c r="P473" s="2" t="str">
        <f t="shared" si="21"/>
        <v>02/04/2025 to 07/04/2025</v>
      </c>
      <c r="Q473" s="3">
        <v>45748</v>
      </c>
      <c r="R473" t="str">
        <f t="shared" si="22"/>
        <v>Late</v>
      </c>
      <c r="S473" t="s">
        <v>320</v>
      </c>
      <c r="T473">
        <v>21</v>
      </c>
      <c r="U473" t="s">
        <v>79</v>
      </c>
      <c r="V473" t="s">
        <v>80</v>
      </c>
      <c r="W473" t="str">
        <f t="shared" ca="1" si="23"/>
        <v>Dormant</v>
      </c>
    </row>
    <row r="474" spans="1:23" x14ac:dyDescent="0.2">
      <c r="A474">
        <v>1404</v>
      </c>
      <c r="B474" t="s">
        <v>4028</v>
      </c>
      <c r="C474" t="s">
        <v>4029</v>
      </c>
      <c r="D474" s="1" t="s">
        <v>867</v>
      </c>
      <c r="E474" t="s">
        <v>4030</v>
      </c>
      <c r="F474" t="s">
        <v>209</v>
      </c>
      <c r="G474" s="4" t="s">
        <v>5421</v>
      </c>
      <c r="H474" t="s">
        <v>4031</v>
      </c>
      <c r="I474" t="s">
        <v>201</v>
      </c>
      <c r="J474" s="4" t="s">
        <v>74</v>
      </c>
      <c r="K474" t="s">
        <v>4032</v>
      </c>
      <c r="L474">
        <v>4</v>
      </c>
      <c r="M474" t="s">
        <v>867</v>
      </c>
      <c r="N474" t="s">
        <v>868</v>
      </c>
      <c r="O474" t="s">
        <v>867</v>
      </c>
      <c r="P474" s="2" t="str">
        <f t="shared" si="21"/>
        <v>01/04/2025 to 04/04/2025</v>
      </c>
      <c r="Q474" s="3">
        <v>45746</v>
      </c>
      <c r="R474" t="str">
        <f t="shared" si="22"/>
        <v>Late</v>
      </c>
      <c r="S474" t="s">
        <v>980</v>
      </c>
      <c r="T474">
        <v>41.5</v>
      </c>
      <c r="U474" t="s">
        <v>65</v>
      </c>
      <c r="V474" t="s">
        <v>80</v>
      </c>
      <c r="W474" t="str">
        <f t="shared" ca="1" si="23"/>
        <v>Dormant</v>
      </c>
    </row>
    <row r="475" spans="1:23" x14ac:dyDescent="0.2">
      <c r="A475">
        <v>1405</v>
      </c>
      <c r="B475" t="s">
        <v>4028</v>
      </c>
      <c r="C475" t="s">
        <v>4033</v>
      </c>
      <c r="D475" s="1" t="s">
        <v>867</v>
      </c>
      <c r="E475" t="s">
        <v>4030</v>
      </c>
      <c r="F475" t="s">
        <v>209</v>
      </c>
      <c r="G475" s="4" t="s">
        <v>5418</v>
      </c>
      <c r="H475" t="s">
        <v>4031</v>
      </c>
      <c r="I475" t="s">
        <v>201</v>
      </c>
      <c r="J475" s="4" t="s">
        <v>5417</v>
      </c>
      <c r="K475" t="s">
        <v>4034</v>
      </c>
      <c r="L475">
        <v>4</v>
      </c>
      <c r="M475" t="s">
        <v>928</v>
      </c>
      <c r="N475" t="s">
        <v>932</v>
      </c>
      <c r="O475" t="s">
        <v>932</v>
      </c>
      <c r="P475" s="2" t="str">
        <f t="shared" si="21"/>
        <v>01/04/2025 to 04/04/2025</v>
      </c>
      <c r="Q475" s="3">
        <v>45749</v>
      </c>
      <c r="R475" t="str">
        <f t="shared" si="22"/>
        <v>On-Time</v>
      </c>
      <c r="S475" t="s">
        <v>324</v>
      </c>
      <c r="T475">
        <v>40.5</v>
      </c>
      <c r="U475" t="s">
        <v>65</v>
      </c>
      <c r="V475" t="s">
        <v>80</v>
      </c>
      <c r="W475" t="str">
        <f t="shared" ca="1" si="23"/>
        <v>Dormant</v>
      </c>
    </row>
    <row r="476" spans="1:23" x14ac:dyDescent="0.2">
      <c r="A476">
        <v>1406</v>
      </c>
      <c r="B476" t="s">
        <v>4028</v>
      </c>
      <c r="C476" t="s">
        <v>4035</v>
      </c>
      <c r="D476" s="1" t="s">
        <v>867</v>
      </c>
      <c r="E476" t="s">
        <v>4030</v>
      </c>
      <c r="F476" t="s">
        <v>209</v>
      </c>
      <c r="G476" s="4" t="s">
        <v>5421</v>
      </c>
      <c r="H476" t="s">
        <v>4031</v>
      </c>
      <c r="I476" t="s">
        <v>201</v>
      </c>
      <c r="J476" s="4" t="s">
        <v>60</v>
      </c>
      <c r="K476" t="s">
        <v>1458</v>
      </c>
      <c r="L476">
        <v>2</v>
      </c>
      <c r="M476" t="s">
        <v>867</v>
      </c>
      <c r="N476" t="s">
        <v>928</v>
      </c>
      <c r="O476" t="s">
        <v>868</v>
      </c>
      <c r="P476" s="2" t="str">
        <f t="shared" si="21"/>
        <v>01/04/2025 to 04/04/2025</v>
      </c>
      <c r="Q476" s="3">
        <v>45750</v>
      </c>
      <c r="R476" t="str">
        <f t="shared" si="22"/>
        <v>On-Time</v>
      </c>
      <c r="S476" t="s">
        <v>329</v>
      </c>
      <c r="T476">
        <v>22</v>
      </c>
      <c r="U476" t="s">
        <v>79</v>
      </c>
      <c r="V476" t="s">
        <v>80</v>
      </c>
      <c r="W476" t="str">
        <f t="shared" ca="1" si="23"/>
        <v>Dormant</v>
      </c>
    </row>
    <row r="477" spans="1:23" x14ac:dyDescent="0.2">
      <c r="A477">
        <v>1407</v>
      </c>
      <c r="B477" t="s">
        <v>4028</v>
      </c>
      <c r="C477" t="s">
        <v>4036</v>
      </c>
      <c r="D477" s="1" t="s">
        <v>867</v>
      </c>
      <c r="E477" t="s">
        <v>4030</v>
      </c>
      <c r="F477" t="s">
        <v>209</v>
      </c>
      <c r="G477" s="4" t="s">
        <v>5426</v>
      </c>
      <c r="H477" t="s">
        <v>4031</v>
      </c>
      <c r="I477" t="s">
        <v>201</v>
      </c>
      <c r="J477" s="4" t="s">
        <v>68</v>
      </c>
      <c r="K477" t="s">
        <v>4037</v>
      </c>
      <c r="L477">
        <v>4</v>
      </c>
      <c r="M477" t="s">
        <v>867</v>
      </c>
      <c r="N477" t="s">
        <v>868</v>
      </c>
      <c r="O477" t="s">
        <v>928</v>
      </c>
      <c r="P477" s="2" t="str">
        <f t="shared" si="21"/>
        <v>01/04/2025 to 04/04/2025</v>
      </c>
      <c r="Q477" s="3">
        <v>45748</v>
      </c>
      <c r="R477" t="str">
        <f t="shared" si="22"/>
        <v>On-Time</v>
      </c>
      <c r="S477" t="s">
        <v>320</v>
      </c>
      <c r="T477">
        <v>36</v>
      </c>
      <c r="U477" t="s">
        <v>79</v>
      </c>
      <c r="V477" t="s">
        <v>80</v>
      </c>
      <c r="W477" t="str">
        <f t="shared" ca="1" si="23"/>
        <v>Dormant</v>
      </c>
    </row>
    <row r="478" spans="1:23" x14ac:dyDescent="0.2">
      <c r="A478">
        <v>197</v>
      </c>
      <c r="B478" t="s">
        <v>926</v>
      </c>
      <c r="C478" t="s">
        <v>927</v>
      </c>
      <c r="D478" s="1" t="s">
        <v>928</v>
      </c>
      <c r="E478" t="s">
        <v>929</v>
      </c>
      <c r="F478" t="s">
        <v>134</v>
      </c>
      <c r="G478" s="4" t="s">
        <v>5423</v>
      </c>
      <c r="H478" t="s">
        <v>930</v>
      </c>
      <c r="I478" t="s">
        <v>59</v>
      </c>
      <c r="J478" s="4" t="s">
        <v>5417</v>
      </c>
      <c r="K478" t="s">
        <v>931</v>
      </c>
      <c r="L478">
        <v>4</v>
      </c>
      <c r="M478" t="s">
        <v>928</v>
      </c>
      <c r="N478" t="s">
        <v>868</v>
      </c>
      <c r="O478" t="s">
        <v>932</v>
      </c>
      <c r="P478" s="2" t="str">
        <f t="shared" si="21"/>
        <v>01/04/2025 to 04/04/2025</v>
      </c>
      <c r="Q478" s="3">
        <v>45751</v>
      </c>
      <c r="R478" t="str">
        <f t="shared" si="22"/>
        <v>On-Time</v>
      </c>
      <c r="S478" t="s">
        <v>431</v>
      </c>
      <c r="T478">
        <v>38</v>
      </c>
      <c r="U478" t="s">
        <v>79</v>
      </c>
      <c r="V478" t="s">
        <v>72</v>
      </c>
      <c r="W478" t="str">
        <f t="shared" ca="1" si="23"/>
        <v>Dormant</v>
      </c>
    </row>
    <row r="479" spans="1:23" x14ac:dyDescent="0.2">
      <c r="A479">
        <v>198</v>
      </c>
      <c r="B479" t="s">
        <v>926</v>
      </c>
      <c r="C479" t="s">
        <v>933</v>
      </c>
      <c r="D479" s="1" t="s">
        <v>928</v>
      </c>
      <c r="E479" t="s">
        <v>929</v>
      </c>
      <c r="F479" t="s">
        <v>134</v>
      </c>
      <c r="G479" s="4" t="s">
        <v>5420</v>
      </c>
      <c r="H479" t="s">
        <v>930</v>
      </c>
      <c r="I479" t="s">
        <v>59</v>
      </c>
      <c r="J479" s="4" t="s">
        <v>68</v>
      </c>
      <c r="K479" t="s">
        <v>934</v>
      </c>
      <c r="L479">
        <v>2</v>
      </c>
      <c r="M479" t="s">
        <v>928</v>
      </c>
      <c r="N479" t="s">
        <v>928</v>
      </c>
      <c r="O479" t="s">
        <v>932</v>
      </c>
      <c r="P479" s="2" t="str">
        <f t="shared" si="21"/>
        <v>01/04/2025 to 04/04/2025</v>
      </c>
      <c r="Q479" s="3">
        <v>45749</v>
      </c>
      <c r="R479" t="str">
        <f t="shared" si="22"/>
        <v>On-Time</v>
      </c>
      <c r="S479" t="s">
        <v>325</v>
      </c>
      <c r="T479">
        <v>18</v>
      </c>
      <c r="U479" t="s">
        <v>79</v>
      </c>
      <c r="V479" t="s">
        <v>80</v>
      </c>
      <c r="W479" t="str">
        <f t="shared" ca="1" si="23"/>
        <v>Dormant</v>
      </c>
    </row>
    <row r="480" spans="1:23" x14ac:dyDescent="0.2">
      <c r="A480">
        <v>199</v>
      </c>
      <c r="B480" t="s">
        <v>926</v>
      </c>
      <c r="C480" t="s">
        <v>935</v>
      </c>
      <c r="D480" s="1" t="s">
        <v>928</v>
      </c>
      <c r="E480" t="s">
        <v>929</v>
      </c>
      <c r="F480" t="s">
        <v>134</v>
      </c>
      <c r="G480" s="4" t="s">
        <v>5421</v>
      </c>
      <c r="H480" t="s">
        <v>930</v>
      </c>
      <c r="I480" t="s">
        <v>59</v>
      </c>
      <c r="J480" s="4" t="s">
        <v>5417</v>
      </c>
      <c r="K480" t="s">
        <v>847</v>
      </c>
      <c r="L480">
        <v>3</v>
      </c>
      <c r="M480" t="s">
        <v>932</v>
      </c>
      <c r="N480" t="s">
        <v>932</v>
      </c>
      <c r="O480" t="s">
        <v>936</v>
      </c>
      <c r="P480" s="2" t="str">
        <f t="shared" si="21"/>
        <v>03/04/2025 to 08/04/2025</v>
      </c>
      <c r="Q480" s="3">
        <v>45755</v>
      </c>
      <c r="R480" t="str">
        <f t="shared" si="22"/>
        <v>On-Time</v>
      </c>
      <c r="S480" t="s">
        <v>439</v>
      </c>
      <c r="T480">
        <v>28.5</v>
      </c>
      <c r="U480" t="s">
        <v>79</v>
      </c>
      <c r="V480" t="s">
        <v>66</v>
      </c>
      <c r="W480" t="str">
        <f t="shared" ca="1" si="23"/>
        <v>Dormant</v>
      </c>
    </row>
    <row r="481" spans="1:23" x14ac:dyDescent="0.2">
      <c r="A481">
        <v>200</v>
      </c>
      <c r="B481" t="s">
        <v>926</v>
      </c>
      <c r="C481" t="s">
        <v>937</v>
      </c>
      <c r="D481" s="1" t="s">
        <v>928</v>
      </c>
      <c r="E481" t="s">
        <v>929</v>
      </c>
      <c r="F481" t="s">
        <v>134</v>
      </c>
      <c r="G481" s="4" t="s">
        <v>5419</v>
      </c>
      <c r="H481" t="s">
        <v>930</v>
      </c>
      <c r="I481" t="s">
        <v>59</v>
      </c>
      <c r="J481" s="4" t="s">
        <v>60</v>
      </c>
      <c r="K481" t="s">
        <v>938</v>
      </c>
      <c r="L481">
        <v>2</v>
      </c>
      <c r="M481" t="s">
        <v>932</v>
      </c>
      <c r="N481" t="s">
        <v>932</v>
      </c>
      <c r="O481" t="s">
        <v>932</v>
      </c>
      <c r="P481" s="2" t="str">
        <f t="shared" si="21"/>
        <v>03/04/2025 to 08/04/2025</v>
      </c>
      <c r="Q481" s="3">
        <v>45754</v>
      </c>
      <c r="R481" t="str">
        <f t="shared" si="22"/>
        <v>On-Time</v>
      </c>
      <c r="S481" t="s">
        <v>939</v>
      </c>
      <c r="T481">
        <v>20</v>
      </c>
      <c r="U481" t="s">
        <v>65</v>
      </c>
      <c r="V481" t="s">
        <v>66</v>
      </c>
      <c r="W481" t="str">
        <f t="shared" ca="1" si="23"/>
        <v>Dormant</v>
      </c>
    </row>
    <row r="482" spans="1:23" x14ac:dyDescent="0.2">
      <c r="A482">
        <v>201</v>
      </c>
      <c r="B482" t="s">
        <v>926</v>
      </c>
      <c r="C482" t="s">
        <v>940</v>
      </c>
      <c r="D482" s="1" t="s">
        <v>928</v>
      </c>
      <c r="E482" t="s">
        <v>929</v>
      </c>
      <c r="F482" t="s">
        <v>134</v>
      </c>
      <c r="G482" s="4" t="s">
        <v>5420</v>
      </c>
      <c r="H482" t="s">
        <v>930</v>
      </c>
      <c r="I482" t="s">
        <v>59</v>
      </c>
      <c r="J482" s="4" t="s">
        <v>74</v>
      </c>
      <c r="K482" t="s">
        <v>628</v>
      </c>
      <c r="L482">
        <v>2</v>
      </c>
      <c r="M482" t="s">
        <v>928</v>
      </c>
      <c r="N482" t="s">
        <v>928</v>
      </c>
      <c r="O482" t="s">
        <v>932</v>
      </c>
      <c r="P482" s="2" t="str">
        <f t="shared" si="21"/>
        <v>01/04/2025 to 04/04/2025</v>
      </c>
      <c r="Q482" s="3">
        <v>45753</v>
      </c>
      <c r="R482" t="str">
        <f t="shared" si="22"/>
        <v>Late</v>
      </c>
      <c r="S482" t="s">
        <v>439</v>
      </c>
      <c r="T482">
        <v>16.5</v>
      </c>
      <c r="U482" t="s">
        <v>79</v>
      </c>
      <c r="V482" t="s">
        <v>80</v>
      </c>
      <c r="W482" t="str">
        <f t="shared" ca="1" si="23"/>
        <v>Dormant</v>
      </c>
    </row>
    <row r="483" spans="1:23" x14ac:dyDescent="0.2">
      <c r="A483">
        <v>1419</v>
      </c>
      <c r="B483" t="s">
        <v>4066</v>
      </c>
      <c r="C483" t="s">
        <v>4067</v>
      </c>
      <c r="D483" s="1" t="s">
        <v>928</v>
      </c>
      <c r="E483" t="s">
        <v>4068</v>
      </c>
      <c r="F483" t="s">
        <v>1829</v>
      </c>
      <c r="G483" s="4" t="s">
        <v>5419</v>
      </c>
      <c r="H483" t="s">
        <v>1645</v>
      </c>
      <c r="I483" t="s">
        <v>112</v>
      </c>
      <c r="J483" s="4" t="s">
        <v>60</v>
      </c>
      <c r="K483" t="s">
        <v>4069</v>
      </c>
      <c r="L483">
        <v>2</v>
      </c>
      <c r="M483" t="s">
        <v>928</v>
      </c>
      <c r="N483" t="s">
        <v>868</v>
      </c>
      <c r="O483" t="s">
        <v>868</v>
      </c>
      <c r="P483" s="2" t="str">
        <f t="shared" si="21"/>
        <v>01/04/2025 to 04/04/2025</v>
      </c>
      <c r="Q483" s="3">
        <v>45752</v>
      </c>
      <c r="R483" t="str">
        <f t="shared" si="22"/>
        <v>Late</v>
      </c>
      <c r="S483" t="s">
        <v>939</v>
      </c>
      <c r="T483">
        <v>17</v>
      </c>
      <c r="U483" t="s">
        <v>79</v>
      </c>
      <c r="V483" t="s">
        <v>72</v>
      </c>
      <c r="W483" t="str">
        <f t="shared" ca="1" si="23"/>
        <v>Dormant</v>
      </c>
    </row>
    <row r="484" spans="1:23" x14ac:dyDescent="0.2">
      <c r="A484">
        <v>1420</v>
      </c>
      <c r="B484" t="s">
        <v>4066</v>
      </c>
      <c r="C484" t="s">
        <v>4070</v>
      </c>
      <c r="D484" s="1" t="s">
        <v>928</v>
      </c>
      <c r="E484" t="s">
        <v>4068</v>
      </c>
      <c r="F484" t="s">
        <v>1829</v>
      </c>
      <c r="G484" s="4" t="s">
        <v>5428</v>
      </c>
      <c r="H484" t="s">
        <v>1645</v>
      </c>
      <c r="I484" t="s">
        <v>112</v>
      </c>
      <c r="J484" s="4" t="s">
        <v>60</v>
      </c>
      <c r="K484" t="s">
        <v>4071</v>
      </c>
      <c r="L484">
        <v>3</v>
      </c>
      <c r="M484" t="s">
        <v>928</v>
      </c>
      <c r="N484" t="s">
        <v>928</v>
      </c>
      <c r="O484" t="s">
        <v>932</v>
      </c>
      <c r="P484" s="2" t="str">
        <f t="shared" si="21"/>
        <v>01/04/2025 to 04/04/2025</v>
      </c>
      <c r="Q484" s="3">
        <v>45751</v>
      </c>
      <c r="R484" t="str">
        <f t="shared" si="22"/>
        <v>On-Time</v>
      </c>
      <c r="S484" t="s">
        <v>325</v>
      </c>
      <c r="T484">
        <v>32.5</v>
      </c>
      <c r="U484" t="s">
        <v>65</v>
      </c>
      <c r="V484" t="s">
        <v>72</v>
      </c>
      <c r="W484" t="str">
        <f t="shared" ca="1" si="23"/>
        <v>Dormant</v>
      </c>
    </row>
    <row r="485" spans="1:23" x14ac:dyDescent="0.2">
      <c r="A485">
        <v>1421</v>
      </c>
      <c r="B485" t="s">
        <v>4066</v>
      </c>
      <c r="C485" t="s">
        <v>4072</v>
      </c>
      <c r="D485" s="1" t="s">
        <v>928</v>
      </c>
      <c r="E485" t="s">
        <v>4068</v>
      </c>
      <c r="F485" t="s">
        <v>1829</v>
      </c>
      <c r="G485" s="4" t="s">
        <v>5422</v>
      </c>
      <c r="H485" t="s">
        <v>1645</v>
      </c>
      <c r="I485" t="s">
        <v>112</v>
      </c>
      <c r="J485" s="4" t="s">
        <v>60</v>
      </c>
      <c r="K485" t="s">
        <v>2691</v>
      </c>
      <c r="L485">
        <v>2</v>
      </c>
      <c r="M485" t="s">
        <v>868</v>
      </c>
      <c r="N485" t="s">
        <v>932</v>
      </c>
      <c r="O485" t="s">
        <v>936</v>
      </c>
      <c r="P485" s="2" t="str">
        <f t="shared" si="21"/>
        <v>02/04/2025 to 07/04/2025</v>
      </c>
      <c r="Q485" s="3">
        <v>45750</v>
      </c>
      <c r="R485" t="str">
        <f t="shared" si="22"/>
        <v>On-Time</v>
      </c>
      <c r="S485" t="s">
        <v>325</v>
      </c>
      <c r="T485">
        <v>16</v>
      </c>
      <c r="U485" t="s">
        <v>65</v>
      </c>
      <c r="V485" t="s">
        <v>80</v>
      </c>
      <c r="W485" t="str">
        <f t="shared" ca="1" si="23"/>
        <v>Dormant</v>
      </c>
    </row>
    <row r="486" spans="1:23" x14ac:dyDescent="0.2">
      <c r="A486">
        <v>1650</v>
      </c>
      <c r="B486" t="s">
        <v>4623</v>
      </c>
      <c r="C486" t="s">
        <v>4624</v>
      </c>
      <c r="D486" s="1" t="s">
        <v>928</v>
      </c>
      <c r="E486" t="s">
        <v>4625</v>
      </c>
      <c r="F486" t="s">
        <v>303</v>
      </c>
      <c r="G486" s="4" t="s">
        <v>5423</v>
      </c>
      <c r="H486" t="s">
        <v>4626</v>
      </c>
      <c r="I486" t="s">
        <v>112</v>
      </c>
      <c r="J486" s="4" t="s">
        <v>74</v>
      </c>
      <c r="K486" t="s">
        <v>1293</v>
      </c>
      <c r="L486">
        <v>2</v>
      </c>
      <c r="M486" t="s">
        <v>928</v>
      </c>
      <c r="N486" t="s">
        <v>868</v>
      </c>
      <c r="O486" t="s">
        <v>932</v>
      </c>
      <c r="P486" s="2" t="str">
        <f t="shared" si="21"/>
        <v>01/04/2025 to 04/04/2025</v>
      </c>
      <c r="Q486" s="3">
        <v>45753</v>
      </c>
      <c r="R486" t="str">
        <f t="shared" si="22"/>
        <v>Late</v>
      </c>
      <c r="S486" t="s">
        <v>431</v>
      </c>
      <c r="T486">
        <v>17</v>
      </c>
      <c r="U486" t="s">
        <v>79</v>
      </c>
      <c r="V486" t="s">
        <v>80</v>
      </c>
      <c r="W486" t="str">
        <f t="shared" ca="1" si="23"/>
        <v>Dormant</v>
      </c>
    </row>
    <row r="487" spans="1:23" x14ac:dyDescent="0.2">
      <c r="A487">
        <v>1651</v>
      </c>
      <c r="B487" t="s">
        <v>4623</v>
      </c>
      <c r="C487" t="s">
        <v>4627</v>
      </c>
      <c r="D487" s="1" t="s">
        <v>928</v>
      </c>
      <c r="E487" t="s">
        <v>4625</v>
      </c>
      <c r="F487" t="s">
        <v>303</v>
      </c>
      <c r="G487" s="4" t="s">
        <v>5421</v>
      </c>
      <c r="H487" t="s">
        <v>4626</v>
      </c>
      <c r="I487" t="s">
        <v>112</v>
      </c>
      <c r="J487" s="4" t="s">
        <v>74</v>
      </c>
      <c r="K487" t="s">
        <v>14</v>
      </c>
      <c r="L487">
        <v>1</v>
      </c>
      <c r="M487" t="s">
        <v>928</v>
      </c>
      <c r="N487" t="s">
        <v>932</v>
      </c>
      <c r="O487" t="s">
        <v>932</v>
      </c>
      <c r="P487" s="2" t="str">
        <f t="shared" si="21"/>
        <v>01/04/2025 to 04/04/2025</v>
      </c>
      <c r="Q487" s="3">
        <v>45748</v>
      </c>
      <c r="R487" t="str">
        <f t="shared" si="22"/>
        <v>On-Time</v>
      </c>
      <c r="S487" t="s">
        <v>980</v>
      </c>
      <c r="T487">
        <v>9.5</v>
      </c>
      <c r="U487" t="s">
        <v>65</v>
      </c>
      <c r="V487" t="s">
        <v>80</v>
      </c>
      <c r="W487" t="str">
        <f t="shared" ca="1" si="23"/>
        <v>Dormant</v>
      </c>
    </row>
    <row r="488" spans="1:23" x14ac:dyDescent="0.2">
      <c r="A488">
        <v>1652</v>
      </c>
      <c r="B488" t="s">
        <v>4623</v>
      </c>
      <c r="C488" t="s">
        <v>4628</v>
      </c>
      <c r="D488" s="1" t="s">
        <v>928</v>
      </c>
      <c r="E488" t="s">
        <v>4625</v>
      </c>
      <c r="F488" t="s">
        <v>303</v>
      </c>
      <c r="G488" s="4" t="s">
        <v>5425</v>
      </c>
      <c r="H488" t="s">
        <v>4626</v>
      </c>
      <c r="I488" t="s">
        <v>112</v>
      </c>
      <c r="J488" s="4" t="s">
        <v>5417</v>
      </c>
      <c r="K488" t="s">
        <v>4629</v>
      </c>
      <c r="L488">
        <v>3</v>
      </c>
      <c r="M488" t="s">
        <v>868</v>
      </c>
      <c r="N488" t="s">
        <v>932</v>
      </c>
      <c r="O488" t="s">
        <v>868</v>
      </c>
      <c r="P488" s="2" t="str">
        <f t="shared" si="21"/>
        <v>02/04/2025 to 07/04/2025</v>
      </c>
      <c r="Q488" s="3">
        <v>45752</v>
      </c>
      <c r="R488" t="str">
        <f t="shared" si="22"/>
        <v>On-Time</v>
      </c>
      <c r="S488" t="s">
        <v>329</v>
      </c>
      <c r="T488">
        <v>31.5</v>
      </c>
      <c r="U488" t="s">
        <v>65</v>
      </c>
      <c r="V488" t="s">
        <v>72</v>
      </c>
      <c r="W488" t="str">
        <f t="shared" ca="1" si="23"/>
        <v>Dormant</v>
      </c>
    </row>
    <row r="489" spans="1:23" x14ac:dyDescent="0.2">
      <c r="A489">
        <v>1653</v>
      </c>
      <c r="B489" t="s">
        <v>4623</v>
      </c>
      <c r="C489" t="s">
        <v>4630</v>
      </c>
      <c r="D489" s="1" t="s">
        <v>928</v>
      </c>
      <c r="E489" t="s">
        <v>4625</v>
      </c>
      <c r="F489" t="s">
        <v>303</v>
      </c>
      <c r="G489" s="4" t="s">
        <v>5424</v>
      </c>
      <c r="H489" t="s">
        <v>4626</v>
      </c>
      <c r="I489" t="s">
        <v>112</v>
      </c>
      <c r="J489" s="4" t="s">
        <v>5417</v>
      </c>
      <c r="K489" t="s">
        <v>4631</v>
      </c>
      <c r="L489">
        <v>4</v>
      </c>
      <c r="M489" t="s">
        <v>932</v>
      </c>
      <c r="N489" t="s">
        <v>932</v>
      </c>
      <c r="O489" t="s">
        <v>936</v>
      </c>
      <c r="P489" s="2" t="str">
        <f t="shared" si="21"/>
        <v>03/04/2025 to 08/04/2025</v>
      </c>
      <c r="Q489" s="3">
        <v>45751</v>
      </c>
      <c r="R489" t="str">
        <f t="shared" si="22"/>
        <v>On-Time</v>
      </c>
      <c r="S489" t="s">
        <v>329</v>
      </c>
      <c r="T489">
        <v>35</v>
      </c>
      <c r="U489" t="s">
        <v>79</v>
      </c>
      <c r="V489" t="s">
        <v>66</v>
      </c>
      <c r="W489" t="str">
        <f t="shared" ca="1" si="23"/>
        <v>Dormant</v>
      </c>
    </row>
    <row r="490" spans="1:23" x14ac:dyDescent="0.2">
      <c r="A490">
        <v>1654</v>
      </c>
      <c r="B490" t="s">
        <v>4623</v>
      </c>
      <c r="C490" t="s">
        <v>4632</v>
      </c>
      <c r="D490" s="1" t="s">
        <v>928</v>
      </c>
      <c r="E490" t="s">
        <v>4625</v>
      </c>
      <c r="F490" t="s">
        <v>303</v>
      </c>
      <c r="G490" s="4" t="s">
        <v>5425</v>
      </c>
      <c r="H490" t="s">
        <v>4626</v>
      </c>
      <c r="I490" t="s">
        <v>112</v>
      </c>
      <c r="J490" s="4" t="s">
        <v>74</v>
      </c>
      <c r="K490" t="s">
        <v>483</v>
      </c>
      <c r="L490">
        <v>2</v>
      </c>
      <c r="M490" t="s">
        <v>928</v>
      </c>
      <c r="N490" t="s">
        <v>868</v>
      </c>
      <c r="O490" t="s">
        <v>868</v>
      </c>
      <c r="P490" s="2" t="str">
        <f t="shared" si="21"/>
        <v>01/04/2025 to 04/04/2025</v>
      </c>
      <c r="Q490" s="3">
        <v>45752</v>
      </c>
      <c r="R490" t="str">
        <f t="shared" si="22"/>
        <v>Late</v>
      </c>
      <c r="S490" t="s">
        <v>431</v>
      </c>
      <c r="T490">
        <v>19.5</v>
      </c>
      <c r="U490" t="s">
        <v>79</v>
      </c>
      <c r="V490" t="s">
        <v>72</v>
      </c>
      <c r="W490" t="str">
        <f t="shared" ca="1" si="23"/>
        <v>Dormant</v>
      </c>
    </row>
    <row r="491" spans="1:23" x14ac:dyDescent="0.2">
      <c r="A491">
        <v>1910</v>
      </c>
      <c r="B491" t="s">
        <v>5203</v>
      </c>
      <c r="C491" t="s">
        <v>5204</v>
      </c>
      <c r="D491" s="1" t="s">
        <v>928</v>
      </c>
      <c r="E491" t="s">
        <v>5205</v>
      </c>
      <c r="F491" t="s">
        <v>579</v>
      </c>
      <c r="G491" s="4" t="s">
        <v>5424</v>
      </c>
      <c r="H491" t="s">
        <v>1768</v>
      </c>
      <c r="I491" t="s">
        <v>59</v>
      </c>
      <c r="J491" s="4" t="s">
        <v>68</v>
      </c>
      <c r="K491" t="s">
        <v>16</v>
      </c>
      <c r="L491">
        <v>1</v>
      </c>
      <c r="M491" t="s">
        <v>928</v>
      </c>
      <c r="N491" t="s">
        <v>928</v>
      </c>
      <c r="O491" t="s">
        <v>868</v>
      </c>
      <c r="P491" s="2" t="str">
        <f t="shared" si="21"/>
        <v>01/04/2025 to 04/04/2025</v>
      </c>
      <c r="Q491" s="3">
        <v>45748</v>
      </c>
      <c r="R491" t="str">
        <f t="shared" si="22"/>
        <v>On-Time</v>
      </c>
      <c r="S491" t="s">
        <v>324</v>
      </c>
      <c r="T491">
        <v>11</v>
      </c>
      <c r="U491" t="s">
        <v>65</v>
      </c>
      <c r="V491" t="s">
        <v>72</v>
      </c>
      <c r="W491" t="str">
        <f t="shared" ca="1" si="23"/>
        <v>Dormant</v>
      </c>
    </row>
    <row r="492" spans="1:23" x14ac:dyDescent="0.2">
      <c r="A492">
        <v>1911</v>
      </c>
      <c r="B492" t="s">
        <v>5203</v>
      </c>
      <c r="C492" t="s">
        <v>5206</v>
      </c>
      <c r="D492" s="1" t="s">
        <v>928</v>
      </c>
      <c r="E492" t="s">
        <v>5205</v>
      </c>
      <c r="F492" t="s">
        <v>579</v>
      </c>
      <c r="G492" s="4" t="s">
        <v>5419</v>
      </c>
      <c r="H492" t="s">
        <v>1768</v>
      </c>
      <c r="I492" t="s">
        <v>59</v>
      </c>
      <c r="J492" s="4" t="s">
        <v>68</v>
      </c>
      <c r="K492" t="s">
        <v>5207</v>
      </c>
      <c r="L492">
        <v>4</v>
      </c>
      <c r="M492" t="s">
        <v>928</v>
      </c>
      <c r="N492" t="s">
        <v>868</v>
      </c>
      <c r="O492" t="s">
        <v>928</v>
      </c>
      <c r="P492" s="2" t="str">
        <f t="shared" si="21"/>
        <v>01/04/2025 to 04/04/2025</v>
      </c>
      <c r="Q492" s="3">
        <v>45752</v>
      </c>
      <c r="R492" t="str">
        <f t="shared" si="22"/>
        <v>Late</v>
      </c>
      <c r="S492" t="s">
        <v>431</v>
      </c>
      <c r="T492">
        <v>45</v>
      </c>
      <c r="U492" t="s">
        <v>65</v>
      </c>
      <c r="V492" t="s">
        <v>80</v>
      </c>
      <c r="W492" t="str">
        <f t="shared" ca="1" si="23"/>
        <v>Dormant</v>
      </c>
    </row>
    <row r="493" spans="1:23" x14ac:dyDescent="0.2">
      <c r="A493">
        <v>1912</v>
      </c>
      <c r="B493" t="s">
        <v>5203</v>
      </c>
      <c r="C493" t="s">
        <v>5208</v>
      </c>
      <c r="D493" s="1" t="s">
        <v>928</v>
      </c>
      <c r="E493" t="s">
        <v>5205</v>
      </c>
      <c r="F493" t="s">
        <v>579</v>
      </c>
      <c r="G493" s="4" t="s">
        <v>38</v>
      </c>
      <c r="H493" t="s">
        <v>1768</v>
      </c>
      <c r="I493" t="s">
        <v>59</v>
      </c>
      <c r="J493" s="4" t="s">
        <v>5417</v>
      </c>
      <c r="K493" t="s">
        <v>715</v>
      </c>
      <c r="L493">
        <v>2</v>
      </c>
      <c r="M493" t="s">
        <v>932</v>
      </c>
      <c r="N493" t="s">
        <v>932</v>
      </c>
      <c r="O493" t="s">
        <v>936</v>
      </c>
      <c r="P493" s="2" t="str">
        <f t="shared" si="21"/>
        <v>03/04/2025 to 08/04/2025</v>
      </c>
      <c r="Q493" s="3">
        <v>45750</v>
      </c>
      <c r="R493" t="str">
        <f t="shared" si="22"/>
        <v>On-Time</v>
      </c>
      <c r="S493" t="s">
        <v>329</v>
      </c>
      <c r="T493">
        <v>21.5</v>
      </c>
      <c r="U493" t="s">
        <v>65</v>
      </c>
      <c r="V493" t="s">
        <v>80</v>
      </c>
      <c r="W493" t="str">
        <f t="shared" ca="1" si="23"/>
        <v>Dormant</v>
      </c>
    </row>
    <row r="494" spans="1:23" x14ac:dyDescent="0.2">
      <c r="A494">
        <v>646</v>
      </c>
      <c r="B494" t="s">
        <v>2206</v>
      </c>
      <c r="C494" t="s">
        <v>2207</v>
      </c>
      <c r="D494" s="1" t="s">
        <v>868</v>
      </c>
      <c r="E494" t="s">
        <v>2208</v>
      </c>
      <c r="F494" t="s">
        <v>209</v>
      </c>
      <c r="G494" s="4" t="s">
        <v>5419</v>
      </c>
      <c r="H494" t="s">
        <v>2209</v>
      </c>
      <c r="I494" t="s">
        <v>112</v>
      </c>
      <c r="J494" s="4" t="s">
        <v>74</v>
      </c>
      <c r="K494" t="s">
        <v>2156</v>
      </c>
      <c r="L494">
        <v>2</v>
      </c>
      <c r="M494" t="s">
        <v>936</v>
      </c>
      <c r="N494" t="s">
        <v>998</v>
      </c>
      <c r="O494" t="s">
        <v>976</v>
      </c>
      <c r="P494" s="2" t="str">
        <f t="shared" si="21"/>
        <v>04/04/2025 to 09/04/2025</v>
      </c>
      <c r="Q494" s="3">
        <v>45754</v>
      </c>
      <c r="R494" t="str">
        <f t="shared" si="22"/>
        <v>On-Time</v>
      </c>
      <c r="S494" t="s">
        <v>939</v>
      </c>
      <c r="T494">
        <v>18.5</v>
      </c>
      <c r="U494" t="s">
        <v>65</v>
      </c>
      <c r="V494" t="s">
        <v>72</v>
      </c>
      <c r="W494" t="str">
        <f t="shared" ca="1" si="23"/>
        <v>Dormant</v>
      </c>
    </row>
    <row r="495" spans="1:23" x14ac:dyDescent="0.2">
      <c r="A495">
        <v>778</v>
      </c>
      <c r="B495" t="s">
        <v>2520</v>
      </c>
      <c r="C495" t="s">
        <v>2521</v>
      </c>
      <c r="D495" s="1" t="s">
        <v>868</v>
      </c>
      <c r="E495" t="s">
        <v>2522</v>
      </c>
      <c r="F495" t="s">
        <v>1267</v>
      </c>
      <c r="G495" s="4" t="s">
        <v>5425</v>
      </c>
      <c r="H495" t="s">
        <v>829</v>
      </c>
      <c r="I495" t="s">
        <v>112</v>
      </c>
      <c r="J495" s="4" t="s">
        <v>60</v>
      </c>
      <c r="K495" t="s">
        <v>1875</v>
      </c>
      <c r="L495">
        <v>2</v>
      </c>
      <c r="M495" t="s">
        <v>932</v>
      </c>
      <c r="N495" t="s">
        <v>936</v>
      </c>
      <c r="O495" t="s">
        <v>936</v>
      </c>
      <c r="P495" s="2" t="str">
        <f t="shared" si="21"/>
        <v>03/04/2025 to 08/04/2025</v>
      </c>
      <c r="Q495" s="3">
        <v>45755</v>
      </c>
      <c r="R495" t="str">
        <f t="shared" si="22"/>
        <v>On-Time</v>
      </c>
      <c r="S495" t="s">
        <v>439</v>
      </c>
      <c r="T495">
        <v>20</v>
      </c>
      <c r="U495" t="s">
        <v>79</v>
      </c>
      <c r="V495" t="s">
        <v>66</v>
      </c>
      <c r="W495" t="str">
        <f t="shared" ca="1" si="23"/>
        <v>Dormant</v>
      </c>
    </row>
    <row r="496" spans="1:23" x14ac:dyDescent="0.2">
      <c r="A496">
        <v>864</v>
      </c>
      <c r="B496" t="s">
        <v>2725</v>
      </c>
      <c r="C496" t="s">
        <v>2726</v>
      </c>
      <c r="D496" s="1" t="s">
        <v>932</v>
      </c>
      <c r="E496" t="s">
        <v>2727</v>
      </c>
      <c r="F496" t="s">
        <v>303</v>
      </c>
      <c r="G496" s="4" t="s">
        <v>5419</v>
      </c>
      <c r="H496" t="s">
        <v>2728</v>
      </c>
      <c r="I496" t="s">
        <v>112</v>
      </c>
      <c r="J496" s="4" t="s">
        <v>60</v>
      </c>
      <c r="K496" t="s">
        <v>2729</v>
      </c>
      <c r="L496">
        <v>4</v>
      </c>
      <c r="M496" t="s">
        <v>932</v>
      </c>
      <c r="N496" t="s">
        <v>932</v>
      </c>
      <c r="O496" t="s">
        <v>976</v>
      </c>
      <c r="P496" s="2" t="str">
        <f t="shared" si="21"/>
        <v>03/04/2025 to 08/04/2025</v>
      </c>
      <c r="Q496" s="3">
        <v>45756</v>
      </c>
      <c r="R496" t="str">
        <f t="shared" si="22"/>
        <v>Late</v>
      </c>
      <c r="S496" t="s">
        <v>132</v>
      </c>
      <c r="T496">
        <v>36.5</v>
      </c>
      <c r="U496" t="s">
        <v>65</v>
      </c>
      <c r="V496" t="s">
        <v>72</v>
      </c>
      <c r="W496" t="str">
        <f t="shared" ca="1" si="23"/>
        <v>Dormant</v>
      </c>
    </row>
    <row r="497" spans="1:23" x14ac:dyDescent="0.2">
      <c r="A497">
        <v>865</v>
      </c>
      <c r="B497" t="s">
        <v>2725</v>
      </c>
      <c r="C497" t="s">
        <v>2730</v>
      </c>
      <c r="D497" s="1" t="s">
        <v>932</v>
      </c>
      <c r="E497" t="s">
        <v>2727</v>
      </c>
      <c r="F497" t="s">
        <v>303</v>
      </c>
      <c r="G497" s="4" t="s">
        <v>5425</v>
      </c>
      <c r="H497" t="s">
        <v>2728</v>
      </c>
      <c r="I497" t="s">
        <v>112</v>
      </c>
      <c r="J497" s="4" t="s">
        <v>5417</v>
      </c>
      <c r="K497" t="s">
        <v>2731</v>
      </c>
      <c r="L497">
        <v>3</v>
      </c>
      <c r="M497" t="s">
        <v>936</v>
      </c>
      <c r="N497" t="s">
        <v>998</v>
      </c>
      <c r="O497" t="s">
        <v>936</v>
      </c>
      <c r="P497" s="2" t="str">
        <f t="shared" si="21"/>
        <v>04/04/2025 to 09/04/2025</v>
      </c>
      <c r="Q497" s="3">
        <v>45749</v>
      </c>
      <c r="R497" t="str">
        <f t="shared" si="22"/>
        <v>Late</v>
      </c>
      <c r="S497" t="s">
        <v>324</v>
      </c>
      <c r="T497">
        <v>27.5</v>
      </c>
      <c r="U497" t="s">
        <v>79</v>
      </c>
      <c r="V497" t="s">
        <v>72</v>
      </c>
      <c r="W497" t="str">
        <f t="shared" ca="1" si="23"/>
        <v>Dormant</v>
      </c>
    </row>
    <row r="498" spans="1:23" x14ac:dyDescent="0.2">
      <c r="A498">
        <v>866</v>
      </c>
      <c r="B498" t="s">
        <v>2725</v>
      </c>
      <c r="C498" t="s">
        <v>2732</v>
      </c>
      <c r="D498" s="1" t="s">
        <v>932</v>
      </c>
      <c r="E498" t="s">
        <v>2727</v>
      </c>
      <c r="F498" t="s">
        <v>303</v>
      </c>
      <c r="G498" s="4" t="s">
        <v>5426</v>
      </c>
      <c r="H498" t="s">
        <v>2728</v>
      </c>
      <c r="I498" t="s">
        <v>112</v>
      </c>
      <c r="J498" s="4" t="s">
        <v>74</v>
      </c>
      <c r="K498" t="s">
        <v>2733</v>
      </c>
      <c r="L498">
        <v>4</v>
      </c>
      <c r="M498" t="s">
        <v>936</v>
      </c>
      <c r="N498" t="s">
        <v>936</v>
      </c>
      <c r="O498" t="s">
        <v>998</v>
      </c>
      <c r="P498" s="2" t="str">
        <f t="shared" si="21"/>
        <v>04/04/2025 to 09/04/2025</v>
      </c>
      <c r="Q498" s="3">
        <v>45751</v>
      </c>
      <c r="R498" t="str">
        <f t="shared" si="22"/>
        <v>On-Time</v>
      </c>
      <c r="S498" t="s">
        <v>325</v>
      </c>
      <c r="T498">
        <v>38</v>
      </c>
      <c r="U498" t="s">
        <v>65</v>
      </c>
      <c r="V498" t="s">
        <v>72</v>
      </c>
      <c r="W498" t="str">
        <f t="shared" ca="1" si="23"/>
        <v>Dormant</v>
      </c>
    </row>
    <row r="499" spans="1:23" x14ac:dyDescent="0.2">
      <c r="A499">
        <v>867</v>
      </c>
      <c r="B499" t="s">
        <v>2725</v>
      </c>
      <c r="C499" t="s">
        <v>2734</v>
      </c>
      <c r="D499" s="1" t="s">
        <v>932</v>
      </c>
      <c r="E499" t="s">
        <v>2727</v>
      </c>
      <c r="F499" t="s">
        <v>303</v>
      </c>
      <c r="G499" s="4" t="s">
        <v>5428</v>
      </c>
      <c r="H499" t="s">
        <v>2728</v>
      </c>
      <c r="I499" t="s">
        <v>112</v>
      </c>
      <c r="J499" s="4" t="s">
        <v>5417</v>
      </c>
      <c r="K499" t="s">
        <v>2735</v>
      </c>
      <c r="L499">
        <v>4</v>
      </c>
      <c r="M499" t="s">
        <v>976</v>
      </c>
      <c r="N499" t="s">
        <v>976</v>
      </c>
      <c r="O499" t="s">
        <v>998</v>
      </c>
      <c r="P499" s="2" t="str">
        <f t="shared" si="21"/>
        <v>07/04/2025 to 10/04/2025</v>
      </c>
      <c r="Q499" s="3">
        <v>45755</v>
      </c>
      <c r="R499" t="str">
        <f t="shared" si="22"/>
        <v>On-Time</v>
      </c>
      <c r="S499" t="s">
        <v>440</v>
      </c>
      <c r="T499">
        <v>37</v>
      </c>
      <c r="U499" t="s">
        <v>79</v>
      </c>
      <c r="V499" t="s">
        <v>80</v>
      </c>
      <c r="W499" t="str">
        <f t="shared" ca="1" si="23"/>
        <v>Dormant</v>
      </c>
    </row>
    <row r="500" spans="1:23" x14ac:dyDescent="0.2">
      <c r="A500">
        <v>868</v>
      </c>
      <c r="B500" t="s">
        <v>2725</v>
      </c>
      <c r="C500" t="s">
        <v>2736</v>
      </c>
      <c r="D500" s="1" t="s">
        <v>932</v>
      </c>
      <c r="E500" t="s">
        <v>2727</v>
      </c>
      <c r="F500" t="s">
        <v>303</v>
      </c>
      <c r="G500" s="4" t="s">
        <v>5423</v>
      </c>
      <c r="H500" t="s">
        <v>2728</v>
      </c>
      <c r="I500" t="s">
        <v>112</v>
      </c>
      <c r="J500" s="4" t="s">
        <v>60</v>
      </c>
      <c r="K500" t="s">
        <v>2737</v>
      </c>
      <c r="L500">
        <v>2</v>
      </c>
      <c r="M500" t="s">
        <v>936</v>
      </c>
      <c r="N500" t="s">
        <v>998</v>
      </c>
      <c r="O500" t="s">
        <v>976</v>
      </c>
      <c r="P500" s="2" t="str">
        <f t="shared" si="21"/>
        <v>04/04/2025 to 09/04/2025</v>
      </c>
      <c r="Q500" s="3">
        <v>45753</v>
      </c>
      <c r="R500" t="str">
        <f t="shared" si="22"/>
        <v>On-Time</v>
      </c>
      <c r="S500" t="s">
        <v>439</v>
      </c>
      <c r="T500">
        <v>16</v>
      </c>
      <c r="U500" t="s">
        <v>79</v>
      </c>
      <c r="V500" t="s">
        <v>66</v>
      </c>
      <c r="W500" t="str">
        <f t="shared" ca="1" si="23"/>
        <v>Dormant</v>
      </c>
    </row>
    <row r="501" spans="1:23" x14ac:dyDescent="0.2">
      <c r="A501">
        <v>710</v>
      </c>
      <c r="B501" t="s">
        <v>2359</v>
      </c>
      <c r="C501" t="s">
        <v>2360</v>
      </c>
      <c r="D501" s="1" t="s">
        <v>936</v>
      </c>
      <c r="E501" t="s">
        <v>2361</v>
      </c>
      <c r="F501" t="s">
        <v>1267</v>
      </c>
      <c r="G501" s="4" t="s">
        <v>5425</v>
      </c>
      <c r="H501" t="s">
        <v>267</v>
      </c>
      <c r="I501" t="s">
        <v>136</v>
      </c>
      <c r="J501" s="4" t="s">
        <v>60</v>
      </c>
      <c r="K501" t="s">
        <v>2362</v>
      </c>
      <c r="L501">
        <v>4</v>
      </c>
      <c r="M501" t="s">
        <v>936</v>
      </c>
      <c r="N501" t="s">
        <v>936</v>
      </c>
      <c r="O501" t="s">
        <v>998</v>
      </c>
      <c r="P501" s="2" t="str">
        <f t="shared" si="21"/>
        <v>04/04/2025 to 09/04/2025</v>
      </c>
      <c r="Q501" s="3">
        <v>45756</v>
      </c>
      <c r="R501" t="str">
        <f t="shared" si="22"/>
        <v>On-Time</v>
      </c>
      <c r="S501" t="s">
        <v>440</v>
      </c>
      <c r="T501">
        <v>40</v>
      </c>
      <c r="U501" t="s">
        <v>79</v>
      </c>
      <c r="V501" t="s">
        <v>72</v>
      </c>
      <c r="W501" t="str">
        <f t="shared" ca="1" si="23"/>
        <v>Dormant</v>
      </c>
    </row>
    <row r="502" spans="1:23" x14ac:dyDescent="0.2">
      <c r="A502">
        <v>1578</v>
      </c>
      <c r="B502" t="s">
        <v>4450</v>
      </c>
      <c r="C502" t="s">
        <v>4451</v>
      </c>
      <c r="D502" s="1" t="s">
        <v>936</v>
      </c>
      <c r="E502" t="s">
        <v>4452</v>
      </c>
      <c r="F502" t="s">
        <v>881</v>
      </c>
      <c r="G502" s="4" t="s">
        <v>5420</v>
      </c>
      <c r="H502" t="s">
        <v>4453</v>
      </c>
      <c r="I502" t="s">
        <v>136</v>
      </c>
      <c r="J502" s="4" t="s">
        <v>60</v>
      </c>
      <c r="K502" t="s">
        <v>4454</v>
      </c>
      <c r="L502">
        <v>3</v>
      </c>
      <c r="M502" t="s">
        <v>936</v>
      </c>
      <c r="N502" t="s">
        <v>976</v>
      </c>
      <c r="O502" t="s">
        <v>998</v>
      </c>
      <c r="P502" s="2" t="str">
        <f t="shared" si="21"/>
        <v>04/04/2025 to 09/04/2025</v>
      </c>
      <c r="Q502" s="3">
        <v>45751</v>
      </c>
      <c r="R502" t="str">
        <f t="shared" si="22"/>
        <v>On-Time</v>
      </c>
      <c r="S502" t="s">
        <v>329</v>
      </c>
      <c r="T502">
        <v>31</v>
      </c>
      <c r="U502" t="s">
        <v>79</v>
      </c>
      <c r="V502" t="s">
        <v>72</v>
      </c>
      <c r="W502" t="str">
        <f t="shared" ca="1" si="23"/>
        <v>Dormant</v>
      </c>
    </row>
    <row r="503" spans="1:23" x14ac:dyDescent="0.2">
      <c r="A503">
        <v>1579</v>
      </c>
      <c r="B503" t="s">
        <v>4450</v>
      </c>
      <c r="C503" t="s">
        <v>4455</v>
      </c>
      <c r="D503" s="1" t="s">
        <v>936</v>
      </c>
      <c r="E503" t="s">
        <v>4452</v>
      </c>
      <c r="F503" t="s">
        <v>881</v>
      </c>
      <c r="G503" s="4" t="s">
        <v>5419</v>
      </c>
      <c r="H503" t="s">
        <v>4453</v>
      </c>
      <c r="I503" t="s">
        <v>136</v>
      </c>
      <c r="J503" s="4" t="s">
        <v>68</v>
      </c>
      <c r="K503" t="s">
        <v>4456</v>
      </c>
      <c r="L503">
        <v>4</v>
      </c>
      <c r="M503" t="s">
        <v>976</v>
      </c>
      <c r="N503" t="s">
        <v>998</v>
      </c>
      <c r="O503" t="s">
        <v>998</v>
      </c>
      <c r="P503" s="2" t="str">
        <f t="shared" si="21"/>
        <v>07/04/2025 to 10/04/2025</v>
      </c>
      <c r="Q503" s="3">
        <v>45756</v>
      </c>
      <c r="R503" t="str">
        <f t="shared" si="22"/>
        <v>On-Time</v>
      </c>
      <c r="S503" t="s">
        <v>132</v>
      </c>
      <c r="T503">
        <v>40</v>
      </c>
      <c r="U503" t="s">
        <v>79</v>
      </c>
      <c r="V503" t="s">
        <v>80</v>
      </c>
      <c r="W503" t="str">
        <f t="shared" ca="1" si="23"/>
        <v>Dormant</v>
      </c>
    </row>
    <row r="504" spans="1:23" x14ac:dyDescent="0.2">
      <c r="A504">
        <v>1720</v>
      </c>
      <c r="B504" t="s">
        <v>4782</v>
      </c>
      <c r="C504" t="s">
        <v>4783</v>
      </c>
      <c r="D504" s="1" t="s">
        <v>936</v>
      </c>
      <c r="E504" t="s">
        <v>4784</v>
      </c>
      <c r="F504" t="s">
        <v>179</v>
      </c>
      <c r="G504" s="4" t="s">
        <v>5421</v>
      </c>
      <c r="H504" t="s">
        <v>4785</v>
      </c>
      <c r="I504" t="s">
        <v>201</v>
      </c>
      <c r="J504" s="4" t="s">
        <v>5417</v>
      </c>
      <c r="K504" t="s">
        <v>4786</v>
      </c>
      <c r="L504">
        <v>4</v>
      </c>
      <c r="M504" t="s">
        <v>976</v>
      </c>
      <c r="N504" t="s">
        <v>976</v>
      </c>
      <c r="O504" t="s">
        <v>1621</v>
      </c>
      <c r="P504" s="2" t="str">
        <f t="shared" si="21"/>
        <v>07/04/2025 to 10/04/2025</v>
      </c>
      <c r="Q504" s="3">
        <v>45754</v>
      </c>
      <c r="R504" t="str">
        <f t="shared" si="22"/>
        <v>On-Time</v>
      </c>
      <c r="S504" t="s">
        <v>939</v>
      </c>
      <c r="T504">
        <v>37</v>
      </c>
      <c r="U504" t="s">
        <v>65</v>
      </c>
      <c r="V504" t="s">
        <v>72</v>
      </c>
      <c r="W504" t="str">
        <f t="shared" ca="1" si="23"/>
        <v>Dormant</v>
      </c>
    </row>
    <row r="505" spans="1:23" x14ac:dyDescent="0.2">
      <c r="A505">
        <v>1721</v>
      </c>
      <c r="B505" t="s">
        <v>4782</v>
      </c>
      <c r="C505" t="s">
        <v>4787</v>
      </c>
      <c r="D505" s="1" t="s">
        <v>936</v>
      </c>
      <c r="E505" t="s">
        <v>4784</v>
      </c>
      <c r="F505" t="s">
        <v>179</v>
      </c>
      <c r="G505" s="4" t="s">
        <v>5427</v>
      </c>
      <c r="H505" t="s">
        <v>4785</v>
      </c>
      <c r="I505" t="s">
        <v>201</v>
      </c>
      <c r="J505" s="4" t="s">
        <v>74</v>
      </c>
      <c r="K505" t="s">
        <v>4788</v>
      </c>
      <c r="L505">
        <v>3</v>
      </c>
      <c r="M505" t="s">
        <v>976</v>
      </c>
      <c r="N505" t="s">
        <v>1621</v>
      </c>
      <c r="O505" t="s">
        <v>976</v>
      </c>
      <c r="P505" s="2" t="str">
        <f t="shared" si="21"/>
        <v>07/04/2025 to 10/04/2025</v>
      </c>
      <c r="Q505" s="3">
        <v>45751</v>
      </c>
      <c r="R505" t="str">
        <f t="shared" si="22"/>
        <v>Late</v>
      </c>
      <c r="S505" t="s">
        <v>431</v>
      </c>
      <c r="T505">
        <v>30.5</v>
      </c>
      <c r="U505" t="s">
        <v>79</v>
      </c>
      <c r="V505" t="s">
        <v>80</v>
      </c>
      <c r="W505" t="str">
        <f t="shared" ca="1" si="23"/>
        <v>Dormant</v>
      </c>
    </row>
    <row r="506" spans="1:23" x14ac:dyDescent="0.2">
      <c r="A506">
        <v>1722</v>
      </c>
      <c r="B506" t="s">
        <v>4782</v>
      </c>
      <c r="C506" t="s">
        <v>4789</v>
      </c>
      <c r="D506" s="1" t="s">
        <v>936</v>
      </c>
      <c r="E506" t="s">
        <v>4784</v>
      </c>
      <c r="F506" t="s">
        <v>179</v>
      </c>
      <c r="G506" s="4" t="s">
        <v>5423</v>
      </c>
      <c r="H506" t="s">
        <v>4785</v>
      </c>
      <c r="I506" t="s">
        <v>201</v>
      </c>
      <c r="J506" s="4" t="s">
        <v>68</v>
      </c>
      <c r="K506" t="s">
        <v>4790</v>
      </c>
      <c r="L506">
        <v>2</v>
      </c>
      <c r="M506" t="s">
        <v>936</v>
      </c>
      <c r="N506" t="s">
        <v>998</v>
      </c>
      <c r="O506" t="s">
        <v>976</v>
      </c>
      <c r="P506" s="2" t="str">
        <f t="shared" si="21"/>
        <v>04/04/2025 to 09/04/2025</v>
      </c>
      <c r="Q506" s="3">
        <v>45751</v>
      </c>
      <c r="R506" t="str">
        <f t="shared" si="22"/>
        <v>On-Time</v>
      </c>
      <c r="S506" t="s">
        <v>325</v>
      </c>
      <c r="T506">
        <v>20</v>
      </c>
      <c r="U506" t="s">
        <v>79</v>
      </c>
      <c r="V506" t="s">
        <v>66</v>
      </c>
      <c r="W506" t="str">
        <f t="shared" ca="1" si="23"/>
        <v>Dormant</v>
      </c>
    </row>
    <row r="507" spans="1:23" x14ac:dyDescent="0.2">
      <c r="A507">
        <v>972</v>
      </c>
      <c r="B507" t="s">
        <v>2998</v>
      </c>
      <c r="C507" t="s">
        <v>2999</v>
      </c>
      <c r="D507" s="1" t="s">
        <v>998</v>
      </c>
      <c r="E507" t="s">
        <v>3000</v>
      </c>
      <c r="F507" t="s">
        <v>511</v>
      </c>
      <c r="G507" s="4" t="s">
        <v>5425</v>
      </c>
      <c r="H507" t="s">
        <v>571</v>
      </c>
      <c r="I507" t="s">
        <v>93</v>
      </c>
      <c r="J507" s="4" t="s">
        <v>74</v>
      </c>
      <c r="K507" t="s">
        <v>32</v>
      </c>
      <c r="L507">
        <v>1</v>
      </c>
      <c r="M507" t="s">
        <v>1621</v>
      </c>
      <c r="N507" t="s">
        <v>1059</v>
      </c>
      <c r="O507" t="s">
        <v>1621</v>
      </c>
      <c r="P507" s="2" t="str">
        <f t="shared" si="21"/>
        <v>08/04/2025 to 11/04/2025</v>
      </c>
      <c r="Q507" s="3">
        <v>45758</v>
      </c>
      <c r="R507" t="str">
        <f t="shared" si="22"/>
        <v>On-Time</v>
      </c>
      <c r="S507" t="s">
        <v>140</v>
      </c>
      <c r="T507">
        <v>14</v>
      </c>
      <c r="U507" t="s">
        <v>79</v>
      </c>
      <c r="V507" t="s">
        <v>80</v>
      </c>
      <c r="W507" t="str">
        <f t="shared" ca="1" si="23"/>
        <v>Dormant</v>
      </c>
    </row>
    <row r="508" spans="1:23" x14ac:dyDescent="0.2">
      <c r="A508">
        <v>973</v>
      </c>
      <c r="B508" t="s">
        <v>2998</v>
      </c>
      <c r="C508" t="s">
        <v>3001</v>
      </c>
      <c r="D508" s="1" t="s">
        <v>998</v>
      </c>
      <c r="E508" t="s">
        <v>3000</v>
      </c>
      <c r="F508" t="s">
        <v>511</v>
      </c>
      <c r="G508" s="4" t="s">
        <v>5422</v>
      </c>
      <c r="H508" t="s">
        <v>571</v>
      </c>
      <c r="I508" t="s">
        <v>93</v>
      </c>
      <c r="J508" s="4" t="s">
        <v>74</v>
      </c>
      <c r="K508" t="s">
        <v>22</v>
      </c>
      <c r="L508">
        <v>1</v>
      </c>
      <c r="M508" t="s">
        <v>998</v>
      </c>
      <c r="N508" t="s">
        <v>1059</v>
      </c>
      <c r="O508" t="s">
        <v>1059</v>
      </c>
      <c r="P508" s="2" t="str">
        <f t="shared" si="21"/>
        <v>08/04/2025 to 11/04/2025</v>
      </c>
      <c r="Q508" s="3">
        <v>45758</v>
      </c>
      <c r="R508" t="str">
        <f t="shared" si="22"/>
        <v>On-Time</v>
      </c>
      <c r="S508" t="s">
        <v>140</v>
      </c>
      <c r="T508">
        <v>8</v>
      </c>
      <c r="U508" t="s">
        <v>65</v>
      </c>
      <c r="V508" t="s">
        <v>66</v>
      </c>
      <c r="W508" t="str">
        <f t="shared" ca="1" si="23"/>
        <v>Dormant</v>
      </c>
    </row>
    <row r="509" spans="1:23" x14ac:dyDescent="0.2">
      <c r="A509">
        <v>1184</v>
      </c>
      <c r="B509" t="s">
        <v>3502</v>
      </c>
      <c r="C509" t="s">
        <v>3503</v>
      </c>
      <c r="D509" s="1" t="s">
        <v>998</v>
      </c>
      <c r="E509" t="s">
        <v>3504</v>
      </c>
      <c r="F509" t="s">
        <v>110</v>
      </c>
      <c r="G509" s="4" t="s">
        <v>5418</v>
      </c>
      <c r="H509" t="s">
        <v>1101</v>
      </c>
      <c r="I509" t="s">
        <v>201</v>
      </c>
      <c r="J509" s="4" t="s">
        <v>5417</v>
      </c>
      <c r="K509" t="s">
        <v>3505</v>
      </c>
      <c r="L509">
        <v>4</v>
      </c>
      <c r="M509" t="s">
        <v>1621</v>
      </c>
      <c r="N509" t="s">
        <v>1059</v>
      </c>
      <c r="O509" t="s">
        <v>1059</v>
      </c>
      <c r="P509" s="2" t="str">
        <f t="shared" si="21"/>
        <v>08/04/2025 to 11/04/2025</v>
      </c>
      <c r="Q509" s="3">
        <v>45755</v>
      </c>
      <c r="R509" t="str">
        <f t="shared" si="22"/>
        <v>On-Time</v>
      </c>
      <c r="S509" t="s">
        <v>440</v>
      </c>
      <c r="T509">
        <v>41.5</v>
      </c>
      <c r="U509" t="s">
        <v>65</v>
      </c>
      <c r="V509" t="s">
        <v>72</v>
      </c>
      <c r="W509" t="str">
        <f t="shared" ca="1" si="23"/>
        <v>Dormant</v>
      </c>
    </row>
    <row r="510" spans="1:23" x14ac:dyDescent="0.2">
      <c r="A510">
        <v>1913</v>
      </c>
      <c r="B510" t="s">
        <v>5209</v>
      </c>
      <c r="C510" t="s">
        <v>5210</v>
      </c>
      <c r="D510" s="1" t="s">
        <v>1621</v>
      </c>
      <c r="E510" t="s">
        <v>5211</v>
      </c>
      <c r="F510" t="s">
        <v>872</v>
      </c>
      <c r="G510" s="4" t="s">
        <v>5419</v>
      </c>
      <c r="H510" t="s">
        <v>5212</v>
      </c>
      <c r="I510" t="s">
        <v>59</v>
      </c>
      <c r="J510" s="4" t="s">
        <v>74</v>
      </c>
      <c r="K510" t="s">
        <v>5213</v>
      </c>
      <c r="L510">
        <v>4</v>
      </c>
      <c r="M510" t="s">
        <v>979</v>
      </c>
      <c r="N510" t="s">
        <v>320</v>
      </c>
      <c r="O510" t="s">
        <v>979</v>
      </c>
      <c r="P510" s="2" t="str">
        <f t="shared" si="21"/>
        <v>09/04/2025 to 14/04/2025</v>
      </c>
      <c r="Q510" s="3">
        <v>45754</v>
      </c>
      <c r="R510" t="str">
        <f t="shared" si="22"/>
        <v>Late</v>
      </c>
      <c r="S510" t="s">
        <v>439</v>
      </c>
      <c r="T510">
        <v>43.5</v>
      </c>
      <c r="U510" t="s">
        <v>65</v>
      </c>
      <c r="V510" t="s">
        <v>80</v>
      </c>
      <c r="W510" t="str">
        <f t="shared" ca="1" si="23"/>
        <v>Dormant</v>
      </c>
    </row>
    <row r="511" spans="1:23" x14ac:dyDescent="0.2">
      <c r="A511">
        <v>1914</v>
      </c>
      <c r="B511" t="s">
        <v>5209</v>
      </c>
      <c r="C511" t="s">
        <v>5214</v>
      </c>
      <c r="D511" s="1" t="s">
        <v>1621</v>
      </c>
      <c r="E511" t="s">
        <v>5211</v>
      </c>
      <c r="F511" t="s">
        <v>872</v>
      </c>
      <c r="G511" s="4" t="s">
        <v>5427</v>
      </c>
      <c r="H511" t="s">
        <v>5212</v>
      </c>
      <c r="I511" t="s">
        <v>59</v>
      </c>
      <c r="J511" s="4" t="s">
        <v>60</v>
      </c>
      <c r="K511" t="s">
        <v>5215</v>
      </c>
      <c r="L511">
        <v>4</v>
      </c>
      <c r="M511" t="s">
        <v>1059</v>
      </c>
      <c r="N511" t="s">
        <v>979</v>
      </c>
      <c r="O511" t="s">
        <v>979</v>
      </c>
      <c r="P511" s="2" t="str">
        <f t="shared" si="21"/>
        <v>08/04/2025 to 11/04/2025</v>
      </c>
      <c r="Q511" s="3">
        <v>45757</v>
      </c>
      <c r="R511" t="str">
        <f t="shared" si="22"/>
        <v>On-Time</v>
      </c>
      <c r="S511" t="s">
        <v>139</v>
      </c>
      <c r="T511">
        <v>37</v>
      </c>
      <c r="U511" t="s">
        <v>79</v>
      </c>
      <c r="V511" t="s">
        <v>72</v>
      </c>
      <c r="W511" t="str">
        <f t="shared" ca="1" si="23"/>
        <v>Dormant</v>
      </c>
    </row>
    <row r="512" spans="1:23" x14ac:dyDescent="0.2">
      <c r="A512">
        <v>1915</v>
      </c>
      <c r="B512" t="s">
        <v>5209</v>
      </c>
      <c r="C512" t="s">
        <v>5216</v>
      </c>
      <c r="D512" s="1" t="s">
        <v>1621</v>
      </c>
      <c r="E512" t="s">
        <v>5211</v>
      </c>
      <c r="F512" t="s">
        <v>872</v>
      </c>
      <c r="G512" s="4" t="s">
        <v>5428</v>
      </c>
      <c r="H512" t="s">
        <v>5212</v>
      </c>
      <c r="I512" t="s">
        <v>59</v>
      </c>
      <c r="J512" s="4" t="s">
        <v>74</v>
      </c>
      <c r="K512" t="s">
        <v>28</v>
      </c>
      <c r="L512">
        <v>1</v>
      </c>
      <c r="M512" t="s">
        <v>979</v>
      </c>
      <c r="N512" t="s">
        <v>980</v>
      </c>
      <c r="O512" t="s">
        <v>320</v>
      </c>
      <c r="P512" s="2" t="str">
        <f t="shared" si="21"/>
        <v>09/04/2025 to 14/04/2025</v>
      </c>
      <c r="Q512" s="3">
        <v>45758</v>
      </c>
      <c r="R512" t="str">
        <f t="shared" si="22"/>
        <v>On-Time</v>
      </c>
      <c r="S512" t="s">
        <v>139</v>
      </c>
      <c r="T512">
        <v>9</v>
      </c>
      <c r="U512" t="s">
        <v>65</v>
      </c>
      <c r="V512" t="s">
        <v>66</v>
      </c>
      <c r="W512" t="str">
        <f t="shared" ca="1" si="23"/>
        <v>Dormant</v>
      </c>
    </row>
    <row r="513" spans="1:23" x14ac:dyDescent="0.2">
      <c r="A513">
        <v>1916</v>
      </c>
      <c r="B513" t="s">
        <v>5209</v>
      </c>
      <c r="C513" t="s">
        <v>5217</v>
      </c>
      <c r="D513" s="1" t="s">
        <v>1621</v>
      </c>
      <c r="E513" t="s">
        <v>5211</v>
      </c>
      <c r="F513" t="s">
        <v>872</v>
      </c>
      <c r="G513" s="4" t="s">
        <v>5421</v>
      </c>
      <c r="H513" t="s">
        <v>5212</v>
      </c>
      <c r="I513" t="s">
        <v>59</v>
      </c>
      <c r="J513" s="4" t="s">
        <v>5417</v>
      </c>
      <c r="K513" t="s">
        <v>934</v>
      </c>
      <c r="L513">
        <v>2</v>
      </c>
      <c r="M513" t="s">
        <v>979</v>
      </c>
      <c r="N513" t="s">
        <v>980</v>
      </c>
      <c r="O513" t="s">
        <v>979</v>
      </c>
      <c r="P513" s="2" t="str">
        <f t="shared" si="21"/>
        <v>09/04/2025 to 14/04/2025</v>
      </c>
      <c r="Q513" s="3">
        <v>45759</v>
      </c>
      <c r="R513" t="str">
        <f t="shared" si="22"/>
        <v>On-Time</v>
      </c>
      <c r="S513" t="s">
        <v>153</v>
      </c>
      <c r="T513">
        <v>18</v>
      </c>
      <c r="U513" t="s">
        <v>79</v>
      </c>
      <c r="V513" t="s">
        <v>66</v>
      </c>
      <c r="W513" t="str">
        <f t="shared" ca="1" si="23"/>
        <v>Dormant</v>
      </c>
    </row>
    <row r="514" spans="1:23" x14ac:dyDescent="0.2">
      <c r="A514">
        <v>1917</v>
      </c>
      <c r="B514" t="s">
        <v>5209</v>
      </c>
      <c r="C514" t="s">
        <v>5218</v>
      </c>
      <c r="D514" s="1" t="s">
        <v>1621</v>
      </c>
      <c r="E514" t="s">
        <v>5211</v>
      </c>
      <c r="F514" t="s">
        <v>872</v>
      </c>
      <c r="G514" s="4" t="s">
        <v>5419</v>
      </c>
      <c r="H514" t="s">
        <v>5212</v>
      </c>
      <c r="I514" t="s">
        <v>59</v>
      </c>
      <c r="J514" s="4" t="s">
        <v>68</v>
      </c>
      <c r="K514" t="s">
        <v>12</v>
      </c>
      <c r="L514">
        <v>1</v>
      </c>
      <c r="M514" t="s">
        <v>1059</v>
      </c>
      <c r="N514" t="s">
        <v>1059</v>
      </c>
      <c r="O514" t="s">
        <v>979</v>
      </c>
      <c r="P514" s="2" t="str">
        <f t="shared" ref="P514:P577" si="24">IF(ISBLANK(M514), "", TEXT(WORKDAY(M514, 7), "dd/mm/yyyy") &amp; " to " &amp; TEXT(WORKDAY(M514, 10), "dd/mm/yyyy"))</f>
        <v>08/04/2025 to 11/04/2025</v>
      </c>
      <c r="Q514" s="3">
        <v>45757</v>
      </c>
      <c r="R514" t="str">
        <f t="shared" ref="R514:R577" si="25">IF(Q514="","In Progress",
IF(AND(--Q514&gt;=DATEVALUE(LEFT(P514,10)),
       --Q514&lt;=DATEVALUE(TRIM(MID(P514,FIND("to",P514)+3,10)))),
   "On-Time","Late"))</f>
        <v>On-Time</v>
      </c>
      <c r="S514" t="s">
        <v>138</v>
      </c>
      <c r="T514">
        <v>9.5</v>
      </c>
      <c r="U514" t="s">
        <v>79</v>
      </c>
      <c r="V514" t="s">
        <v>66</v>
      </c>
      <c r="W514" t="str">
        <f t="shared" ca="1" si="23"/>
        <v>Dormant</v>
      </c>
    </row>
    <row r="515" spans="1:23" x14ac:dyDescent="0.2">
      <c r="A515">
        <v>1994</v>
      </c>
      <c r="B515" t="s">
        <v>5397</v>
      </c>
      <c r="C515" t="s">
        <v>5398</v>
      </c>
      <c r="D515" s="1" t="s">
        <v>1621</v>
      </c>
      <c r="E515" t="s">
        <v>5399</v>
      </c>
      <c r="F515" t="s">
        <v>1829</v>
      </c>
      <c r="G515" s="4" t="s">
        <v>5428</v>
      </c>
      <c r="H515" t="s">
        <v>4051</v>
      </c>
      <c r="I515" t="s">
        <v>136</v>
      </c>
      <c r="J515" s="4" t="s">
        <v>74</v>
      </c>
      <c r="K515" t="s">
        <v>1258</v>
      </c>
      <c r="L515">
        <v>2</v>
      </c>
      <c r="M515" t="s">
        <v>1059</v>
      </c>
      <c r="N515" t="s">
        <v>980</v>
      </c>
      <c r="O515" t="s">
        <v>979</v>
      </c>
      <c r="P515" s="2" t="str">
        <f t="shared" si="24"/>
        <v>08/04/2025 to 11/04/2025</v>
      </c>
      <c r="Q515" s="3">
        <v>45755</v>
      </c>
      <c r="R515" t="str">
        <f t="shared" si="25"/>
        <v>On-Time</v>
      </c>
      <c r="S515" t="s">
        <v>440</v>
      </c>
      <c r="T515">
        <v>19</v>
      </c>
      <c r="U515" t="s">
        <v>79</v>
      </c>
      <c r="V515" t="s">
        <v>66</v>
      </c>
      <c r="W515" t="str">
        <f t="shared" ref="W515:W578" ca="1" si="26">IF(D515="","",
IF(TODAY()-D515&lt;=120,"Active",
IF(TODAY()-D515&lt;=210,"At Risk",
IF(TODAY()-D515&lt;=395,"Dormant",
IF(TODAY()-D515&lt;=730,"Inactive","Archived")))))</f>
        <v>Dormant</v>
      </c>
    </row>
    <row r="516" spans="1:23" x14ac:dyDescent="0.2">
      <c r="A516">
        <v>357</v>
      </c>
      <c r="B516" t="s">
        <v>1419</v>
      </c>
      <c r="C516" t="s">
        <v>1420</v>
      </c>
      <c r="D516" s="1" t="s">
        <v>1059</v>
      </c>
      <c r="E516" t="s">
        <v>1421</v>
      </c>
      <c r="F516" t="s">
        <v>910</v>
      </c>
      <c r="G516" s="4" t="s">
        <v>5420</v>
      </c>
      <c r="H516" t="s">
        <v>1422</v>
      </c>
      <c r="I516" t="s">
        <v>112</v>
      </c>
      <c r="J516" s="4" t="s">
        <v>5417</v>
      </c>
      <c r="K516" t="s">
        <v>1423</v>
      </c>
      <c r="L516">
        <v>4</v>
      </c>
      <c r="M516" t="s">
        <v>979</v>
      </c>
      <c r="N516" t="s">
        <v>979</v>
      </c>
      <c r="O516" t="s">
        <v>980</v>
      </c>
      <c r="P516" s="2" t="str">
        <f t="shared" si="24"/>
        <v>09/04/2025 to 14/04/2025</v>
      </c>
      <c r="Q516" s="3">
        <v>45758</v>
      </c>
      <c r="R516" t="str">
        <f t="shared" si="25"/>
        <v>On-Time</v>
      </c>
      <c r="S516" t="s">
        <v>140</v>
      </c>
      <c r="T516">
        <v>39.5</v>
      </c>
      <c r="U516" t="s">
        <v>79</v>
      </c>
      <c r="V516" t="s">
        <v>72</v>
      </c>
      <c r="W516" t="str">
        <f t="shared" ca="1" si="26"/>
        <v>Dormant</v>
      </c>
    </row>
    <row r="517" spans="1:23" x14ac:dyDescent="0.2">
      <c r="A517">
        <v>358</v>
      </c>
      <c r="B517" t="s">
        <v>1419</v>
      </c>
      <c r="C517" t="s">
        <v>1424</v>
      </c>
      <c r="D517" s="1" t="s">
        <v>1059</v>
      </c>
      <c r="E517" t="s">
        <v>1421</v>
      </c>
      <c r="F517" t="s">
        <v>910</v>
      </c>
      <c r="G517" s="4" t="s">
        <v>5428</v>
      </c>
      <c r="H517" t="s">
        <v>1422</v>
      </c>
      <c r="I517" t="s">
        <v>112</v>
      </c>
      <c r="J517" s="4" t="s">
        <v>68</v>
      </c>
      <c r="K517" t="s">
        <v>1425</v>
      </c>
      <c r="L517">
        <v>4</v>
      </c>
      <c r="M517" t="s">
        <v>1059</v>
      </c>
      <c r="N517" t="s">
        <v>980</v>
      </c>
      <c r="O517" t="s">
        <v>979</v>
      </c>
      <c r="P517" s="2" t="str">
        <f t="shared" si="24"/>
        <v>08/04/2025 to 11/04/2025</v>
      </c>
      <c r="Q517" s="3">
        <v>45758</v>
      </c>
      <c r="R517" t="str">
        <f t="shared" si="25"/>
        <v>On-Time</v>
      </c>
      <c r="S517" t="s">
        <v>140</v>
      </c>
      <c r="T517">
        <v>41.5</v>
      </c>
      <c r="U517" t="s">
        <v>79</v>
      </c>
      <c r="V517" t="s">
        <v>80</v>
      </c>
      <c r="W517" t="str">
        <f t="shared" ca="1" si="26"/>
        <v>Dormant</v>
      </c>
    </row>
    <row r="518" spans="1:23" x14ac:dyDescent="0.2">
      <c r="A518">
        <v>359</v>
      </c>
      <c r="B518" t="s">
        <v>1419</v>
      </c>
      <c r="C518" t="s">
        <v>1426</v>
      </c>
      <c r="D518" s="1" t="s">
        <v>1059</v>
      </c>
      <c r="E518" t="s">
        <v>1421</v>
      </c>
      <c r="F518" t="s">
        <v>910</v>
      </c>
      <c r="G518" s="4" t="s">
        <v>5419</v>
      </c>
      <c r="H518" t="s">
        <v>1422</v>
      </c>
      <c r="I518" t="s">
        <v>112</v>
      </c>
      <c r="J518" s="4" t="s">
        <v>60</v>
      </c>
      <c r="K518" t="s">
        <v>1427</v>
      </c>
      <c r="L518">
        <v>3</v>
      </c>
      <c r="M518" t="s">
        <v>980</v>
      </c>
      <c r="N518" t="s">
        <v>324</v>
      </c>
      <c r="O518" t="s">
        <v>320</v>
      </c>
      <c r="P518" s="2" t="str">
        <f t="shared" si="24"/>
        <v>10/04/2025 to 15/04/2025</v>
      </c>
      <c r="Q518" s="3">
        <v>45758</v>
      </c>
      <c r="R518" t="str">
        <f t="shared" si="25"/>
        <v>On-Time</v>
      </c>
      <c r="S518" t="s">
        <v>140</v>
      </c>
      <c r="T518">
        <v>27.5</v>
      </c>
      <c r="U518" t="s">
        <v>65</v>
      </c>
      <c r="V518" t="s">
        <v>66</v>
      </c>
      <c r="W518" t="str">
        <f t="shared" ca="1" si="26"/>
        <v>Dormant</v>
      </c>
    </row>
    <row r="519" spans="1:23" x14ac:dyDescent="0.2">
      <c r="A519">
        <v>360</v>
      </c>
      <c r="B519" t="s">
        <v>1419</v>
      </c>
      <c r="C519" t="s">
        <v>1428</v>
      </c>
      <c r="D519" s="1" t="s">
        <v>1059</v>
      </c>
      <c r="E519" t="s">
        <v>1421</v>
      </c>
      <c r="F519" t="s">
        <v>910</v>
      </c>
      <c r="G519" s="4" t="s">
        <v>5424</v>
      </c>
      <c r="H519" t="s">
        <v>1422</v>
      </c>
      <c r="I519" t="s">
        <v>112</v>
      </c>
      <c r="J519" s="4" t="s">
        <v>60</v>
      </c>
      <c r="K519" t="s">
        <v>1429</v>
      </c>
      <c r="L519">
        <v>4</v>
      </c>
      <c r="M519" t="s">
        <v>1059</v>
      </c>
      <c r="N519" t="s">
        <v>979</v>
      </c>
      <c r="O519" t="s">
        <v>980</v>
      </c>
      <c r="P519" s="2" t="str">
        <f t="shared" si="24"/>
        <v>08/04/2025 to 11/04/2025</v>
      </c>
      <c r="Q519" s="3">
        <v>45755</v>
      </c>
      <c r="R519" t="str">
        <f t="shared" si="25"/>
        <v>On-Time</v>
      </c>
      <c r="S519" t="s">
        <v>439</v>
      </c>
      <c r="T519">
        <v>37.5</v>
      </c>
      <c r="U519" t="s">
        <v>79</v>
      </c>
      <c r="V519" t="s">
        <v>66</v>
      </c>
      <c r="W519" t="str">
        <f t="shared" ca="1" si="26"/>
        <v>Dormant</v>
      </c>
    </row>
    <row r="520" spans="1:23" x14ac:dyDescent="0.2">
      <c r="A520">
        <v>361</v>
      </c>
      <c r="B520" t="s">
        <v>1419</v>
      </c>
      <c r="C520" t="s">
        <v>1430</v>
      </c>
      <c r="D520" s="1" t="s">
        <v>1059</v>
      </c>
      <c r="E520" t="s">
        <v>1421</v>
      </c>
      <c r="F520" t="s">
        <v>910</v>
      </c>
      <c r="G520" s="4" t="s">
        <v>38</v>
      </c>
      <c r="H520" t="s">
        <v>1422</v>
      </c>
      <c r="I520" t="s">
        <v>112</v>
      </c>
      <c r="J520" s="4" t="s">
        <v>74</v>
      </c>
      <c r="K520" t="s">
        <v>22</v>
      </c>
      <c r="L520">
        <v>1</v>
      </c>
      <c r="M520" t="s">
        <v>979</v>
      </c>
      <c r="N520" t="s">
        <v>980</v>
      </c>
      <c r="O520" t="s">
        <v>320</v>
      </c>
      <c r="P520" s="2" t="str">
        <f t="shared" si="24"/>
        <v>09/04/2025 to 14/04/2025</v>
      </c>
      <c r="Q520" s="3">
        <v>45760</v>
      </c>
      <c r="R520" t="str">
        <f t="shared" si="25"/>
        <v>On-Time</v>
      </c>
      <c r="S520" t="s">
        <v>326</v>
      </c>
      <c r="T520">
        <v>8</v>
      </c>
      <c r="U520" t="s">
        <v>65</v>
      </c>
      <c r="V520" t="s">
        <v>66</v>
      </c>
      <c r="W520" t="str">
        <f t="shared" ca="1" si="26"/>
        <v>Dormant</v>
      </c>
    </row>
    <row r="521" spans="1:23" x14ac:dyDescent="0.2">
      <c r="A521">
        <v>661</v>
      </c>
      <c r="B521" t="s">
        <v>2242</v>
      </c>
      <c r="C521" t="s">
        <v>2243</v>
      </c>
      <c r="D521" s="1" t="s">
        <v>1059</v>
      </c>
      <c r="E521" t="s">
        <v>2244</v>
      </c>
      <c r="F521" t="s">
        <v>881</v>
      </c>
      <c r="G521" s="4" t="s">
        <v>5421</v>
      </c>
      <c r="H521" t="s">
        <v>2080</v>
      </c>
      <c r="I521" t="s">
        <v>136</v>
      </c>
      <c r="J521" s="4" t="s">
        <v>74</v>
      </c>
      <c r="K521" t="s">
        <v>2245</v>
      </c>
      <c r="L521">
        <v>4</v>
      </c>
      <c r="M521" t="s">
        <v>980</v>
      </c>
      <c r="N521" t="s">
        <v>320</v>
      </c>
      <c r="O521" t="s">
        <v>324</v>
      </c>
      <c r="P521" s="2" t="str">
        <f t="shared" si="24"/>
        <v>10/04/2025 to 15/04/2025</v>
      </c>
      <c r="Q521" s="3">
        <v>45762</v>
      </c>
      <c r="R521" t="str">
        <f t="shared" si="25"/>
        <v>On-Time</v>
      </c>
      <c r="S521" t="s">
        <v>326</v>
      </c>
      <c r="T521">
        <v>37.5</v>
      </c>
      <c r="U521" t="s">
        <v>65</v>
      </c>
      <c r="V521" t="s">
        <v>80</v>
      </c>
      <c r="W521" t="str">
        <f t="shared" ca="1" si="26"/>
        <v>Dormant</v>
      </c>
    </row>
    <row r="522" spans="1:23" x14ac:dyDescent="0.2">
      <c r="A522">
        <v>662</v>
      </c>
      <c r="B522" t="s">
        <v>2242</v>
      </c>
      <c r="C522" t="s">
        <v>2246</v>
      </c>
      <c r="D522" s="1" t="s">
        <v>1059</v>
      </c>
      <c r="E522" t="s">
        <v>2244</v>
      </c>
      <c r="F522" t="s">
        <v>881</v>
      </c>
      <c r="G522" s="4" t="s">
        <v>5424</v>
      </c>
      <c r="H522" t="s">
        <v>2080</v>
      </c>
      <c r="I522" t="s">
        <v>136</v>
      </c>
      <c r="J522" s="4" t="s">
        <v>5417</v>
      </c>
      <c r="K522" t="s">
        <v>2247</v>
      </c>
      <c r="L522">
        <v>2</v>
      </c>
      <c r="M522" t="s">
        <v>1059</v>
      </c>
      <c r="N522" t="s">
        <v>980</v>
      </c>
      <c r="O522" t="s">
        <v>979</v>
      </c>
      <c r="P522" s="2" t="str">
        <f t="shared" si="24"/>
        <v>08/04/2025 to 11/04/2025</v>
      </c>
      <c r="Q522" s="3">
        <v>45755</v>
      </c>
      <c r="R522" t="str">
        <f t="shared" si="25"/>
        <v>On-Time</v>
      </c>
      <c r="S522" t="s">
        <v>440</v>
      </c>
      <c r="T522">
        <v>21</v>
      </c>
      <c r="U522" t="s">
        <v>79</v>
      </c>
      <c r="V522" t="s">
        <v>72</v>
      </c>
      <c r="W522" t="str">
        <f t="shared" ca="1" si="26"/>
        <v>Dormant</v>
      </c>
    </row>
    <row r="523" spans="1:23" x14ac:dyDescent="0.2">
      <c r="A523">
        <v>663</v>
      </c>
      <c r="B523" t="s">
        <v>2242</v>
      </c>
      <c r="C523" t="s">
        <v>2248</v>
      </c>
      <c r="D523" s="1" t="s">
        <v>1059</v>
      </c>
      <c r="E523" t="s">
        <v>2244</v>
      </c>
      <c r="F523" t="s">
        <v>881</v>
      </c>
      <c r="G523" s="4" t="s">
        <v>5425</v>
      </c>
      <c r="H523" t="s">
        <v>2080</v>
      </c>
      <c r="I523" t="s">
        <v>136</v>
      </c>
      <c r="J523" s="4" t="s">
        <v>5417</v>
      </c>
      <c r="K523" t="s">
        <v>1090</v>
      </c>
      <c r="L523">
        <v>2</v>
      </c>
      <c r="M523" t="s">
        <v>980</v>
      </c>
      <c r="N523" t="s">
        <v>324</v>
      </c>
      <c r="O523" t="s">
        <v>324</v>
      </c>
      <c r="P523" s="2" t="str">
        <f t="shared" si="24"/>
        <v>10/04/2025 to 15/04/2025</v>
      </c>
      <c r="Q523" s="3">
        <v>45761</v>
      </c>
      <c r="R523" t="str">
        <f t="shared" si="25"/>
        <v>On-Time</v>
      </c>
      <c r="S523" t="s">
        <v>326</v>
      </c>
      <c r="T523">
        <v>18</v>
      </c>
      <c r="U523" t="s">
        <v>79</v>
      </c>
      <c r="V523" t="s">
        <v>80</v>
      </c>
      <c r="W523" t="str">
        <f t="shared" ca="1" si="26"/>
        <v>Dormant</v>
      </c>
    </row>
    <row r="524" spans="1:23" x14ac:dyDescent="0.2">
      <c r="A524">
        <v>664</v>
      </c>
      <c r="B524" t="s">
        <v>2242</v>
      </c>
      <c r="C524" t="s">
        <v>2249</v>
      </c>
      <c r="D524" s="1" t="s">
        <v>1059</v>
      </c>
      <c r="E524" t="s">
        <v>2244</v>
      </c>
      <c r="F524" t="s">
        <v>881</v>
      </c>
      <c r="G524" s="4" t="s">
        <v>5426</v>
      </c>
      <c r="H524" t="s">
        <v>2080</v>
      </c>
      <c r="I524" t="s">
        <v>136</v>
      </c>
      <c r="J524" s="4" t="s">
        <v>68</v>
      </c>
      <c r="K524" t="s">
        <v>2250</v>
      </c>
      <c r="L524">
        <v>3</v>
      </c>
      <c r="M524" t="s">
        <v>1059</v>
      </c>
      <c r="N524" t="s">
        <v>1059</v>
      </c>
      <c r="O524" t="s">
        <v>980</v>
      </c>
      <c r="P524" s="2" t="str">
        <f t="shared" si="24"/>
        <v>08/04/2025 to 11/04/2025</v>
      </c>
      <c r="Q524" s="3">
        <v>45761</v>
      </c>
      <c r="R524" t="str">
        <f t="shared" si="25"/>
        <v>Late</v>
      </c>
      <c r="S524" t="s">
        <v>326</v>
      </c>
      <c r="T524">
        <v>31.5</v>
      </c>
      <c r="U524" t="s">
        <v>65</v>
      </c>
      <c r="V524" t="s">
        <v>80</v>
      </c>
      <c r="W524" t="str">
        <f t="shared" ca="1" si="26"/>
        <v>Dormant</v>
      </c>
    </row>
    <row r="525" spans="1:23" x14ac:dyDescent="0.2">
      <c r="A525">
        <v>665</v>
      </c>
      <c r="B525" t="s">
        <v>2242</v>
      </c>
      <c r="C525" t="s">
        <v>2251</v>
      </c>
      <c r="D525" s="1" t="s">
        <v>1059</v>
      </c>
      <c r="E525" t="s">
        <v>2244</v>
      </c>
      <c r="F525" t="s">
        <v>881</v>
      </c>
      <c r="G525" s="4" t="s">
        <v>5421</v>
      </c>
      <c r="H525" t="s">
        <v>2080</v>
      </c>
      <c r="I525" t="s">
        <v>136</v>
      </c>
      <c r="J525" s="4" t="s">
        <v>60</v>
      </c>
      <c r="K525" t="s">
        <v>2252</v>
      </c>
      <c r="L525">
        <v>4</v>
      </c>
      <c r="M525" t="s">
        <v>1059</v>
      </c>
      <c r="N525" t="s">
        <v>1059</v>
      </c>
      <c r="O525" t="s">
        <v>1059</v>
      </c>
      <c r="P525" s="2" t="str">
        <f t="shared" si="24"/>
        <v>08/04/2025 to 11/04/2025</v>
      </c>
      <c r="Q525" s="3">
        <v>45758</v>
      </c>
      <c r="R525" t="str">
        <f t="shared" si="25"/>
        <v>On-Time</v>
      </c>
      <c r="S525" t="s">
        <v>138</v>
      </c>
      <c r="T525">
        <v>34.5</v>
      </c>
      <c r="U525" t="s">
        <v>79</v>
      </c>
      <c r="V525" t="s">
        <v>72</v>
      </c>
      <c r="W525" t="str">
        <f t="shared" ca="1" si="26"/>
        <v>Dormant</v>
      </c>
    </row>
    <row r="526" spans="1:23" x14ac:dyDescent="0.2">
      <c r="A526">
        <v>650</v>
      </c>
      <c r="B526" t="s">
        <v>2217</v>
      </c>
      <c r="C526" t="s">
        <v>2218</v>
      </c>
      <c r="D526" s="1" t="s">
        <v>980</v>
      </c>
      <c r="E526" t="s">
        <v>2219</v>
      </c>
      <c r="F526" t="s">
        <v>668</v>
      </c>
      <c r="G526" s="4" t="s">
        <v>5423</v>
      </c>
      <c r="H526" t="s">
        <v>2220</v>
      </c>
      <c r="I526" t="s">
        <v>112</v>
      </c>
      <c r="J526" s="4" t="s">
        <v>68</v>
      </c>
      <c r="K526" t="s">
        <v>2221</v>
      </c>
      <c r="L526">
        <v>4</v>
      </c>
      <c r="M526" t="s">
        <v>320</v>
      </c>
      <c r="N526" t="s">
        <v>320</v>
      </c>
      <c r="O526" t="s">
        <v>325</v>
      </c>
      <c r="P526" s="2" t="str">
        <f t="shared" si="24"/>
        <v>11/04/2025 to 16/04/2025</v>
      </c>
      <c r="Q526" s="3">
        <v>45763</v>
      </c>
      <c r="R526" t="str">
        <f t="shared" si="25"/>
        <v>On-Time</v>
      </c>
      <c r="S526" t="s">
        <v>961</v>
      </c>
      <c r="T526">
        <v>37</v>
      </c>
      <c r="U526" t="s">
        <v>79</v>
      </c>
      <c r="V526" t="s">
        <v>72</v>
      </c>
      <c r="W526" t="str">
        <f t="shared" ca="1" si="26"/>
        <v>Dormant</v>
      </c>
    </row>
    <row r="527" spans="1:23" x14ac:dyDescent="0.2">
      <c r="A527">
        <v>651</v>
      </c>
      <c r="B527" t="s">
        <v>2217</v>
      </c>
      <c r="C527" t="s">
        <v>2222</v>
      </c>
      <c r="D527" s="1" t="s">
        <v>980</v>
      </c>
      <c r="E527" t="s">
        <v>2219</v>
      </c>
      <c r="F527" t="s">
        <v>668</v>
      </c>
      <c r="G527" s="4" t="s">
        <v>5427</v>
      </c>
      <c r="H527" t="s">
        <v>2220</v>
      </c>
      <c r="I527" t="s">
        <v>112</v>
      </c>
      <c r="J527" s="4" t="s">
        <v>74</v>
      </c>
      <c r="K527" t="s">
        <v>2223</v>
      </c>
      <c r="L527">
        <v>4</v>
      </c>
      <c r="M527" t="s">
        <v>324</v>
      </c>
      <c r="N527" t="s">
        <v>324</v>
      </c>
      <c r="O527" t="s">
        <v>325</v>
      </c>
      <c r="P527" s="2" t="str">
        <f t="shared" si="24"/>
        <v>14/04/2025 to 17/04/2025</v>
      </c>
      <c r="Q527" s="3">
        <v>45763</v>
      </c>
      <c r="R527" t="str">
        <f t="shared" si="25"/>
        <v>On-Time</v>
      </c>
      <c r="S527" t="s">
        <v>330</v>
      </c>
      <c r="T527">
        <v>36.5</v>
      </c>
      <c r="U527" t="s">
        <v>65</v>
      </c>
      <c r="V527" t="s">
        <v>80</v>
      </c>
      <c r="W527" t="str">
        <f t="shared" ca="1" si="26"/>
        <v>Dormant</v>
      </c>
    </row>
    <row r="528" spans="1:23" x14ac:dyDescent="0.2">
      <c r="A528">
        <v>652</v>
      </c>
      <c r="B528" t="s">
        <v>2217</v>
      </c>
      <c r="C528" t="s">
        <v>2224</v>
      </c>
      <c r="D528" s="1" t="s">
        <v>980</v>
      </c>
      <c r="E528" t="s">
        <v>2219</v>
      </c>
      <c r="F528" t="s">
        <v>668</v>
      </c>
      <c r="G528" s="4" t="s">
        <v>5419</v>
      </c>
      <c r="H528" t="s">
        <v>2220</v>
      </c>
      <c r="I528" t="s">
        <v>112</v>
      </c>
      <c r="J528" s="4" t="s">
        <v>60</v>
      </c>
      <c r="K528" t="s">
        <v>8</v>
      </c>
      <c r="L528">
        <v>1</v>
      </c>
      <c r="M528" t="s">
        <v>980</v>
      </c>
      <c r="N528" t="s">
        <v>320</v>
      </c>
      <c r="O528" t="s">
        <v>324</v>
      </c>
      <c r="P528" s="2" t="str">
        <f t="shared" si="24"/>
        <v>10/04/2025 to 15/04/2025</v>
      </c>
      <c r="Q528" s="3">
        <v>45762</v>
      </c>
      <c r="R528" t="str">
        <f t="shared" si="25"/>
        <v>On-Time</v>
      </c>
      <c r="S528" t="s">
        <v>326</v>
      </c>
      <c r="T528">
        <v>9</v>
      </c>
      <c r="U528" t="s">
        <v>65</v>
      </c>
      <c r="V528" t="s">
        <v>72</v>
      </c>
      <c r="W528" t="str">
        <f t="shared" ca="1" si="26"/>
        <v>Dormant</v>
      </c>
    </row>
    <row r="529" spans="1:23" x14ac:dyDescent="0.2">
      <c r="A529">
        <v>711</v>
      </c>
      <c r="B529" t="s">
        <v>2363</v>
      </c>
      <c r="C529" t="s">
        <v>2364</v>
      </c>
      <c r="D529" s="1" t="s">
        <v>980</v>
      </c>
      <c r="E529" t="s">
        <v>2365</v>
      </c>
      <c r="F529" t="s">
        <v>1723</v>
      </c>
      <c r="G529" s="4" t="s">
        <v>5421</v>
      </c>
      <c r="H529" t="s">
        <v>2366</v>
      </c>
      <c r="I529" t="s">
        <v>59</v>
      </c>
      <c r="J529" s="4" t="s">
        <v>5417</v>
      </c>
      <c r="K529" t="s">
        <v>2367</v>
      </c>
      <c r="L529">
        <v>3</v>
      </c>
      <c r="M529" t="s">
        <v>980</v>
      </c>
      <c r="N529" t="s">
        <v>324</v>
      </c>
      <c r="O529" t="s">
        <v>980</v>
      </c>
      <c r="P529" s="2" t="str">
        <f t="shared" si="24"/>
        <v>10/04/2025 to 15/04/2025</v>
      </c>
      <c r="Q529" s="3">
        <v>45759</v>
      </c>
      <c r="R529" t="str">
        <f t="shared" si="25"/>
        <v>On-Time</v>
      </c>
      <c r="S529" t="s">
        <v>140</v>
      </c>
      <c r="T529">
        <v>29.5</v>
      </c>
      <c r="U529" t="s">
        <v>79</v>
      </c>
      <c r="V529" t="s">
        <v>72</v>
      </c>
      <c r="W529" t="str">
        <f t="shared" ca="1" si="26"/>
        <v>Dormant</v>
      </c>
    </row>
    <row r="530" spans="1:23" x14ac:dyDescent="0.2">
      <c r="A530">
        <v>712</v>
      </c>
      <c r="B530" t="s">
        <v>2363</v>
      </c>
      <c r="C530" t="s">
        <v>2368</v>
      </c>
      <c r="D530" s="1" t="s">
        <v>980</v>
      </c>
      <c r="E530" t="s">
        <v>2365</v>
      </c>
      <c r="F530" t="s">
        <v>1723</v>
      </c>
      <c r="G530" s="4" t="s">
        <v>38</v>
      </c>
      <c r="H530" t="s">
        <v>2366</v>
      </c>
      <c r="I530" t="s">
        <v>59</v>
      </c>
      <c r="J530" s="4" t="s">
        <v>68</v>
      </c>
      <c r="K530" t="s">
        <v>12</v>
      </c>
      <c r="L530">
        <v>1</v>
      </c>
      <c r="M530" t="s">
        <v>320</v>
      </c>
      <c r="N530" t="s">
        <v>325</v>
      </c>
      <c r="O530" t="s">
        <v>325</v>
      </c>
      <c r="P530" s="2" t="str">
        <f t="shared" si="24"/>
        <v>11/04/2025 to 16/04/2025</v>
      </c>
      <c r="Q530" s="3">
        <v>45762</v>
      </c>
      <c r="R530" t="str">
        <f t="shared" si="25"/>
        <v>On-Time</v>
      </c>
      <c r="S530" t="s">
        <v>326</v>
      </c>
      <c r="T530">
        <v>9.5</v>
      </c>
      <c r="U530" t="s">
        <v>79</v>
      </c>
      <c r="V530" t="s">
        <v>66</v>
      </c>
      <c r="W530" t="str">
        <f t="shared" ca="1" si="26"/>
        <v>Dormant</v>
      </c>
    </row>
    <row r="531" spans="1:23" x14ac:dyDescent="0.2">
      <c r="A531">
        <v>713</v>
      </c>
      <c r="B531" t="s">
        <v>2363</v>
      </c>
      <c r="C531" t="s">
        <v>2369</v>
      </c>
      <c r="D531" s="1" t="s">
        <v>980</v>
      </c>
      <c r="E531" t="s">
        <v>2365</v>
      </c>
      <c r="F531" t="s">
        <v>1723</v>
      </c>
      <c r="G531" s="4" t="s">
        <v>38</v>
      </c>
      <c r="H531" t="s">
        <v>2366</v>
      </c>
      <c r="I531" t="s">
        <v>59</v>
      </c>
      <c r="J531" s="4" t="s">
        <v>68</v>
      </c>
      <c r="K531" t="s">
        <v>2370</v>
      </c>
      <c r="L531">
        <v>4</v>
      </c>
      <c r="M531" t="s">
        <v>320</v>
      </c>
      <c r="N531" t="s">
        <v>325</v>
      </c>
      <c r="O531" t="s">
        <v>324</v>
      </c>
      <c r="P531" s="2" t="str">
        <f t="shared" si="24"/>
        <v>11/04/2025 to 16/04/2025</v>
      </c>
      <c r="Q531" s="3">
        <v>45763</v>
      </c>
      <c r="R531" t="str">
        <f t="shared" si="25"/>
        <v>On-Time</v>
      </c>
      <c r="S531" t="s">
        <v>331</v>
      </c>
      <c r="T531">
        <v>35.5</v>
      </c>
      <c r="U531" t="s">
        <v>79</v>
      </c>
      <c r="V531" t="s">
        <v>80</v>
      </c>
      <c r="W531" t="str">
        <f t="shared" ca="1" si="26"/>
        <v>Dormant</v>
      </c>
    </row>
    <row r="532" spans="1:23" x14ac:dyDescent="0.2">
      <c r="A532">
        <v>714</v>
      </c>
      <c r="B532" t="s">
        <v>2363</v>
      </c>
      <c r="C532" t="s">
        <v>2371</v>
      </c>
      <c r="D532" s="1" t="s">
        <v>980</v>
      </c>
      <c r="E532" t="s">
        <v>2365</v>
      </c>
      <c r="F532" t="s">
        <v>1723</v>
      </c>
      <c r="G532" s="4" t="s">
        <v>5424</v>
      </c>
      <c r="H532" t="s">
        <v>2366</v>
      </c>
      <c r="I532" t="s">
        <v>59</v>
      </c>
      <c r="J532" s="4" t="s">
        <v>74</v>
      </c>
      <c r="K532" t="s">
        <v>2372</v>
      </c>
      <c r="L532">
        <v>3</v>
      </c>
      <c r="M532" t="s">
        <v>324</v>
      </c>
      <c r="N532" t="s">
        <v>329</v>
      </c>
      <c r="O532" t="s">
        <v>324</v>
      </c>
      <c r="P532" s="2" t="str">
        <f t="shared" si="24"/>
        <v>14/04/2025 to 17/04/2025</v>
      </c>
      <c r="Q532" s="3">
        <v>45760</v>
      </c>
      <c r="R532" t="str">
        <f t="shared" si="25"/>
        <v>Late</v>
      </c>
      <c r="S532" t="s">
        <v>153</v>
      </c>
      <c r="T532">
        <v>26</v>
      </c>
      <c r="U532" t="s">
        <v>79</v>
      </c>
      <c r="V532" t="s">
        <v>72</v>
      </c>
      <c r="W532" t="str">
        <f t="shared" ca="1" si="26"/>
        <v>Dormant</v>
      </c>
    </row>
    <row r="533" spans="1:23" x14ac:dyDescent="0.2">
      <c r="A533">
        <v>715</v>
      </c>
      <c r="B533" t="s">
        <v>2363</v>
      </c>
      <c r="C533" t="s">
        <v>2373</v>
      </c>
      <c r="D533" s="1" t="s">
        <v>980</v>
      </c>
      <c r="E533" t="s">
        <v>2365</v>
      </c>
      <c r="F533" t="s">
        <v>1723</v>
      </c>
      <c r="G533" s="4" t="s">
        <v>5422</v>
      </c>
      <c r="H533" t="s">
        <v>2366</v>
      </c>
      <c r="I533" t="s">
        <v>59</v>
      </c>
      <c r="J533" s="4" t="s">
        <v>5417</v>
      </c>
      <c r="K533" t="s">
        <v>2374</v>
      </c>
      <c r="L533">
        <v>3</v>
      </c>
      <c r="M533" t="s">
        <v>980</v>
      </c>
      <c r="N533" t="s">
        <v>980</v>
      </c>
      <c r="O533" t="s">
        <v>320</v>
      </c>
      <c r="P533" s="2" t="str">
        <f t="shared" si="24"/>
        <v>10/04/2025 to 15/04/2025</v>
      </c>
      <c r="Q533" s="3">
        <v>45759</v>
      </c>
      <c r="R533" t="str">
        <f t="shared" si="25"/>
        <v>On-Time</v>
      </c>
      <c r="S533" t="s">
        <v>140</v>
      </c>
      <c r="T533">
        <v>29.5</v>
      </c>
      <c r="U533" t="s">
        <v>65</v>
      </c>
      <c r="V533" t="s">
        <v>72</v>
      </c>
      <c r="W533" t="str">
        <f t="shared" ca="1" si="26"/>
        <v>Dormant</v>
      </c>
    </row>
    <row r="534" spans="1:23" x14ac:dyDescent="0.2">
      <c r="A534">
        <v>1206</v>
      </c>
      <c r="B534" t="s">
        <v>3562</v>
      </c>
      <c r="C534" t="s">
        <v>3563</v>
      </c>
      <c r="D534" s="1" t="s">
        <v>980</v>
      </c>
      <c r="E534" t="s">
        <v>3564</v>
      </c>
      <c r="F534" t="s">
        <v>1723</v>
      </c>
      <c r="G534" s="4" t="s">
        <v>5419</v>
      </c>
      <c r="H534" t="s">
        <v>3565</v>
      </c>
      <c r="I534" t="s">
        <v>112</v>
      </c>
      <c r="J534" s="4" t="s">
        <v>5417</v>
      </c>
      <c r="K534" t="s">
        <v>3566</v>
      </c>
      <c r="L534">
        <v>4</v>
      </c>
      <c r="M534" t="s">
        <v>980</v>
      </c>
      <c r="N534" t="s">
        <v>320</v>
      </c>
      <c r="O534" t="s">
        <v>324</v>
      </c>
      <c r="P534" s="2" t="str">
        <f t="shared" si="24"/>
        <v>10/04/2025 to 15/04/2025</v>
      </c>
      <c r="Q534" s="3">
        <v>45763</v>
      </c>
      <c r="R534" t="str">
        <f t="shared" si="25"/>
        <v>Late</v>
      </c>
      <c r="S534" t="s">
        <v>961</v>
      </c>
      <c r="T534">
        <v>38.5</v>
      </c>
      <c r="U534" t="s">
        <v>65</v>
      </c>
      <c r="V534" t="s">
        <v>80</v>
      </c>
      <c r="W534" t="str">
        <f t="shared" ca="1" si="26"/>
        <v>Dormant</v>
      </c>
    </row>
    <row r="535" spans="1:23" x14ac:dyDescent="0.2">
      <c r="A535">
        <v>1207</v>
      </c>
      <c r="B535" t="s">
        <v>3562</v>
      </c>
      <c r="C535" t="s">
        <v>3567</v>
      </c>
      <c r="D535" s="1" t="s">
        <v>980</v>
      </c>
      <c r="E535" t="s">
        <v>3564</v>
      </c>
      <c r="F535" t="s">
        <v>1723</v>
      </c>
      <c r="G535" s="4" t="s">
        <v>5422</v>
      </c>
      <c r="H535" t="s">
        <v>3565</v>
      </c>
      <c r="I535" t="s">
        <v>112</v>
      </c>
      <c r="J535" s="4" t="s">
        <v>68</v>
      </c>
      <c r="K535" t="s">
        <v>3568</v>
      </c>
      <c r="L535">
        <v>3</v>
      </c>
      <c r="M535" t="s">
        <v>320</v>
      </c>
      <c r="N535" t="s">
        <v>320</v>
      </c>
      <c r="O535" t="s">
        <v>325</v>
      </c>
      <c r="P535" s="2" t="str">
        <f t="shared" si="24"/>
        <v>11/04/2025 to 16/04/2025</v>
      </c>
      <c r="Q535" s="3">
        <v>45759</v>
      </c>
      <c r="R535" t="str">
        <f t="shared" si="25"/>
        <v>On-Time</v>
      </c>
      <c r="S535" t="s">
        <v>153</v>
      </c>
      <c r="T535">
        <v>30.5</v>
      </c>
      <c r="U535" t="s">
        <v>65</v>
      </c>
      <c r="V535" t="s">
        <v>66</v>
      </c>
      <c r="W535" t="str">
        <f t="shared" ca="1" si="26"/>
        <v>Dormant</v>
      </c>
    </row>
    <row r="536" spans="1:23" x14ac:dyDescent="0.2">
      <c r="A536">
        <v>1208</v>
      </c>
      <c r="B536" t="s">
        <v>3562</v>
      </c>
      <c r="C536" t="s">
        <v>3569</v>
      </c>
      <c r="D536" s="1" t="s">
        <v>980</v>
      </c>
      <c r="E536" t="s">
        <v>3564</v>
      </c>
      <c r="F536" t="s">
        <v>1723</v>
      </c>
      <c r="G536" s="4" t="s">
        <v>5424</v>
      </c>
      <c r="H536" t="s">
        <v>3565</v>
      </c>
      <c r="I536" t="s">
        <v>112</v>
      </c>
      <c r="J536" s="4" t="s">
        <v>68</v>
      </c>
      <c r="K536" t="s">
        <v>3570</v>
      </c>
      <c r="L536">
        <v>3</v>
      </c>
      <c r="M536" t="s">
        <v>320</v>
      </c>
      <c r="N536" t="s">
        <v>325</v>
      </c>
      <c r="O536" t="s">
        <v>324</v>
      </c>
      <c r="P536" s="2" t="str">
        <f t="shared" si="24"/>
        <v>11/04/2025 to 16/04/2025</v>
      </c>
      <c r="Q536" s="3">
        <v>45762</v>
      </c>
      <c r="R536" t="str">
        <f t="shared" si="25"/>
        <v>On-Time</v>
      </c>
      <c r="S536" t="s">
        <v>326</v>
      </c>
      <c r="T536">
        <v>26.5</v>
      </c>
      <c r="U536" t="s">
        <v>65</v>
      </c>
      <c r="V536" t="s">
        <v>72</v>
      </c>
      <c r="W536" t="str">
        <f t="shared" ca="1" si="26"/>
        <v>Dormant</v>
      </c>
    </row>
    <row r="537" spans="1:23" x14ac:dyDescent="0.2">
      <c r="A537">
        <v>52</v>
      </c>
      <c r="B537" t="s">
        <v>318</v>
      </c>
      <c r="C537" t="s">
        <v>319</v>
      </c>
      <c r="D537" s="1" t="s">
        <v>320</v>
      </c>
      <c r="E537" t="s">
        <v>321</v>
      </c>
      <c r="F537" t="s">
        <v>91</v>
      </c>
      <c r="G537" s="4" t="s">
        <v>5427</v>
      </c>
      <c r="H537" t="s">
        <v>322</v>
      </c>
      <c r="I537" t="s">
        <v>93</v>
      </c>
      <c r="J537" s="4" t="s">
        <v>5417</v>
      </c>
      <c r="K537" t="s">
        <v>323</v>
      </c>
      <c r="L537">
        <v>2</v>
      </c>
      <c r="M537" t="s">
        <v>320</v>
      </c>
      <c r="N537" t="s">
        <v>324</v>
      </c>
      <c r="O537" t="s">
        <v>325</v>
      </c>
      <c r="P537" s="2" t="str">
        <f t="shared" si="24"/>
        <v>11/04/2025 to 16/04/2025</v>
      </c>
      <c r="Q537" s="3">
        <v>45760</v>
      </c>
      <c r="R537" t="str">
        <f t="shared" si="25"/>
        <v>On-Time</v>
      </c>
      <c r="S537" t="s">
        <v>326</v>
      </c>
      <c r="T537">
        <v>18</v>
      </c>
      <c r="U537" t="s">
        <v>65</v>
      </c>
      <c r="V537" t="s">
        <v>72</v>
      </c>
      <c r="W537" t="str">
        <f t="shared" ca="1" si="26"/>
        <v>Dormant</v>
      </c>
    </row>
    <row r="538" spans="1:23" x14ac:dyDescent="0.2">
      <c r="A538">
        <v>53</v>
      </c>
      <c r="B538" t="s">
        <v>318</v>
      </c>
      <c r="C538" t="s">
        <v>327</v>
      </c>
      <c r="D538" s="1" t="s">
        <v>320</v>
      </c>
      <c r="E538" t="s">
        <v>321</v>
      </c>
      <c r="F538" t="s">
        <v>91</v>
      </c>
      <c r="G538" s="4" t="s">
        <v>5418</v>
      </c>
      <c r="H538" t="s">
        <v>322</v>
      </c>
      <c r="I538" t="s">
        <v>93</v>
      </c>
      <c r="J538" s="4" t="s">
        <v>5417</v>
      </c>
      <c r="K538" t="s">
        <v>328</v>
      </c>
      <c r="L538">
        <v>2</v>
      </c>
      <c r="M538" t="s">
        <v>324</v>
      </c>
      <c r="N538" t="s">
        <v>329</v>
      </c>
      <c r="O538" t="s">
        <v>325</v>
      </c>
      <c r="P538" s="2" t="str">
        <f t="shared" si="24"/>
        <v>14/04/2025 to 17/04/2025</v>
      </c>
      <c r="Q538" s="3">
        <v>45763</v>
      </c>
      <c r="R538" t="str">
        <f t="shared" si="25"/>
        <v>On-Time</v>
      </c>
      <c r="S538" t="s">
        <v>331</v>
      </c>
      <c r="T538">
        <v>17</v>
      </c>
      <c r="U538" t="s">
        <v>79</v>
      </c>
      <c r="V538" t="s">
        <v>72</v>
      </c>
      <c r="W538" t="str">
        <f t="shared" ca="1" si="26"/>
        <v>Dormant</v>
      </c>
    </row>
    <row r="539" spans="1:23" x14ac:dyDescent="0.2">
      <c r="A539">
        <v>653</v>
      </c>
      <c r="B539" t="s">
        <v>2225</v>
      </c>
      <c r="C539" t="s">
        <v>2226</v>
      </c>
      <c r="D539" s="1" t="s">
        <v>320</v>
      </c>
      <c r="E539" t="s">
        <v>2227</v>
      </c>
      <c r="F539" t="s">
        <v>335</v>
      </c>
      <c r="G539" s="4" t="s">
        <v>5424</v>
      </c>
      <c r="H539" t="s">
        <v>2228</v>
      </c>
      <c r="I539" t="s">
        <v>112</v>
      </c>
      <c r="J539" s="4" t="s">
        <v>74</v>
      </c>
      <c r="K539" t="s">
        <v>2229</v>
      </c>
      <c r="L539">
        <v>4</v>
      </c>
      <c r="M539" t="s">
        <v>320</v>
      </c>
      <c r="N539" t="s">
        <v>325</v>
      </c>
      <c r="O539" t="s">
        <v>324</v>
      </c>
      <c r="P539" s="2" t="str">
        <f t="shared" si="24"/>
        <v>11/04/2025 to 16/04/2025</v>
      </c>
      <c r="Q539" s="3">
        <v>45758</v>
      </c>
      <c r="R539" t="str">
        <f t="shared" si="25"/>
        <v>On-Time</v>
      </c>
      <c r="S539" t="s">
        <v>139</v>
      </c>
      <c r="T539">
        <v>41.5</v>
      </c>
      <c r="U539" t="s">
        <v>79</v>
      </c>
      <c r="V539" t="s">
        <v>66</v>
      </c>
      <c r="W539" t="str">
        <f t="shared" ca="1" si="26"/>
        <v>Dormant</v>
      </c>
    </row>
    <row r="540" spans="1:23" x14ac:dyDescent="0.2">
      <c r="A540">
        <v>654</v>
      </c>
      <c r="B540" t="s">
        <v>2225</v>
      </c>
      <c r="C540" t="s">
        <v>2230</v>
      </c>
      <c r="D540" s="1" t="s">
        <v>320</v>
      </c>
      <c r="E540" t="s">
        <v>2227</v>
      </c>
      <c r="F540" t="s">
        <v>335</v>
      </c>
      <c r="G540" s="4" t="s">
        <v>5420</v>
      </c>
      <c r="H540" t="s">
        <v>2228</v>
      </c>
      <c r="I540" t="s">
        <v>112</v>
      </c>
      <c r="J540" s="4" t="s">
        <v>68</v>
      </c>
      <c r="K540" t="s">
        <v>2231</v>
      </c>
      <c r="L540">
        <v>3</v>
      </c>
      <c r="M540" t="s">
        <v>324</v>
      </c>
      <c r="N540" t="s">
        <v>324</v>
      </c>
      <c r="O540" t="s">
        <v>329</v>
      </c>
      <c r="P540" s="2" t="str">
        <f t="shared" si="24"/>
        <v>14/04/2025 to 17/04/2025</v>
      </c>
      <c r="Q540" s="3">
        <v>45763</v>
      </c>
      <c r="R540" t="str">
        <f t="shared" si="25"/>
        <v>On-Time</v>
      </c>
      <c r="S540" t="s">
        <v>331</v>
      </c>
      <c r="T540">
        <v>31.5</v>
      </c>
      <c r="U540" t="s">
        <v>65</v>
      </c>
      <c r="V540" t="s">
        <v>66</v>
      </c>
      <c r="W540" t="str">
        <f t="shared" ca="1" si="26"/>
        <v>Dormant</v>
      </c>
    </row>
    <row r="541" spans="1:23" x14ac:dyDescent="0.2">
      <c r="A541">
        <v>655</v>
      </c>
      <c r="B541" t="s">
        <v>2225</v>
      </c>
      <c r="C541" t="s">
        <v>2232</v>
      </c>
      <c r="D541" s="1" t="s">
        <v>320</v>
      </c>
      <c r="E541" t="s">
        <v>2227</v>
      </c>
      <c r="F541" t="s">
        <v>335</v>
      </c>
      <c r="G541" s="4" t="s">
        <v>5424</v>
      </c>
      <c r="H541" t="s">
        <v>2228</v>
      </c>
      <c r="I541" t="s">
        <v>112</v>
      </c>
      <c r="J541" s="4" t="s">
        <v>68</v>
      </c>
      <c r="K541" t="s">
        <v>1073</v>
      </c>
      <c r="L541">
        <v>2</v>
      </c>
      <c r="M541" t="s">
        <v>325</v>
      </c>
      <c r="N541" t="s">
        <v>329</v>
      </c>
      <c r="O541" t="s">
        <v>325</v>
      </c>
      <c r="P541" s="2" t="str">
        <f t="shared" si="24"/>
        <v>15/04/2025 to 18/04/2025</v>
      </c>
      <c r="Q541" s="3">
        <v>45762</v>
      </c>
      <c r="R541" t="str">
        <f t="shared" si="25"/>
        <v>On-Time</v>
      </c>
      <c r="S541" t="s">
        <v>331</v>
      </c>
      <c r="T541">
        <v>19</v>
      </c>
      <c r="U541" t="s">
        <v>65</v>
      </c>
      <c r="V541" t="s">
        <v>80</v>
      </c>
      <c r="W541" t="str">
        <f t="shared" ca="1" si="26"/>
        <v>Dormant</v>
      </c>
    </row>
    <row r="542" spans="1:23" x14ac:dyDescent="0.2">
      <c r="A542">
        <v>1324</v>
      </c>
      <c r="B542" t="s">
        <v>3836</v>
      </c>
      <c r="C542" t="s">
        <v>3837</v>
      </c>
      <c r="D542" s="1" t="s">
        <v>320</v>
      </c>
      <c r="E542" t="s">
        <v>3838</v>
      </c>
      <c r="F542" t="s">
        <v>1036</v>
      </c>
      <c r="G542" s="4" t="s">
        <v>5427</v>
      </c>
      <c r="H542" t="s">
        <v>2150</v>
      </c>
      <c r="I542" t="s">
        <v>93</v>
      </c>
      <c r="J542" s="4" t="s">
        <v>74</v>
      </c>
      <c r="K542" t="s">
        <v>32</v>
      </c>
      <c r="L542">
        <v>1</v>
      </c>
      <c r="M542" t="s">
        <v>324</v>
      </c>
      <c r="N542" t="s">
        <v>329</v>
      </c>
      <c r="O542" t="s">
        <v>325</v>
      </c>
      <c r="P542" s="2" t="str">
        <f t="shared" si="24"/>
        <v>14/04/2025 to 17/04/2025</v>
      </c>
      <c r="Q542" s="3">
        <v>45759</v>
      </c>
      <c r="R542" t="str">
        <f t="shared" si="25"/>
        <v>Late</v>
      </c>
      <c r="S542" t="s">
        <v>139</v>
      </c>
      <c r="T542">
        <v>14</v>
      </c>
      <c r="U542" t="s">
        <v>65</v>
      </c>
      <c r="V542" t="s">
        <v>72</v>
      </c>
      <c r="W542" t="str">
        <f t="shared" ca="1" si="26"/>
        <v>Dormant</v>
      </c>
    </row>
    <row r="543" spans="1:23" x14ac:dyDescent="0.2">
      <c r="A543">
        <v>1619</v>
      </c>
      <c r="B543" t="s">
        <v>4557</v>
      </c>
      <c r="C543" t="s">
        <v>4558</v>
      </c>
      <c r="D543" s="1" t="s">
        <v>320</v>
      </c>
      <c r="E543" t="s">
        <v>4559</v>
      </c>
      <c r="F543" t="s">
        <v>286</v>
      </c>
      <c r="G543" s="4" t="s">
        <v>38</v>
      </c>
      <c r="H543" t="s">
        <v>4560</v>
      </c>
      <c r="I543" t="s">
        <v>136</v>
      </c>
      <c r="J543" s="4" t="s">
        <v>68</v>
      </c>
      <c r="K543" t="s">
        <v>4561</v>
      </c>
      <c r="L543">
        <v>3</v>
      </c>
      <c r="M543" t="s">
        <v>325</v>
      </c>
      <c r="N543" t="s">
        <v>329</v>
      </c>
      <c r="O543" t="s">
        <v>325</v>
      </c>
      <c r="P543" s="2" t="str">
        <f t="shared" si="24"/>
        <v>15/04/2025 to 18/04/2025</v>
      </c>
      <c r="Q543" s="3">
        <v>45763</v>
      </c>
      <c r="R543" t="str">
        <f t="shared" si="25"/>
        <v>On-Time</v>
      </c>
      <c r="S543" t="s">
        <v>330</v>
      </c>
      <c r="T543">
        <v>31</v>
      </c>
      <c r="U543" t="s">
        <v>65</v>
      </c>
      <c r="V543" t="s">
        <v>80</v>
      </c>
      <c r="W543" t="str">
        <f t="shared" ca="1" si="26"/>
        <v>Dormant</v>
      </c>
    </row>
    <row r="544" spans="1:23" x14ac:dyDescent="0.2">
      <c r="A544">
        <v>1620</v>
      </c>
      <c r="B544" t="s">
        <v>4557</v>
      </c>
      <c r="C544" t="s">
        <v>4562</v>
      </c>
      <c r="D544" s="1" t="s">
        <v>320</v>
      </c>
      <c r="E544" t="s">
        <v>4559</v>
      </c>
      <c r="F544" t="s">
        <v>286</v>
      </c>
      <c r="G544" s="4" t="s">
        <v>5427</v>
      </c>
      <c r="H544" t="s">
        <v>4560</v>
      </c>
      <c r="I544" t="s">
        <v>136</v>
      </c>
      <c r="J544" s="4" t="s">
        <v>5417</v>
      </c>
      <c r="K544" t="s">
        <v>4563</v>
      </c>
      <c r="L544">
        <v>4</v>
      </c>
      <c r="M544" t="s">
        <v>320</v>
      </c>
      <c r="N544" t="s">
        <v>320</v>
      </c>
      <c r="O544" t="s">
        <v>324</v>
      </c>
      <c r="P544" s="2" t="str">
        <f t="shared" si="24"/>
        <v>11/04/2025 to 16/04/2025</v>
      </c>
      <c r="Q544" s="3">
        <v>45757</v>
      </c>
      <c r="R544" t="str">
        <f t="shared" si="25"/>
        <v>Late</v>
      </c>
      <c r="S544" t="s">
        <v>138</v>
      </c>
      <c r="T544">
        <v>39.5</v>
      </c>
      <c r="U544" t="s">
        <v>79</v>
      </c>
      <c r="V544" t="s">
        <v>80</v>
      </c>
      <c r="W544" t="str">
        <f t="shared" ca="1" si="26"/>
        <v>Dormant</v>
      </c>
    </row>
    <row r="545" spans="1:23" x14ac:dyDescent="0.2">
      <c r="A545">
        <v>738</v>
      </c>
      <c r="B545" t="s">
        <v>2425</v>
      </c>
      <c r="C545" t="s">
        <v>2426</v>
      </c>
      <c r="D545" s="1" t="s">
        <v>324</v>
      </c>
      <c r="E545" t="s">
        <v>2427</v>
      </c>
      <c r="F545" t="s">
        <v>303</v>
      </c>
      <c r="G545" s="4" t="s">
        <v>5422</v>
      </c>
      <c r="H545" t="s">
        <v>1194</v>
      </c>
      <c r="I545" t="s">
        <v>59</v>
      </c>
      <c r="J545" s="4" t="s">
        <v>5417</v>
      </c>
      <c r="K545" t="s">
        <v>8</v>
      </c>
      <c r="L545">
        <v>1</v>
      </c>
      <c r="M545" t="s">
        <v>329</v>
      </c>
      <c r="N545" t="s">
        <v>329</v>
      </c>
      <c r="O545" t="s">
        <v>431</v>
      </c>
      <c r="P545" s="2" t="str">
        <f t="shared" si="24"/>
        <v>15/04/2025 to 18/04/2025</v>
      </c>
      <c r="Q545" s="3">
        <v>45763</v>
      </c>
      <c r="R545" t="str">
        <f t="shared" si="25"/>
        <v>On-Time</v>
      </c>
      <c r="S545" t="s">
        <v>961</v>
      </c>
      <c r="T545">
        <v>9</v>
      </c>
      <c r="U545" t="s">
        <v>65</v>
      </c>
      <c r="V545" t="s">
        <v>80</v>
      </c>
      <c r="W545" t="str">
        <f t="shared" ca="1" si="26"/>
        <v>Dormant</v>
      </c>
    </row>
    <row r="546" spans="1:23" x14ac:dyDescent="0.2">
      <c r="A546">
        <v>739</v>
      </c>
      <c r="B546" t="s">
        <v>2425</v>
      </c>
      <c r="C546" t="s">
        <v>2428</v>
      </c>
      <c r="D546" s="1" t="s">
        <v>324</v>
      </c>
      <c r="E546" t="s">
        <v>2427</v>
      </c>
      <c r="F546" t="s">
        <v>303</v>
      </c>
      <c r="G546" s="4" t="s">
        <v>5426</v>
      </c>
      <c r="H546" t="s">
        <v>1194</v>
      </c>
      <c r="I546" t="s">
        <v>59</v>
      </c>
      <c r="J546" s="4" t="s">
        <v>68</v>
      </c>
      <c r="K546" t="s">
        <v>2429</v>
      </c>
      <c r="L546">
        <v>3</v>
      </c>
      <c r="M546" t="s">
        <v>324</v>
      </c>
      <c r="N546" t="s">
        <v>324</v>
      </c>
      <c r="O546" t="s">
        <v>329</v>
      </c>
      <c r="P546" s="2" t="str">
        <f t="shared" si="24"/>
        <v>14/04/2025 to 17/04/2025</v>
      </c>
      <c r="Q546" s="3">
        <v>45761</v>
      </c>
      <c r="R546" t="str">
        <f t="shared" si="25"/>
        <v>On-Time</v>
      </c>
      <c r="S546" t="s">
        <v>326</v>
      </c>
      <c r="T546">
        <v>26</v>
      </c>
      <c r="U546" t="s">
        <v>65</v>
      </c>
      <c r="V546" t="s">
        <v>80</v>
      </c>
      <c r="W546" t="str">
        <f t="shared" ca="1" si="26"/>
        <v>Dormant</v>
      </c>
    </row>
    <row r="547" spans="1:23" x14ac:dyDescent="0.2">
      <c r="A547">
        <v>740</v>
      </c>
      <c r="B547" t="s">
        <v>2425</v>
      </c>
      <c r="C547" t="s">
        <v>2430</v>
      </c>
      <c r="D547" s="1" t="s">
        <v>324</v>
      </c>
      <c r="E547" t="s">
        <v>2427</v>
      </c>
      <c r="F547" t="s">
        <v>303</v>
      </c>
      <c r="G547" s="4" t="s">
        <v>5427</v>
      </c>
      <c r="H547" t="s">
        <v>1194</v>
      </c>
      <c r="I547" t="s">
        <v>59</v>
      </c>
      <c r="J547" s="4" t="s">
        <v>60</v>
      </c>
      <c r="K547" t="s">
        <v>2431</v>
      </c>
      <c r="L547">
        <v>4</v>
      </c>
      <c r="M547" t="s">
        <v>324</v>
      </c>
      <c r="N547" t="s">
        <v>324</v>
      </c>
      <c r="O547" t="s">
        <v>324</v>
      </c>
      <c r="P547" s="2" t="str">
        <f t="shared" si="24"/>
        <v>14/04/2025 to 17/04/2025</v>
      </c>
      <c r="Q547" s="3">
        <v>45758</v>
      </c>
      <c r="R547" t="str">
        <f t="shared" si="25"/>
        <v>Late</v>
      </c>
      <c r="S547" t="s">
        <v>138</v>
      </c>
      <c r="T547">
        <v>36</v>
      </c>
      <c r="U547" t="s">
        <v>79</v>
      </c>
      <c r="V547" t="s">
        <v>72</v>
      </c>
      <c r="W547" t="str">
        <f t="shared" ca="1" si="26"/>
        <v>Dormant</v>
      </c>
    </row>
    <row r="548" spans="1:23" x14ac:dyDescent="0.2">
      <c r="A548">
        <v>741</v>
      </c>
      <c r="B548" t="s">
        <v>2425</v>
      </c>
      <c r="C548" t="s">
        <v>2432</v>
      </c>
      <c r="D548" s="1" t="s">
        <v>324</v>
      </c>
      <c r="E548" t="s">
        <v>2427</v>
      </c>
      <c r="F548" t="s">
        <v>303</v>
      </c>
      <c r="G548" s="4" t="s">
        <v>5422</v>
      </c>
      <c r="H548" t="s">
        <v>1194</v>
      </c>
      <c r="I548" t="s">
        <v>59</v>
      </c>
      <c r="J548" s="4" t="s">
        <v>74</v>
      </c>
      <c r="K548" t="s">
        <v>2433</v>
      </c>
      <c r="L548">
        <v>3</v>
      </c>
      <c r="M548" t="s">
        <v>324</v>
      </c>
      <c r="N548" t="s">
        <v>324</v>
      </c>
      <c r="O548" t="s">
        <v>325</v>
      </c>
      <c r="P548" s="2" t="str">
        <f t="shared" si="24"/>
        <v>14/04/2025 to 17/04/2025</v>
      </c>
      <c r="Q548" s="3">
        <v>45763</v>
      </c>
      <c r="R548" t="str">
        <f t="shared" si="25"/>
        <v>On-Time</v>
      </c>
      <c r="S548" t="s">
        <v>331</v>
      </c>
      <c r="T548">
        <v>29.5</v>
      </c>
      <c r="U548" t="s">
        <v>79</v>
      </c>
      <c r="V548" t="s">
        <v>80</v>
      </c>
      <c r="W548" t="str">
        <f t="shared" ca="1" si="26"/>
        <v>Dormant</v>
      </c>
    </row>
    <row r="549" spans="1:23" x14ac:dyDescent="0.2">
      <c r="A549">
        <v>742</v>
      </c>
      <c r="B549" t="s">
        <v>2425</v>
      </c>
      <c r="C549" t="s">
        <v>2434</v>
      </c>
      <c r="D549" s="1" t="s">
        <v>324</v>
      </c>
      <c r="E549" t="s">
        <v>2427</v>
      </c>
      <c r="F549" t="s">
        <v>303</v>
      </c>
      <c r="G549" s="4" t="s">
        <v>5421</v>
      </c>
      <c r="H549" t="s">
        <v>1194</v>
      </c>
      <c r="I549" t="s">
        <v>59</v>
      </c>
      <c r="J549" s="4" t="s">
        <v>60</v>
      </c>
      <c r="K549" t="s">
        <v>16</v>
      </c>
      <c r="L549">
        <v>1</v>
      </c>
      <c r="M549" t="s">
        <v>324</v>
      </c>
      <c r="N549" t="s">
        <v>329</v>
      </c>
      <c r="O549" t="s">
        <v>329</v>
      </c>
      <c r="P549" s="2" t="str">
        <f t="shared" si="24"/>
        <v>14/04/2025 to 17/04/2025</v>
      </c>
      <c r="Q549" s="3">
        <v>45764</v>
      </c>
      <c r="R549" t="str">
        <f t="shared" si="25"/>
        <v>On-Time</v>
      </c>
      <c r="S549" t="s">
        <v>331</v>
      </c>
      <c r="T549">
        <v>11</v>
      </c>
      <c r="U549" t="s">
        <v>65</v>
      </c>
      <c r="V549" t="s">
        <v>72</v>
      </c>
      <c r="W549" t="str">
        <f t="shared" ca="1" si="26"/>
        <v>Dormant</v>
      </c>
    </row>
    <row r="550" spans="1:23" x14ac:dyDescent="0.2">
      <c r="A550">
        <v>73</v>
      </c>
      <c r="B550" t="s">
        <v>421</v>
      </c>
      <c r="C550" t="s">
        <v>422</v>
      </c>
      <c r="D550" s="1" t="s">
        <v>325</v>
      </c>
      <c r="E550" t="s">
        <v>423</v>
      </c>
      <c r="F550" t="s">
        <v>424</v>
      </c>
      <c r="G550" s="4" t="s">
        <v>5418</v>
      </c>
      <c r="H550" t="s">
        <v>425</v>
      </c>
      <c r="I550" t="s">
        <v>112</v>
      </c>
      <c r="J550" s="4" t="s">
        <v>5417</v>
      </c>
      <c r="K550" t="s">
        <v>426</v>
      </c>
      <c r="L550">
        <v>4</v>
      </c>
      <c r="M550" t="s">
        <v>325</v>
      </c>
      <c r="N550" t="s">
        <v>325</v>
      </c>
      <c r="O550" t="s">
        <v>329</v>
      </c>
      <c r="P550" s="2" t="str">
        <f t="shared" si="24"/>
        <v>15/04/2025 to 18/04/2025</v>
      </c>
      <c r="Q550" s="3">
        <v>45764</v>
      </c>
      <c r="R550" t="str">
        <f t="shared" si="25"/>
        <v>On-Time</v>
      </c>
      <c r="S550" t="s">
        <v>331</v>
      </c>
      <c r="T550">
        <v>39</v>
      </c>
      <c r="U550" t="s">
        <v>79</v>
      </c>
      <c r="V550" t="s">
        <v>72</v>
      </c>
      <c r="W550" t="str">
        <f t="shared" ca="1" si="26"/>
        <v>Dormant</v>
      </c>
    </row>
    <row r="551" spans="1:23" x14ac:dyDescent="0.2">
      <c r="A551">
        <v>74</v>
      </c>
      <c r="B551" t="s">
        <v>421</v>
      </c>
      <c r="C551" t="s">
        <v>427</v>
      </c>
      <c r="D551" s="1" t="s">
        <v>325</v>
      </c>
      <c r="E551" t="s">
        <v>423</v>
      </c>
      <c r="F551" t="s">
        <v>424</v>
      </c>
      <c r="G551" s="4" t="s">
        <v>5423</v>
      </c>
      <c r="H551" t="s">
        <v>425</v>
      </c>
      <c r="I551" t="s">
        <v>112</v>
      </c>
      <c r="J551" s="4" t="s">
        <v>60</v>
      </c>
      <c r="K551" t="s">
        <v>428</v>
      </c>
      <c r="L551">
        <v>2</v>
      </c>
      <c r="M551" t="s">
        <v>325</v>
      </c>
      <c r="N551" t="s">
        <v>329</v>
      </c>
      <c r="O551" t="s">
        <v>325</v>
      </c>
      <c r="P551" s="2" t="str">
        <f t="shared" si="24"/>
        <v>15/04/2025 to 18/04/2025</v>
      </c>
      <c r="Q551" s="3">
        <v>45760</v>
      </c>
      <c r="R551" t="str">
        <f t="shared" si="25"/>
        <v>Late</v>
      </c>
      <c r="S551" t="s">
        <v>326</v>
      </c>
      <c r="T551">
        <v>20.5</v>
      </c>
      <c r="U551" t="s">
        <v>65</v>
      </c>
      <c r="V551" t="s">
        <v>72</v>
      </c>
      <c r="W551" t="str">
        <f t="shared" ca="1" si="26"/>
        <v>Dormant</v>
      </c>
    </row>
    <row r="552" spans="1:23" x14ac:dyDescent="0.2">
      <c r="A552">
        <v>75</v>
      </c>
      <c r="B552" t="s">
        <v>421</v>
      </c>
      <c r="C552" t="s">
        <v>429</v>
      </c>
      <c r="D552" s="1" t="s">
        <v>325</v>
      </c>
      <c r="E552" t="s">
        <v>423</v>
      </c>
      <c r="F552" t="s">
        <v>424</v>
      </c>
      <c r="G552" s="4" t="s">
        <v>5428</v>
      </c>
      <c r="H552" t="s">
        <v>425</v>
      </c>
      <c r="I552" t="s">
        <v>112</v>
      </c>
      <c r="J552" s="4" t="s">
        <v>68</v>
      </c>
      <c r="K552" t="s">
        <v>430</v>
      </c>
      <c r="L552">
        <v>3</v>
      </c>
      <c r="M552" t="s">
        <v>325</v>
      </c>
      <c r="N552" t="s">
        <v>329</v>
      </c>
      <c r="O552" t="s">
        <v>431</v>
      </c>
      <c r="P552" s="2" t="str">
        <f t="shared" si="24"/>
        <v>15/04/2025 to 18/04/2025</v>
      </c>
      <c r="Q552" s="3">
        <v>45760</v>
      </c>
      <c r="R552" t="str">
        <f t="shared" si="25"/>
        <v>Late</v>
      </c>
      <c r="S552" t="s">
        <v>140</v>
      </c>
      <c r="T552">
        <v>25</v>
      </c>
      <c r="U552" t="s">
        <v>65</v>
      </c>
      <c r="V552" t="s">
        <v>80</v>
      </c>
      <c r="W552" t="str">
        <f t="shared" ca="1" si="26"/>
        <v>Dormant</v>
      </c>
    </row>
    <row r="553" spans="1:23" x14ac:dyDescent="0.2">
      <c r="A553">
        <v>76</v>
      </c>
      <c r="B553" t="s">
        <v>421</v>
      </c>
      <c r="C553" t="s">
        <v>432</v>
      </c>
      <c r="D553" s="1" t="s">
        <v>325</v>
      </c>
      <c r="E553" t="s">
        <v>423</v>
      </c>
      <c r="F553" t="s">
        <v>424</v>
      </c>
      <c r="G553" s="4" t="s">
        <v>5422</v>
      </c>
      <c r="H553" t="s">
        <v>425</v>
      </c>
      <c r="I553" t="s">
        <v>112</v>
      </c>
      <c r="J553" s="4" t="s">
        <v>68</v>
      </c>
      <c r="K553" t="s">
        <v>433</v>
      </c>
      <c r="L553">
        <v>2</v>
      </c>
      <c r="M553" t="s">
        <v>329</v>
      </c>
      <c r="N553" t="s">
        <v>329</v>
      </c>
      <c r="O553" t="s">
        <v>431</v>
      </c>
      <c r="P553" s="2" t="str">
        <f t="shared" si="24"/>
        <v>15/04/2025 to 18/04/2025</v>
      </c>
      <c r="Q553" s="3">
        <v>45763</v>
      </c>
      <c r="R553" t="str">
        <f t="shared" si="25"/>
        <v>On-Time</v>
      </c>
      <c r="S553" t="s">
        <v>330</v>
      </c>
      <c r="T553">
        <v>18.5</v>
      </c>
      <c r="U553" t="s">
        <v>65</v>
      </c>
      <c r="V553" t="s">
        <v>80</v>
      </c>
      <c r="W553" t="str">
        <f t="shared" ca="1" si="26"/>
        <v>Dormant</v>
      </c>
    </row>
    <row r="554" spans="1:23" x14ac:dyDescent="0.2">
      <c r="A554">
        <v>1441</v>
      </c>
      <c r="B554" t="s">
        <v>4119</v>
      </c>
      <c r="C554" t="s">
        <v>4120</v>
      </c>
      <c r="D554" s="1" t="s">
        <v>325</v>
      </c>
      <c r="E554" t="s">
        <v>4121</v>
      </c>
      <c r="F554" t="s">
        <v>579</v>
      </c>
      <c r="G554" s="4" t="s">
        <v>5421</v>
      </c>
      <c r="H554" t="s">
        <v>4122</v>
      </c>
      <c r="I554" t="s">
        <v>112</v>
      </c>
      <c r="J554" s="4" t="s">
        <v>74</v>
      </c>
      <c r="K554" t="s">
        <v>4123</v>
      </c>
      <c r="L554">
        <v>4</v>
      </c>
      <c r="M554" t="s">
        <v>431</v>
      </c>
      <c r="N554" t="s">
        <v>431</v>
      </c>
      <c r="O554" t="s">
        <v>439</v>
      </c>
      <c r="P554" s="2" t="str">
        <f t="shared" si="24"/>
        <v>15/04/2025 to 18/04/2025</v>
      </c>
      <c r="Q554" s="3">
        <v>45764</v>
      </c>
      <c r="R554" t="str">
        <f t="shared" si="25"/>
        <v>On-Time</v>
      </c>
      <c r="S554" t="s">
        <v>331</v>
      </c>
      <c r="T554">
        <v>34.5</v>
      </c>
      <c r="U554" t="s">
        <v>65</v>
      </c>
      <c r="V554" t="s">
        <v>66</v>
      </c>
      <c r="W554" t="str">
        <f t="shared" ca="1" si="26"/>
        <v>Dormant</v>
      </c>
    </row>
    <row r="555" spans="1:23" x14ac:dyDescent="0.2">
      <c r="A555">
        <v>285</v>
      </c>
      <c r="B555" t="s">
        <v>1214</v>
      </c>
      <c r="C555" t="s">
        <v>1215</v>
      </c>
      <c r="D555" s="1" t="s">
        <v>329</v>
      </c>
      <c r="E555" t="s">
        <v>1216</v>
      </c>
      <c r="F555" t="s">
        <v>1217</v>
      </c>
      <c r="G555" s="4" t="s">
        <v>5423</v>
      </c>
      <c r="H555" t="s">
        <v>1218</v>
      </c>
      <c r="I555" t="s">
        <v>136</v>
      </c>
      <c r="J555" s="4" t="s">
        <v>60</v>
      </c>
      <c r="K555" t="s">
        <v>1219</v>
      </c>
      <c r="L555">
        <v>4</v>
      </c>
      <c r="M555" t="s">
        <v>939</v>
      </c>
      <c r="N555" t="s">
        <v>939</v>
      </c>
      <c r="O555" t="s">
        <v>439</v>
      </c>
      <c r="P555" s="2" t="str">
        <f t="shared" si="24"/>
        <v>16/04/2025 to 21/04/2025</v>
      </c>
      <c r="Q555" s="3">
        <v>45768</v>
      </c>
      <c r="R555" t="str">
        <f t="shared" si="25"/>
        <v>On-Time</v>
      </c>
      <c r="S555" t="s">
        <v>149</v>
      </c>
      <c r="T555">
        <v>34</v>
      </c>
      <c r="U555" t="s">
        <v>65</v>
      </c>
      <c r="V555" t="s">
        <v>72</v>
      </c>
      <c r="W555" t="str">
        <f t="shared" ca="1" si="26"/>
        <v>Dormant</v>
      </c>
    </row>
    <row r="556" spans="1:23" x14ac:dyDescent="0.2">
      <c r="A556">
        <v>286</v>
      </c>
      <c r="B556" t="s">
        <v>1214</v>
      </c>
      <c r="C556" t="s">
        <v>1220</v>
      </c>
      <c r="D556" s="1" t="s">
        <v>329</v>
      </c>
      <c r="E556" t="s">
        <v>1216</v>
      </c>
      <c r="F556" t="s">
        <v>1217</v>
      </c>
      <c r="G556" s="4" t="s">
        <v>5423</v>
      </c>
      <c r="H556" t="s">
        <v>1218</v>
      </c>
      <c r="I556" t="s">
        <v>136</v>
      </c>
      <c r="J556" s="4" t="s">
        <v>74</v>
      </c>
      <c r="K556" t="s">
        <v>1221</v>
      </c>
      <c r="L556">
        <v>4</v>
      </c>
      <c r="M556" t="s">
        <v>431</v>
      </c>
      <c r="N556" t="s">
        <v>939</v>
      </c>
      <c r="O556" t="s">
        <v>439</v>
      </c>
      <c r="P556" s="2" t="str">
        <f t="shared" si="24"/>
        <v>15/04/2025 to 18/04/2025</v>
      </c>
      <c r="Q556" s="3">
        <v>45762</v>
      </c>
      <c r="R556" t="str">
        <f t="shared" si="25"/>
        <v>On-Time</v>
      </c>
      <c r="S556" t="s">
        <v>330</v>
      </c>
      <c r="T556">
        <v>36</v>
      </c>
      <c r="U556" t="s">
        <v>79</v>
      </c>
      <c r="V556" t="s">
        <v>80</v>
      </c>
      <c r="W556" t="str">
        <f t="shared" ca="1" si="26"/>
        <v>Dormant</v>
      </c>
    </row>
    <row r="557" spans="1:23" x14ac:dyDescent="0.2">
      <c r="A557">
        <v>287</v>
      </c>
      <c r="B557" t="s">
        <v>1214</v>
      </c>
      <c r="C557" t="s">
        <v>1222</v>
      </c>
      <c r="D557" s="1" t="s">
        <v>329</v>
      </c>
      <c r="E557" t="s">
        <v>1216</v>
      </c>
      <c r="F557" t="s">
        <v>1217</v>
      </c>
      <c r="G557" s="4" t="s">
        <v>5423</v>
      </c>
      <c r="H557" t="s">
        <v>1218</v>
      </c>
      <c r="I557" t="s">
        <v>136</v>
      </c>
      <c r="J557" s="4" t="s">
        <v>60</v>
      </c>
      <c r="K557" t="s">
        <v>1223</v>
      </c>
      <c r="L557">
        <v>2</v>
      </c>
      <c r="M557" t="s">
        <v>329</v>
      </c>
      <c r="N557" t="s">
        <v>329</v>
      </c>
      <c r="O557" t="s">
        <v>939</v>
      </c>
      <c r="P557" s="2" t="str">
        <f t="shared" si="24"/>
        <v>15/04/2025 to 18/04/2025</v>
      </c>
      <c r="Q557" s="3">
        <v>45765</v>
      </c>
      <c r="R557" t="str">
        <f t="shared" si="25"/>
        <v>On-Time</v>
      </c>
      <c r="S557" t="s">
        <v>961</v>
      </c>
      <c r="T557">
        <v>19</v>
      </c>
      <c r="U557" t="s">
        <v>65</v>
      </c>
      <c r="V557" t="s">
        <v>66</v>
      </c>
      <c r="W557" t="str">
        <f t="shared" ca="1" si="26"/>
        <v>Dormant</v>
      </c>
    </row>
    <row r="558" spans="1:23" x14ac:dyDescent="0.2">
      <c r="A558">
        <v>288</v>
      </c>
      <c r="B558" t="s">
        <v>1214</v>
      </c>
      <c r="C558" t="s">
        <v>1224</v>
      </c>
      <c r="D558" s="1" t="s">
        <v>329</v>
      </c>
      <c r="E558" t="s">
        <v>1216</v>
      </c>
      <c r="F558" t="s">
        <v>1217</v>
      </c>
      <c r="G558" s="4" t="s">
        <v>5425</v>
      </c>
      <c r="H558" t="s">
        <v>1218</v>
      </c>
      <c r="I558" t="s">
        <v>136</v>
      </c>
      <c r="J558" s="4" t="s">
        <v>74</v>
      </c>
      <c r="K558" t="s">
        <v>1225</v>
      </c>
      <c r="L558">
        <v>4</v>
      </c>
      <c r="M558" t="s">
        <v>431</v>
      </c>
      <c r="N558" t="s">
        <v>939</v>
      </c>
      <c r="O558" t="s">
        <v>939</v>
      </c>
      <c r="P558" s="2" t="str">
        <f t="shared" si="24"/>
        <v>15/04/2025 to 18/04/2025</v>
      </c>
      <c r="Q558" s="3">
        <v>45765</v>
      </c>
      <c r="R558" t="str">
        <f t="shared" si="25"/>
        <v>On-Time</v>
      </c>
      <c r="S558" t="s">
        <v>961</v>
      </c>
      <c r="T558">
        <v>35</v>
      </c>
      <c r="U558" t="s">
        <v>79</v>
      </c>
      <c r="V558" t="s">
        <v>72</v>
      </c>
      <c r="W558" t="str">
        <f t="shared" ca="1" si="26"/>
        <v>Dormant</v>
      </c>
    </row>
    <row r="559" spans="1:23" x14ac:dyDescent="0.2">
      <c r="A559">
        <v>77</v>
      </c>
      <c r="B559" t="s">
        <v>434</v>
      </c>
      <c r="C559" t="s">
        <v>435</v>
      </c>
      <c r="D559" s="1" t="s">
        <v>431</v>
      </c>
      <c r="E559" t="s">
        <v>436</v>
      </c>
      <c r="F559" t="s">
        <v>134</v>
      </c>
      <c r="G559" s="4" t="s">
        <v>5424</v>
      </c>
      <c r="H559" t="s">
        <v>437</v>
      </c>
      <c r="I559" t="s">
        <v>136</v>
      </c>
      <c r="J559" s="4" t="s">
        <v>60</v>
      </c>
      <c r="K559" t="s">
        <v>438</v>
      </c>
      <c r="L559">
        <v>2</v>
      </c>
      <c r="M559" t="s">
        <v>439</v>
      </c>
      <c r="N559" t="s">
        <v>132</v>
      </c>
      <c r="O559" t="s">
        <v>440</v>
      </c>
      <c r="P559" s="2" t="str">
        <f t="shared" si="24"/>
        <v>17/04/2025 to 22/04/2025</v>
      </c>
      <c r="Q559" s="3">
        <v>45767</v>
      </c>
      <c r="R559" t="str">
        <f t="shared" si="25"/>
        <v>On-Time</v>
      </c>
      <c r="S559" t="s">
        <v>149</v>
      </c>
      <c r="T559">
        <v>21</v>
      </c>
      <c r="U559" t="s">
        <v>79</v>
      </c>
      <c r="V559" t="s">
        <v>72</v>
      </c>
      <c r="W559" t="str">
        <f t="shared" ca="1" si="26"/>
        <v>Dormant</v>
      </c>
    </row>
    <row r="560" spans="1:23" x14ac:dyDescent="0.2">
      <c r="A560">
        <v>827</v>
      </c>
      <c r="B560" t="s">
        <v>2642</v>
      </c>
      <c r="C560" t="s">
        <v>2643</v>
      </c>
      <c r="D560" s="1" t="s">
        <v>431</v>
      </c>
      <c r="E560" t="s">
        <v>2644</v>
      </c>
      <c r="F560" t="s">
        <v>286</v>
      </c>
      <c r="G560" s="4" t="s">
        <v>5418</v>
      </c>
      <c r="H560" t="s">
        <v>2645</v>
      </c>
      <c r="I560" t="s">
        <v>201</v>
      </c>
      <c r="J560" s="4" t="s">
        <v>5417</v>
      </c>
      <c r="K560" t="s">
        <v>10</v>
      </c>
      <c r="L560">
        <v>1</v>
      </c>
      <c r="M560" t="s">
        <v>939</v>
      </c>
      <c r="N560" t="s">
        <v>939</v>
      </c>
      <c r="O560" t="s">
        <v>440</v>
      </c>
      <c r="P560" s="2" t="str">
        <f t="shared" si="24"/>
        <v>16/04/2025 to 21/04/2025</v>
      </c>
      <c r="Q560" s="3">
        <v>45769</v>
      </c>
      <c r="R560" t="str">
        <f t="shared" si="25"/>
        <v>Late</v>
      </c>
      <c r="S560" t="s">
        <v>145</v>
      </c>
      <c r="T560">
        <v>10</v>
      </c>
      <c r="U560" t="s">
        <v>65</v>
      </c>
      <c r="V560" t="s">
        <v>72</v>
      </c>
      <c r="W560" t="str">
        <f t="shared" ca="1" si="26"/>
        <v>Dormant</v>
      </c>
    </row>
    <row r="561" spans="1:23" x14ac:dyDescent="0.2">
      <c r="A561">
        <v>828</v>
      </c>
      <c r="B561" t="s">
        <v>2642</v>
      </c>
      <c r="C561" t="s">
        <v>2646</v>
      </c>
      <c r="D561" s="1" t="s">
        <v>431</v>
      </c>
      <c r="E561" t="s">
        <v>2644</v>
      </c>
      <c r="F561" t="s">
        <v>286</v>
      </c>
      <c r="G561" s="4" t="s">
        <v>5422</v>
      </c>
      <c r="H561" t="s">
        <v>2645</v>
      </c>
      <c r="I561" t="s">
        <v>201</v>
      </c>
      <c r="J561" s="4" t="s">
        <v>68</v>
      </c>
      <c r="K561" t="s">
        <v>2647</v>
      </c>
      <c r="L561">
        <v>3</v>
      </c>
      <c r="M561" t="s">
        <v>939</v>
      </c>
      <c r="N561" t="s">
        <v>439</v>
      </c>
      <c r="O561" t="s">
        <v>439</v>
      </c>
      <c r="P561" s="2" t="str">
        <f t="shared" si="24"/>
        <v>16/04/2025 to 21/04/2025</v>
      </c>
      <c r="Q561" s="3">
        <v>45763</v>
      </c>
      <c r="R561" t="str">
        <f t="shared" si="25"/>
        <v>On-Time</v>
      </c>
      <c r="S561" t="s">
        <v>330</v>
      </c>
      <c r="T561">
        <v>31</v>
      </c>
      <c r="U561" t="s">
        <v>79</v>
      </c>
      <c r="V561" t="s">
        <v>80</v>
      </c>
      <c r="W561" t="str">
        <f t="shared" ca="1" si="26"/>
        <v>Dormant</v>
      </c>
    </row>
    <row r="562" spans="1:23" x14ac:dyDescent="0.2">
      <c r="A562">
        <v>829</v>
      </c>
      <c r="B562" t="s">
        <v>2642</v>
      </c>
      <c r="C562" t="s">
        <v>2648</v>
      </c>
      <c r="D562" s="1" t="s">
        <v>431</v>
      </c>
      <c r="E562" t="s">
        <v>2644</v>
      </c>
      <c r="F562" t="s">
        <v>286</v>
      </c>
      <c r="G562" s="4" t="s">
        <v>5426</v>
      </c>
      <c r="H562" t="s">
        <v>2645</v>
      </c>
      <c r="I562" t="s">
        <v>201</v>
      </c>
      <c r="J562" s="4" t="s">
        <v>60</v>
      </c>
      <c r="K562" t="s">
        <v>28</v>
      </c>
      <c r="L562">
        <v>1</v>
      </c>
      <c r="M562" t="s">
        <v>439</v>
      </c>
      <c r="N562" t="s">
        <v>132</v>
      </c>
      <c r="O562" t="s">
        <v>440</v>
      </c>
      <c r="P562" s="2" t="str">
        <f t="shared" si="24"/>
        <v>17/04/2025 to 22/04/2025</v>
      </c>
      <c r="Q562" s="3">
        <v>45766</v>
      </c>
      <c r="R562" t="str">
        <f t="shared" si="25"/>
        <v>On-Time</v>
      </c>
      <c r="S562" t="s">
        <v>154</v>
      </c>
      <c r="T562">
        <v>9</v>
      </c>
      <c r="U562" t="s">
        <v>79</v>
      </c>
      <c r="V562" t="s">
        <v>66</v>
      </c>
      <c r="W562" t="str">
        <f t="shared" ca="1" si="26"/>
        <v>Dormant</v>
      </c>
    </row>
    <row r="563" spans="1:23" x14ac:dyDescent="0.2">
      <c r="A563">
        <v>830</v>
      </c>
      <c r="B563" t="s">
        <v>2642</v>
      </c>
      <c r="C563" t="s">
        <v>2649</v>
      </c>
      <c r="D563" s="1" t="s">
        <v>431</v>
      </c>
      <c r="E563" t="s">
        <v>2644</v>
      </c>
      <c r="F563" t="s">
        <v>286</v>
      </c>
      <c r="G563" s="4" t="s">
        <v>5423</v>
      </c>
      <c r="H563" t="s">
        <v>2645</v>
      </c>
      <c r="I563" t="s">
        <v>201</v>
      </c>
      <c r="J563" s="4" t="s">
        <v>5417</v>
      </c>
      <c r="K563" t="s">
        <v>28</v>
      </c>
      <c r="L563">
        <v>1</v>
      </c>
      <c r="M563" t="s">
        <v>939</v>
      </c>
      <c r="N563" t="s">
        <v>439</v>
      </c>
      <c r="O563" t="s">
        <v>939</v>
      </c>
      <c r="P563" s="2" t="str">
        <f t="shared" si="24"/>
        <v>16/04/2025 to 21/04/2025</v>
      </c>
      <c r="Q563" s="3">
        <v>45761</v>
      </c>
      <c r="R563" t="str">
        <f t="shared" si="25"/>
        <v>Late</v>
      </c>
      <c r="S563" t="s">
        <v>153</v>
      </c>
      <c r="T563">
        <v>9</v>
      </c>
      <c r="U563" t="s">
        <v>79</v>
      </c>
      <c r="V563" t="s">
        <v>66</v>
      </c>
      <c r="W563" t="str">
        <f t="shared" ca="1" si="26"/>
        <v>Dormant</v>
      </c>
    </row>
    <row r="564" spans="1:23" x14ac:dyDescent="0.2">
      <c r="A564">
        <v>1018</v>
      </c>
      <c r="B564" t="s">
        <v>3106</v>
      </c>
      <c r="C564" t="s">
        <v>3107</v>
      </c>
      <c r="D564" s="1" t="s">
        <v>431</v>
      </c>
      <c r="E564" t="s">
        <v>3108</v>
      </c>
      <c r="F564" t="s">
        <v>579</v>
      </c>
      <c r="G564" s="4" t="s">
        <v>5425</v>
      </c>
      <c r="H564" t="s">
        <v>1590</v>
      </c>
      <c r="I564" t="s">
        <v>201</v>
      </c>
      <c r="J564" s="4" t="s">
        <v>74</v>
      </c>
      <c r="K564" t="s">
        <v>30</v>
      </c>
      <c r="L564">
        <v>1</v>
      </c>
      <c r="M564" t="s">
        <v>939</v>
      </c>
      <c r="N564" t="s">
        <v>439</v>
      </c>
      <c r="O564" t="s">
        <v>939</v>
      </c>
      <c r="P564" s="2" t="str">
        <f t="shared" si="24"/>
        <v>16/04/2025 to 21/04/2025</v>
      </c>
      <c r="Q564" s="3">
        <v>45763</v>
      </c>
      <c r="R564" t="str">
        <f t="shared" si="25"/>
        <v>On-Time</v>
      </c>
      <c r="S564" t="s">
        <v>961</v>
      </c>
      <c r="T564">
        <v>12</v>
      </c>
      <c r="U564" t="s">
        <v>79</v>
      </c>
      <c r="V564" t="s">
        <v>66</v>
      </c>
      <c r="W564" t="str">
        <f t="shared" ca="1" si="26"/>
        <v>Dormant</v>
      </c>
    </row>
    <row r="565" spans="1:23" x14ac:dyDescent="0.2">
      <c r="A565">
        <v>1019</v>
      </c>
      <c r="B565" t="s">
        <v>3106</v>
      </c>
      <c r="C565" t="s">
        <v>3109</v>
      </c>
      <c r="D565" s="1" t="s">
        <v>431</v>
      </c>
      <c r="E565" t="s">
        <v>3108</v>
      </c>
      <c r="F565" t="s">
        <v>579</v>
      </c>
      <c r="G565" s="4" t="s">
        <v>5423</v>
      </c>
      <c r="H565" t="s">
        <v>1590</v>
      </c>
      <c r="I565" t="s">
        <v>201</v>
      </c>
      <c r="J565" s="4" t="s">
        <v>68</v>
      </c>
      <c r="K565" t="s">
        <v>438</v>
      </c>
      <c r="L565">
        <v>2</v>
      </c>
      <c r="M565" t="s">
        <v>939</v>
      </c>
      <c r="N565" t="s">
        <v>439</v>
      </c>
      <c r="O565" t="s">
        <v>440</v>
      </c>
      <c r="P565" s="2" t="str">
        <f t="shared" si="24"/>
        <v>16/04/2025 to 21/04/2025</v>
      </c>
      <c r="Q565" s="3">
        <v>45765</v>
      </c>
      <c r="R565" t="str">
        <f t="shared" si="25"/>
        <v>On-Time</v>
      </c>
      <c r="S565" t="s">
        <v>148</v>
      </c>
      <c r="T565">
        <v>21</v>
      </c>
      <c r="U565" t="s">
        <v>79</v>
      </c>
      <c r="V565" t="s">
        <v>66</v>
      </c>
      <c r="W565" t="str">
        <f t="shared" ca="1" si="26"/>
        <v>Dormant</v>
      </c>
    </row>
    <row r="566" spans="1:23" x14ac:dyDescent="0.2">
      <c r="A566">
        <v>1020</v>
      </c>
      <c r="B566" t="s">
        <v>3106</v>
      </c>
      <c r="C566" t="s">
        <v>3110</v>
      </c>
      <c r="D566" s="1" t="s">
        <v>431</v>
      </c>
      <c r="E566" t="s">
        <v>3108</v>
      </c>
      <c r="F566" t="s">
        <v>579</v>
      </c>
      <c r="G566" s="4" t="s">
        <v>5428</v>
      </c>
      <c r="H566" t="s">
        <v>1590</v>
      </c>
      <c r="I566" t="s">
        <v>201</v>
      </c>
      <c r="J566" s="4" t="s">
        <v>5417</v>
      </c>
      <c r="K566" t="s">
        <v>16</v>
      </c>
      <c r="L566">
        <v>1</v>
      </c>
      <c r="M566" t="s">
        <v>939</v>
      </c>
      <c r="N566" t="s">
        <v>439</v>
      </c>
      <c r="O566" t="s">
        <v>440</v>
      </c>
      <c r="P566" s="2" t="str">
        <f t="shared" si="24"/>
        <v>16/04/2025 to 21/04/2025</v>
      </c>
      <c r="Q566" s="3">
        <v>45766</v>
      </c>
      <c r="R566" t="str">
        <f t="shared" si="25"/>
        <v>On-Time</v>
      </c>
      <c r="S566" t="s">
        <v>708</v>
      </c>
      <c r="T566">
        <v>11</v>
      </c>
      <c r="U566" t="s">
        <v>79</v>
      </c>
      <c r="V566" t="s">
        <v>80</v>
      </c>
      <c r="W566" t="str">
        <f t="shared" ca="1" si="26"/>
        <v>Dormant</v>
      </c>
    </row>
    <row r="567" spans="1:23" x14ac:dyDescent="0.2">
      <c r="A567">
        <v>1021</v>
      </c>
      <c r="B567" t="s">
        <v>3106</v>
      </c>
      <c r="C567" t="s">
        <v>3111</v>
      </c>
      <c r="D567" s="1" t="s">
        <v>431</v>
      </c>
      <c r="E567" t="s">
        <v>3108</v>
      </c>
      <c r="F567" t="s">
        <v>579</v>
      </c>
      <c r="G567" s="4" t="s">
        <v>5421</v>
      </c>
      <c r="H567" t="s">
        <v>1590</v>
      </c>
      <c r="I567" t="s">
        <v>201</v>
      </c>
      <c r="J567" s="4" t="s">
        <v>60</v>
      </c>
      <c r="K567" t="s">
        <v>3112</v>
      </c>
      <c r="L567">
        <v>4</v>
      </c>
      <c r="M567" t="s">
        <v>939</v>
      </c>
      <c r="N567" t="s">
        <v>939</v>
      </c>
      <c r="O567" t="s">
        <v>440</v>
      </c>
      <c r="P567" s="2" t="str">
        <f t="shared" si="24"/>
        <v>16/04/2025 to 21/04/2025</v>
      </c>
      <c r="Q567" s="3">
        <v>45766</v>
      </c>
      <c r="R567" t="str">
        <f t="shared" si="25"/>
        <v>On-Time</v>
      </c>
      <c r="S567" t="s">
        <v>148</v>
      </c>
      <c r="T567">
        <v>42.5</v>
      </c>
      <c r="U567" t="s">
        <v>65</v>
      </c>
      <c r="V567" t="s">
        <v>72</v>
      </c>
      <c r="W567" t="str">
        <f t="shared" ca="1" si="26"/>
        <v>Dormant</v>
      </c>
    </row>
    <row r="568" spans="1:23" x14ac:dyDescent="0.2">
      <c r="A568">
        <v>1022</v>
      </c>
      <c r="B568" t="s">
        <v>3106</v>
      </c>
      <c r="C568" t="s">
        <v>3113</v>
      </c>
      <c r="D568" s="1" t="s">
        <v>431</v>
      </c>
      <c r="E568" t="s">
        <v>3108</v>
      </c>
      <c r="F568" t="s">
        <v>579</v>
      </c>
      <c r="G568" s="4" t="s">
        <v>5420</v>
      </c>
      <c r="H568" t="s">
        <v>1590</v>
      </c>
      <c r="I568" t="s">
        <v>201</v>
      </c>
      <c r="J568" s="4" t="s">
        <v>5417</v>
      </c>
      <c r="K568" t="s">
        <v>3114</v>
      </c>
      <c r="L568">
        <v>4</v>
      </c>
      <c r="M568" t="s">
        <v>439</v>
      </c>
      <c r="N568" t="s">
        <v>439</v>
      </c>
      <c r="O568" t="s">
        <v>132</v>
      </c>
      <c r="P568" s="2" t="str">
        <f t="shared" si="24"/>
        <v>17/04/2025 to 22/04/2025</v>
      </c>
      <c r="Q568" s="3">
        <v>45768</v>
      </c>
      <c r="R568" t="str">
        <f t="shared" si="25"/>
        <v>On-Time</v>
      </c>
      <c r="S568" t="s">
        <v>144</v>
      </c>
      <c r="T568">
        <v>35.5</v>
      </c>
      <c r="U568" t="s">
        <v>65</v>
      </c>
      <c r="V568" t="s">
        <v>80</v>
      </c>
      <c r="W568" t="str">
        <f t="shared" ca="1" si="26"/>
        <v>Dormant</v>
      </c>
    </row>
    <row r="569" spans="1:23" x14ac:dyDescent="0.2">
      <c r="A569">
        <v>1513</v>
      </c>
      <c r="B569" t="s">
        <v>4303</v>
      </c>
      <c r="C569" t="s">
        <v>4304</v>
      </c>
      <c r="D569" s="1" t="s">
        <v>431</v>
      </c>
      <c r="E569" t="s">
        <v>4305</v>
      </c>
      <c r="F569" t="s">
        <v>110</v>
      </c>
      <c r="G569" s="4" t="s">
        <v>5421</v>
      </c>
      <c r="H569" t="s">
        <v>4306</v>
      </c>
      <c r="I569" t="s">
        <v>112</v>
      </c>
      <c r="J569" s="4" t="s">
        <v>68</v>
      </c>
      <c r="K569" t="s">
        <v>4307</v>
      </c>
      <c r="L569">
        <v>4</v>
      </c>
      <c r="M569" t="s">
        <v>431</v>
      </c>
      <c r="N569" t="s">
        <v>939</v>
      </c>
      <c r="O569" t="s">
        <v>431</v>
      </c>
      <c r="P569" s="2" t="str">
        <f t="shared" si="24"/>
        <v>15/04/2025 to 18/04/2025</v>
      </c>
      <c r="Q569" s="3">
        <v>45760</v>
      </c>
      <c r="R569" t="str">
        <f t="shared" si="25"/>
        <v>Late</v>
      </c>
      <c r="S569" t="s">
        <v>140</v>
      </c>
      <c r="T569">
        <v>37.5</v>
      </c>
      <c r="U569" t="s">
        <v>79</v>
      </c>
      <c r="V569" t="s">
        <v>72</v>
      </c>
      <c r="W569" t="str">
        <f t="shared" ca="1" si="26"/>
        <v>Dormant</v>
      </c>
    </row>
    <row r="570" spans="1:23" x14ac:dyDescent="0.2">
      <c r="A570">
        <v>1612</v>
      </c>
      <c r="B570" t="s">
        <v>4540</v>
      </c>
      <c r="C570" t="s">
        <v>4541</v>
      </c>
      <c r="D570" s="1" t="s">
        <v>431</v>
      </c>
      <c r="E570" t="s">
        <v>4542</v>
      </c>
      <c r="F570" t="s">
        <v>626</v>
      </c>
      <c r="G570" s="4" t="s">
        <v>5426</v>
      </c>
      <c r="H570" t="s">
        <v>559</v>
      </c>
      <c r="I570" t="s">
        <v>136</v>
      </c>
      <c r="J570" s="4" t="s">
        <v>68</v>
      </c>
      <c r="K570" t="s">
        <v>4543</v>
      </c>
      <c r="L570">
        <v>3</v>
      </c>
      <c r="M570" t="s">
        <v>939</v>
      </c>
      <c r="N570" t="s">
        <v>939</v>
      </c>
      <c r="O570" t="s">
        <v>440</v>
      </c>
      <c r="P570" s="2" t="str">
        <f t="shared" si="24"/>
        <v>16/04/2025 to 21/04/2025</v>
      </c>
      <c r="Q570" s="3">
        <v>45767</v>
      </c>
      <c r="R570" t="str">
        <f t="shared" si="25"/>
        <v>On-Time</v>
      </c>
      <c r="S570" t="s">
        <v>149</v>
      </c>
      <c r="T570">
        <v>27</v>
      </c>
      <c r="U570" t="s">
        <v>65</v>
      </c>
      <c r="V570" t="s">
        <v>72</v>
      </c>
      <c r="W570" t="str">
        <f t="shared" ca="1" si="26"/>
        <v>Dormant</v>
      </c>
    </row>
    <row r="571" spans="1:23" x14ac:dyDescent="0.2">
      <c r="A571">
        <v>1613</v>
      </c>
      <c r="B571" t="s">
        <v>4540</v>
      </c>
      <c r="C571" t="s">
        <v>4544</v>
      </c>
      <c r="D571" s="1" t="s">
        <v>431</v>
      </c>
      <c r="E571" t="s">
        <v>4542</v>
      </c>
      <c r="F571" t="s">
        <v>626</v>
      </c>
      <c r="G571" s="4" t="s">
        <v>5427</v>
      </c>
      <c r="H571" t="s">
        <v>559</v>
      </c>
      <c r="I571" t="s">
        <v>136</v>
      </c>
      <c r="J571" s="4" t="s">
        <v>74</v>
      </c>
      <c r="K571" t="s">
        <v>1053</v>
      </c>
      <c r="L571">
        <v>3</v>
      </c>
      <c r="M571" t="s">
        <v>439</v>
      </c>
      <c r="N571" t="s">
        <v>132</v>
      </c>
      <c r="O571" t="s">
        <v>440</v>
      </c>
      <c r="P571" s="2" t="str">
        <f t="shared" si="24"/>
        <v>17/04/2025 to 22/04/2025</v>
      </c>
      <c r="Q571" s="3">
        <v>45768</v>
      </c>
      <c r="R571" t="str">
        <f t="shared" si="25"/>
        <v>On-Time</v>
      </c>
      <c r="S571" t="s">
        <v>154</v>
      </c>
      <c r="T571">
        <v>30.5</v>
      </c>
      <c r="U571" t="s">
        <v>79</v>
      </c>
      <c r="V571" t="s">
        <v>80</v>
      </c>
      <c r="W571" t="str">
        <f t="shared" ca="1" si="26"/>
        <v>Dormant</v>
      </c>
    </row>
    <row r="572" spans="1:23" x14ac:dyDescent="0.2">
      <c r="A572">
        <v>1614</v>
      </c>
      <c r="B572" t="s">
        <v>4540</v>
      </c>
      <c r="C572" t="s">
        <v>4545</v>
      </c>
      <c r="D572" s="1" t="s">
        <v>431</v>
      </c>
      <c r="E572" t="s">
        <v>4542</v>
      </c>
      <c r="F572" t="s">
        <v>626</v>
      </c>
      <c r="G572" s="4" t="s">
        <v>5424</v>
      </c>
      <c r="H572" t="s">
        <v>559</v>
      </c>
      <c r="I572" t="s">
        <v>136</v>
      </c>
      <c r="J572" s="4" t="s">
        <v>68</v>
      </c>
      <c r="K572" t="s">
        <v>4546</v>
      </c>
      <c r="L572">
        <v>3</v>
      </c>
      <c r="M572" t="s">
        <v>939</v>
      </c>
      <c r="N572" t="s">
        <v>440</v>
      </c>
      <c r="O572" t="s">
        <v>440</v>
      </c>
      <c r="P572" s="2" t="str">
        <f t="shared" si="24"/>
        <v>16/04/2025 to 21/04/2025</v>
      </c>
      <c r="Q572" s="3">
        <v>45768</v>
      </c>
      <c r="R572" t="str">
        <f t="shared" si="25"/>
        <v>On-Time</v>
      </c>
      <c r="S572" t="s">
        <v>149</v>
      </c>
      <c r="T572">
        <v>26.5</v>
      </c>
      <c r="U572" t="s">
        <v>65</v>
      </c>
      <c r="V572" t="s">
        <v>72</v>
      </c>
      <c r="W572" t="str">
        <f t="shared" ca="1" si="26"/>
        <v>Dormant</v>
      </c>
    </row>
    <row r="573" spans="1:23" x14ac:dyDescent="0.2">
      <c r="A573">
        <v>492</v>
      </c>
      <c r="B573" t="s">
        <v>1797</v>
      </c>
      <c r="C573" t="s">
        <v>1798</v>
      </c>
      <c r="D573" s="1" t="s">
        <v>939</v>
      </c>
      <c r="E573" t="s">
        <v>1799</v>
      </c>
      <c r="F573" t="s">
        <v>910</v>
      </c>
      <c r="G573" s="4" t="s">
        <v>5425</v>
      </c>
      <c r="H573" t="s">
        <v>1800</v>
      </c>
      <c r="I573" t="s">
        <v>59</v>
      </c>
      <c r="J573" s="4" t="s">
        <v>60</v>
      </c>
      <c r="K573" t="s">
        <v>1801</v>
      </c>
      <c r="L573">
        <v>3</v>
      </c>
      <c r="M573" t="s">
        <v>939</v>
      </c>
      <c r="N573" t="s">
        <v>939</v>
      </c>
      <c r="O573" t="s">
        <v>440</v>
      </c>
      <c r="P573" s="2" t="str">
        <f t="shared" si="24"/>
        <v>16/04/2025 to 21/04/2025</v>
      </c>
      <c r="Q573" s="3">
        <v>45768</v>
      </c>
      <c r="R573" t="str">
        <f t="shared" si="25"/>
        <v>On-Time</v>
      </c>
      <c r="S573" t="s">
        <v>144</v>
      </c>
      <c r="T573">
        <v>30</v>
      </c>
      <c r="U573" t="s">
        <v>65</v>
      </c>
      <c r="V573" t="s">
        <v>80</v>
      </c>
      <c r="W573" t="str">
        <f t="shared" ca="1" si="26"/>
        <v>Dormant</v>
      </c>
    </row>
    <row r="574" spans="1:23" x14ac:dyDescent="0.2">
      <c r="A574">
        <v>493</v>
      </c>
      <c r="B574" t="s">
        <v>1797</v>
      </c>
      <c r="C574" t="s">
        <v>1802</v>
      </c>
      <c r="D574" s="1" t="s">
        <v>939</v>
      </c>
      <c r="E574" t="s">
        <v>1799</v>
      </c>
      <c r="F574" t="s">
        <v>910</v>
      </c>
      <c r="G574" s="4" t="s">
        <v>5420</v>
      </c>
      <c r="H574" t="s">
        <v>1800</v>
      </c>
      <c r="I574" t="s">
        <v>59</v>
      </c>
      <c r="J574" s="4" t="s">
        <v>68</v>
      </c>
      <c r="K574" t="s">
        <v>1803</v>
      </c>
      <c r="L574">
        <v>4</v>
      </c>
      <c r="M574" t="s">
        <v>440</v>
      </c>
      <c r="N574" t="s">
        <v>138</v>
      </c>
      <c r="O574" t="s">
        <v>132</v>
      </c>
      <c r="P574" s="2" t="str">
        <f t="shared" si="24"/>
        <v>18/04/2025 to 23/04/2025</v>
      </c>
      <c r="Q574" s="3">
        <v>45765</v>
      </c>
      <c r="R574" t="str">
        <f t="shared" si="25"/>
        <v>On-Time</v>
      </c>
      <c r="S574" t="s">
        <v>961</v>
      </c>
      <c r="T574">
        <v>36</v>
      </c>
      <c r="U574" t="s">
        <v>79</v>
      </c>
      <c r="V574" t="s">
        <v>72</v>
      </c>
      <c r="W574" t="str">
        <f t="shared" ca="1" si="26"/>
        <v>Dormant</v>
      </c>
    </row>
    <row r="575" spans="1:23" x14ac:dyDescent="0.2">
      <c r="A575">
        <v>1375</v>
      </c>
      <c r="B575" t="s">
        <v>3963</v>
      </c>
      <c r="C575" t="s">
        <v>3964</v>
      </c>
      <c r="D575" s="1" t="s">
        <v>439</v>
      </c>
      <c r="E575" t="s">
        <v>3965</v>
      </c>
      <c r="F575" t="s">
        <v>910</v>
      </c>
      <c r="G575" s="4" t="s">
        <v>5423</v>
      </c>
      <c r="H575" t="s">
        <v>3966</v>
      </c>
      <c r="I575" t="s">
        <v>112</v>
      </c>
      <c r="J575" s="4" t="s">
        <v>60</v>
      </c>
      <c r="K575" t="s">
        <v>1948</v>
      </c>
      <c r="L575">
        <v>2</v>
      </c>
      <c r="M575" t="s">
        <v>132</v>
      </c>
      <c r="N575" t="s">
        <v>139</v>
      </c>
      <c r="O575" t="s">
        <v>132</v>
      </c>
      <c r="P575" s="2" t="str">
        <f t="shared" si="24"/>
        <v>21/04/2025 to 24/04/2025</v>
      </c>
      <c r="Q575" s="3">
        <v>45765</v>
      </c>
      <c r="R575" t="str">
        <f t="shared" si="25"/>
        <v>Late</v>
      </c>
      <c r="S575" t="s">
        <v>148</v>
      </c>
      <c r="T575">
        <v>17.5</v>
      </c>
      <c r="U575" t="s">
        <v>65</v>
      </c>
      <c r="V575" t="s">
        <v>80</v>
      </c>
      <c r="W575" t="str">
        <f t="shared" ca="1" si="26"/>
        <v>Dormant</v>
      </c>
    </row>
    <row r="576" spans="1:23" x14ac:dyDescent="0.2">
      <c r="A576">
        <v>1376</v>
      </c>
      <c r="B576" t="s">
        <v>3963</v>
      </c>
      <c r="C576" t="s">
        <v>3967</v>
      </c>
      <c r="D576" s="1" t="s">
        <v>439</v>
      </c>
      <c r="E576" t="s">
        <v>3965</v>
      </c>
      <c r="F576" t="s">
        <v>910</v>
      </c>
      <c r="G576" s="4" t="s">
        <v>5427</v>
      </c>
      <c r="H576" t="s">
        <v>3966</v>
      </c>
      <c r="I576" t="s">
        <v>112</v>
      </c>
      <c r="J576" s="4" t="s">
        <v>74</v>
      </c>
      <c r="K576" t="s">
        <v>3968</v>
      </c>
      <c r="L576">
        <v>4</v>
      </c>
      <c r="M576" t="s">
        <v>440</v>
      </c>
      <c r="N576" t="s">
        <v>138</v>
      </c>
      <c r="O576" t="s">
        <v>138</v>
      </c>
      <c r="P576" s="2" t="str">
        <f t="shared" si="24"/>
        <v>18/04/2025 to 23/04/2025</v>
      </c>
      <c r="Q576" s="3">
        <v>45767</v>
      </c>
      <c r="R576" t="str">
        <f t="shared" si="25"/>
        <v>On-Time</v>
      </c>
      <c r="S576" t="s">
        <v>149</v>
      </c>
      <c r="T576">
        <v>37</v>
      </c>
      <c r="U576" t="s">
        <v>79</v>
      </c>
      <c r="V576" t="s">
        <v>80</v>
      </c>
      <c r="W576" t="str">
        <f t="shared" ca="1" si="26"/>
        <v>Dormant</v>
      </c>
    </row>
    <row r="577" spans="1:23" x14ac:dyDescent="0.2">
      <c r="A577">
        <v>1377</v>
      </c>
      <c r="B577" t="s">
        <v>3963</v>
      </c>
      <c r="C577" t="s">
        <v>3969</v>
      </c>
      <c r="D577" s="1" t="s">
        <v>439</v>
      </c>
      <c r="E577" t="s">
        <v>3965</v>
      </c>
      <c r="F577" t="s">
        <v>910</v>
      </c>
      <c r="G577" s="4" t="s">
        <v>5420</v>
      </c>
      <c r="H577" t="s">
        <v>3966</v>
      </c>
      <c r="I577" t="s">
        <v>112</v>
      </c>
      <c r="J577" s="4" t="s">
        <v>74</v>
      </c>
      <c r="K577" t="s">
        <v>755</v>
      </c>
      <c r="L577">
        <v>2</v>
      </c>
      <c r="M577" t="s">
        <v>132</v>
      </c>
      <c r="N577" t="s">
        <v>139</v>
      </c>
      <c r="O577" t="s">
        <v>138</v>
      </c>
      <c r="P577" s="2" t="str">
        <f t="shared" si="24"/>
        <v>21/04/2025 to 24/04/2025</v>
      </c>
      <c r="Q577" s="3">
        <v>45770</v>
      </c>
      <c r="R577" t="str">
        <f t="shared" si="25"/>
        <v>On-Time</v>
      </c>
      <c r="S577" t="s">
        <v>145</v>
      </c>
      <c r="T577">
        <v>23.5</v>
      </c>
      <c r="U577" t="s">
        <v>65</v>
      </c>
      <c r="V577" t="s">
        <v>66</v>
      </c>
      <c r="W577" t="str">
        <f t="shared" ca="1" si="26"/>
        <v>Dormant</v>
      </c>
    </row>
    <row r="578" spans="1:23" x14ac:dyDescent="0.2">
      <c r="A578">
        <v>1378</v>
      </c>
      <c r="B578" t="s">
        <v>3963</v>
      </c>
      <c r="C578" t="s">
        <v>3970</v>
      </c>
      <c r="D578" s="1" t="s">
        <v>439</v>
      </c>
      <c r="E578" t="s">
        <v>3965</v>
      </c>
      <c r="F578" t="s">
        <v>910</v>
      </c>
      <c r="G578" s="4" t="s">
        <v>5419</v>
      </c>
      <c r="H578" t="s">
        <v>3966</v>
      </c>
      <c r="I578" t="s">
        <v>112</v>
      </c>
      <c r="J578" s="4" t="s">
        <v>60</v>
      </c>
      <c r="K578" t="s">
        <v>3971</v>
      </c>
      <c r="L578">
        <v>4</v>
      </c>
      <c r="M578" t="s">
        <v>132</v>
      </c>
      <c r="N578" t="s">
        <v>138</v>
      </c>
      <c r="O578" t="s">
        <v>139</v>
      </c>
      <c r="P578" s="2" t="str">
        <f t="shared" ref="P578:P641" si="27">IF(ISBLANK(M578), "", TEXT(WORKDAY(M578, 7), "dd/mm/yyyy") &amp; " to " &amp; TEXT(WORKDAY(M578, 10), "dd/mm/yyyy"))</f>
        <v>21/04/2025 to 24/04/2025</v>
      </c>
      <c r="Q578" s="3">
        <v>45769</v>
      </c>
      <c r="R578" t="str">
        <f t="shared" ref="R578:R641" si="28">IF(Q578="","In Progress",
IF(AND(--Q578&gt;=DATEVALUE(LEFT(P578,10)),
       --Q578&lt;=DATEVALUE(TRIM(MID(P578,FIND("to",P578)+3,10)))),
   "On-Time","Late"))</f>
        <v>On-Time</v>
      </c>
      <c r="S578" t="s">
        <v>149</v>
      </c>
      <c r="T578">
        <v>46</v>
      </c>
      <c r="U578" t="s">
        <v>79</v>
      </c>
      <c r="V578" t="s">
        <v>66</v>
      </c>
      <c r="W578" t="str">
        <f t="shared" ca="1" si="26"/>
        <v>Dormant</v>
      </c>
    </row>
    <row r="579" spans="1:23" x14ac:dyDescent="0.2">
      <c r="A579">
        <v>1379</v>
      </c>
      <c r="B579" t="s">
        <v>3963</v>
      </c>
      <c r="C579" t="s">
        <v>3972</v>
      </c>
      <c r="D579" s="1" t="s">
        <v>439</v>
      </c>
      <c r="E579" t="s">
        <v>3965</v>
      </c>
      <c r="F579" t="s">
        <v>910</v>
      </c>
      <c r="G579" s="4" t="s">
        <v>5424</v>
      </c>
      <c r="H579" t="s">
        <v>3966</v>
      </c>
      <c r="I579" t="s">
        <v>112</v>
      </c>
      <c r="J579" s="4" t="s">
        <v>60</v>
      </c>
      <c r="K579" t="s">
        <v>3973</v>
      </c>
      <c r="L579">
        <v>3</v>
      </c>
      <c r="M579" t="s">
        <v>439</v>
      </c>
      <c r="N579" t="s">
        <v>440</v>
      </c>
      <c r="O579" t="s">
        <v>132</v>
      </c>
      <c r="P579" s="2" t="str">
        <f t="shared" si="27"/>
        <v>17/04/2025 to 22/04/2025</v>
      </c>
      <c r="Q579" s="3">
        <v>45764</v>
      </c>
      <c r="R579" t="str">
        <f t="shared" si="28"/>
        <v>On-Time</v>
      </c>
      <c r="S579" t="s">
        <v>708</v>
      </c>
      <c r="T579">
        <v>27.5</v>
      </c>
      <c r="U579" t="s">
        <v>65</v>
      </c>
      <c r="V579" t="s">
        <v>80</v>
      </c>
      <c r="W579" t="str">
        <f t="shared" ref="W579:W642" ca="1" si="29">IF(D579="","",
IF(TODAY()-D579&lt;=120,"Active",
IF(TODAY()-D579&lt;=210,"At Risk",
IF(TODAY()-D579&lt;=395,"Dormant",
IF(TODAY()-D579&lt;=730,"Inactive","Archived")))))</f>
        <v>Dormant</v>
      </c>
    </row>
    <row r="580" spans="1:23" x14ac:dyDescent="0.2">
      <c r="A580">
        <v>1704</v>
      </c>
      <c r="B580" t="s">
        <v>4742</v>
      </c>
      <c r="C580" t="s">
        <v>4743</v>
      </c>
      <c r="D580" s="1" t="s">
        <v>439</v>
      </c>
      <c r="E580" t="s">
        <v>4744</v>
      </c>
      <c r="F580" t="s">
        <v>579</v>
      </c>
      <c r="G580" s="4" t="s">
        <v>38</v>
      </c>
      <c r="H580" t="s">
        <v>2256</v>
      </c>
      <c r="I580" t="s">
        <v>136</v>
      </c>
      <c r="J580" s="4" t="s">
        <v>60</v>
      </c>
      <c r="K580" t="s">
        <v>216</v>
      </c>
      <c r="L580">
        <v>2</v>
      </c>
      <c r="M580" t="s">
        <v>132</v>
      </c>
      <c r="N580" t="s">
        <v>139</v>
      </c>
      <c r="O580" t="s">
        <v>138</v>
      </c>
      <c r="P580" s="2" t="str">
        <f t="shared" si="27"/>
        <v>21/04/2025 to 24/04/2025</v>
      </c>
      <c r="Q580" s="3">
        <v>45767</v>
      </c>
      <c r="R580" t="str">
        <f t="shared" si="28"/>
        <v>Late</v>
      </c>
      <c r="S580" t="s">
        <v>148</v>
      </c>
      <c r="T580">
        <v>19</v>
      </c>
      <c r="U580" t="s">
        <v>79</v>
      </c>
      <c r="V580" t="s">
        <v>80</v>
      </c>
      <c r="W580" t="str">
        <f t="shared" ca="1" si="29"/>
        <v>Dormant</v>
      </c>
    </row>
    <row r="581" spans="1:23" x14ac:dyDescent="0.2">
      <c r="A581">
        <v>758</v>
      </c>
      <c r="B581" t="s">
        <v>2475</v>
      </c>
      <c r="C581" t="s">
        <v>2476</v>
      </c>
      <c r="D581" s="1" t="s">
        <v>440</v>
      </c>
      <c r="E581" t="s">
        <v>2477</v>
      </c>
      <c r="F581" t="s">
        <v>179</v>
      </c>
      <c r="G581" s="4" t="s">
        <v>5424</v>
      </c>
      <c r="H581" t="s">
        <v>1786</v>
      </c>
      <c r="I581" t="s">
        <v>201</v>
      </c>
      <c r="J581" s="4" t="s">
        <v>68</v>
      </c>
      <c r="K581" t="s">
        <v>2257</v>
      </c>
      <c r="L581">
        <v>2</v>
      </c>
      <c r="M581" t="s">
        <v>138</v>
      </c>
      <c r="N581" t="s">
        <v>139</v>
      </c>
      <c r="O581" t="s">
        <v>140</v>
      </c>
      <c r="P581" s="2" t="str">
        <f t="shared" si="27"/>
        <v>22/04/2025 to 25/04/2025</v>
      </c>
      <c r="Q581" s="3">
        <v>45769</v>
      </c>
      <c r="R581" t="str">
        <f t="shared" si="28"/>
        <v>On-Time</v>
      </c>
      <c r="S581" t="s">
        <v>144</v>
      </c>
      <c r="T581">
        <v>23</v>
      </c>
      <c r="U581" t="s">
        <v>79</v>
      </c>
      <c r="V581" t="s">
        <v>66</v>
      </c>
      <c r="W581" t="str">
        <f t="shared" ca="1" si="29"/>
        <v>Dormant</v>
      </c>
    </row>
    <row r="582" spans="1:23" x14ac:dyDescent="0.2">
      <c r="A582">
        <v>845</v>
      </c>
      <c r="B582" t="s">
        <v>2681</v>
      </c>
      <c r="C582" t="s">
        <v>2682</v>
      </c>
      <c r="D582" s="1" t="s">
        <v>440</v>
      </c>
      <c r="E582" t="s">
        <v>2683</v>
      </c>
      <c r="F582" t="s">
        <v>1204</v>
      </c>
      <c r="G582" s="4" t="s">
        <v>5423</v>
      </c>
      <c r="H582" t="s">
        <v>2684</v>
      </c>
      <c r="I582" t="s">
        <v>201</v>
      </c>
      <c r="J582" s="4" t="s">
        <v>68</v>
      </c>
      <c r="K582" t="s">
        <v>2685</v>
      </c>
      <c r="L582">
        <v>2</v>
      </c>
      <c r="M582" t="s">
        <v>132</v>
      </c>
      <c r="N582" t="s">
        <v>139</v>
      </c>
      <c r="O582" t="s">
        <v>132</v>
      </c>
      <c r="P582" s="2" t="str">
        <f t="shared" si="27"/>
        <v>21/04/2025 to 24/04/2025</v>
      </c>
      <c r="Q582" s="3">
        <v>45768</v>
      </c>
      <c r="R582" t="str">
        <f t="shared" si="28"/>
        <v>On-Time</v>
      </c>
      <c r="S582" t="s">
        <v>149</v>
      </c>
      <c r="T582">
        <v>15.5</v>
      </c>
      <c r="U582" t="s">
        <v>79</v>
      </c>
      <c r="V582" t="s">
        <v>66</v>
      </c>
      <c r="W582" t="str">
        <f t="shared" ca="1" si="29"/>
        <v>Dormant</v>
      </c>
    </row>
    <row r="583" spans="1:23" x14ac:dyDescent="0.2">
      <c r="A583">
        <v>962</v>
      </c>
      <c r="B583" t="s">
        <v>2972</v>
      </c>
      <c r="C583" t="s">
        <v>2973</v>
      </c>
      <c r="D583" s="1" t="s">
        <v>440</v>
      </c>
      <c r="E583" t="s">
        <v>2974</v>
      </c>
      <c r="F583" t="s">
        <v>995</v>
      </c>
      <c r="G583" s="4" t="s">
        <v>5420</v>
      </c>
      <c r="H583" t="s">
        <v>2975</v>
      </c>
      <c r="I583" t="s">
        <v>112</v>
      </c>
      <c r="J583" s="4" t="s">
        <v>68</v>
      </c>
      <c r="K583" t="s">
        <v>2976</v>
      </c>
      <c r="L583">
        <v>4</v>
      </c>
      <c r="M583" t="s">
        <v>138</v>
      </c>
      <c r="N583" t="s">
        <v>139</v>
      </c>
      <c r="O583" t="s">
        <v>140</v>
      </c>
      <c r="P583" s="2" t="str">
        <f t="shared" si="27"/>
        <v>22/04/2025 to 25/04/2025</v>
      </c>
      <c r="Q583" s="3">
        <v>45767</v>
      </c>
      <c r="R583" t="str">
        <f t="shared" si="28"/>
        <v>Late</v>
      </c>
      <c r="S583" t="s">
        <v>154</v>
      </c>
      <c r="T583">
        <v>37.5</v>
      </c>
      <c r="U583" t="s">
        <v>65</v>
      </c>
      <c r="V583" t="s">
        <v>80</v>
      </c>
      <c r="W583" t="str">
        <f t="shared" ca="1" si="29"/>
        <v>Dormant</v>
      </c>
    </row>
    <row r="584" spans="1:23" x14ac:dyDescent="0.2">
      <c r="A584">
        <v>963</v>
      </c>
      <c r="B584" t="s">
        <v>2972</v>
      </c>
      <c r="C584" t="s">
        <v>2977</v>
      </c>
      <c r="D584" s="1" t="s">
        <v>440</v>
      </c>
      <c r="E584" t="s">
        <v>2974</v>
      </c>
      <c r="F584" t="s">
        <v>995</v>
      </c>
      <c r="G584" s="4" t="s">
        <v>5428</v>
      </c>
      <c r="H584" t="s">
        <v>2975</v>
      </c>
      <c r="I584" t="s">
        <v>112</v>
      </c>
      <c r="J584" s="4" t="s">
        <v>5417</v>
      </c>
      <c r="K584" t="s">
        <v>2978</v>
      </c>
      <c r="L584">
        <v>3</v>
      </c>
      <c r="M584" t="s">
        <v>132</v>
      </c>
      <c r="N584" t="s">
        <v>138</v>
      </c>
      <c r="O584" t="s">
        <v>138</v>
      </c>
      <c r="P584" s="2" t="str">
        <f t="shared" si="27"/>
        <v>21/04/2025 to 24/04/2025</v>
      </c>
      <c r="Q584" s="3">
        <v>45770</v>
      </c>
      <c r="R584" t="str">
        <f t="shared" si="28"/>
        <v>On-Time</v>
      </c>
      <c r="S584" t="s">
        <v>289</v>
      </c>
      <c r="T584">
        <v>24.5</v>
      </c>
      <c r="U584" t="s">
        <v>65</v>
      </c>
      <c r="V584" t="s">
        <v>80</v>
      </c>
      <c r="W584" t="str">
        <f t="shared" ca="1" si="29"/>
        <v>Dormant</v>
      </c>
    </row>
    <row r="585" spans="1:23" x14ac:dyDescent="0.2">
      <c r="A585">
        <v>964</v>
      </c>
      <c r="B585" t="s">
        <v>2972</v>
      </c>
      <c r="C585" t="s">
        <v>2979</v>
      </c>
      <c r="D585" s="1" t="s">
        <v>440</v>
      </c>
      <c r="E585" t="s">
        <v>2974</v>
      </c>
      <c r="F585" t="s">
        <v>995</v>
      </c>
      <c r="G585" s="4" t="s">
        <v>38</v>
      </c>
      <c r="H585" t="s">
        <v>2975</v>
      </c>
      <c r="I585" t="s">
        <v>112</v>
      </c>
      <c r="J585" s="4" t="s">
        <v>68</v>
      </c>
      <c r="K585" t="s">
        <v>6</v>
      </c>
      <c r="L585">
        <v>1</v>
      </c>
      <c r="M585" t="s">
        <v>138</v>
      </c>
      <c r="N585" t="s">
        <v>138</v>
      </c>
      <c r="O585" t="s">
        <v>138</v>
      </c>
      <c r="P585" s="2" t="str">
        <f t="shared" si="27"/>
        <v>22/04/2025 to 25/04/2025</v>
      </c>
      <c r="Q585" s="3">
        <v>45765</v>
      </c>
      <c r="R585" t="str">
        <f t="shared" si="28"/>
        <v>Late</v>
      </c>
      <c r="S585" t="s">
        <v>148</v>
      </c>
      <c r="T585">
        <v>7.5</v>
      </c>
      <c r="U585" t="s">
        <v>65</v>
      </c>
      <c r="V585" t="s">
        <v>72</v>
      </c>
      <c r="W585" t="str">
        <f t="shared" ca="1" si="29"/>
        <v>Dormant</v>
      </c>
    </row>
    <row r="586" spans="1:23" x14ac:dyDescent="0.2">
      <c r="A586">
        <v>12</v>
      </c>
      <c r="B586" t="s">
        <v>130</v>
      </c>
      <c r="C586" t="s">
        <v>131</v>
      </c>
      <c r="D586" s="1" t="s">
        <v>132</v>
      </c>
      <c r="E586" t="s">
        <v>133</v>
      </c>
      <c r="F586" t="s">
        <v>134</v>
      </c>
      <c r="G586" s="4" t="s">
        <v>38</v>
      </c>
      <c r="H586" t="s">
        <v>135</v>
      </c>
      <c r="I586" t="s">
        <v>136</v>
      </c>
      <c r="J586" s="4" t="s">
        <v>74</v>
      </c>
      <c r="K586" t="s">
        <v>137</v>
      </c>
      <c r="L586">
        <v>3</v>
      </c>
      <c r="M586" t="s">
        <v>138</v>
      </c>
      <c r="N586" t="s">
        <v>139</v>
      </c>
      <c r="O586" t="s">
        <v>140</v>
      </c>
      <c r="P586" s="2" t="str">
        <f t="shared" si="27"/>
        <v>22/04/2025 to 25/04/2025</v>
      </c>
      <c r="Q586" s="3">
        <v>45773</v>
      </c>
      <c r="R586" t="str">
        <f t="shared" si="28"/>
        <v>Late</v>
      </c>
      <c r="S586" t="s">
        <v>142</v>
      </c>
      <c r="T586">
        <v>30</v>
      </c>
      <c r="U586" t="s">
        <v>79</v>
      </c>
      <c r="V586" t="s">
        <v>72</v>
      </c>
      <c r="W586" t="str">
        <f t="shared" ca="1" si="29"/>
        <v>Dormant</v>
      </c>
    </row>
    <row r="587" spans="1:23" x14ac:dyDescent="0.2">
      <c r="A587">
        <v>13</v>
      </c>
      <c r="B587" t="s">
        <v>130</v>
      </c>
      <c r="C587" t="s">
        <v>143</v>
      </c>
      <c r="D587" s="1" t="s">
        <v>132</v>
      </c>
      <c r="E587" t="s">
        <v>133</v>
      </c>
      <c r="F587" t="s">
        <v>134</v>
      </c>
      <c r="G587" s="4" t="s">
        <v>5418</v>
      </c>
      <c r="H587" t="s">
        <v>135</v>
      </c>
      <c r="I587" t="s">
        <v>136</v>
      </c>
      <c r="J587" s="4" t="s">
        <v>74</v>
      </c>
      <c r="K587" t="s">
        <v>8</v>
      </c>
      <c r="L587">
        <v>1</v>
      </c>
      <c r="M587" t="s">
        <v>132</v>
      </c>
      <c r="N587" t="s">
        <v>139</v>
      </c>
      <c r="O587" t="s">
        <v>132</v>
      </c>
      <c r="P587" s="2" t="str">
        <f t="shared" si="27"/>
        <v>21/04/2025 to 24/04/2025</v>
      </c>
      <c r="Q587" s="3">
        <v>45770</v>
      </c>
      <c r="R587" t="str">
        <f t="shared" si="28"/>
        <v>On-Time</v>
      </c>
      <c r="S587" t="s">
        <v>145</v>
      </c>
      <c r="T587">
        <v>9</v>
      </c>
      <c r="U587" t="s">
        <v>79</v>
      </c>
      <c r="V587" t="s">
        <v>66</v>
      </c>
      <c r="W587" t="str">
        <f t="shared" ca="1" si="29"/>
        <v>Dormant</v>
      </c>
    </row>
    <row r="588" spans="1:23" x14ac:dyDescent="0.2">
      <c r="A588">
        <v>14</v>
      </c>
      <c r="B588" t="s">
        <v>130</v>
      </c>
      <c r="C588" t="s">
        <v>146</v>
      </c>
      <c r="D588" s="1" t="s">
        <v>132</v>
      </c>
      <c r="E588" t="s">
        <v>133</v>
      </c>
      <c r="F588" t="s">
        <v>134</v>
      </c>
      <c r="G588" s="4" t="s">
        <v>5425</v>
      </c>
      <c r="H588" t="s">
        <v>135</v>
      </c>
      <c r="I588" t="s">
        <v>136</v>
      </c>
      <c r="J588" s="4" t="s">
        <v>5417</v>
      </c>
      <c r="K588" t="s">
        <v>147</v>
      </c>
      <c r="L588">
        <v>4</v>
      </c>
      <c r="M588" t="s">
        <v>138</v>
      </c>
      <c r="N588" t="s">
        <v>139</v>
      </c>
      <c r="O588" t="s">
        <v>138</v>
      </c>
      <c r="P588" s="2" t="str">
        <f t="shared" si="27"/>
        <v>22/04/2025 to 25/04/2025</v>
      </c>
      <c r="Q588" s="3">
        <v>45767</v>
      </c>
      <c r="R588" t="str">
        <f t="shared" si="28"/>
        <v>Late</v>
      </c>
      <c r="S588" t="s">
        <v>149</v>
      </c>
      <c r="T588">
        <v>34</v>
      </c>
      <c r="U588" t="s">
        <v>65</v>
      </c>
      <c r="V588" t="s">
        <v>66</v>
      </c>
      <c r="W588" t="str">
        <f t="shared" ca="1" si="29"/>
        <v>Dormant</v>
      </c>
    </row>
    <row r="589" spans="1:23" x14ac:dyDescent="0.2">
      <c r="A589">
        <v>15</v>
      </c>
      <c r="B589" t="s">
        <v>130</v>
      </c>
      <c r="C589" t="s">
        <v>150</v>
      </c>
      <c r="D589" s="1" t="s">
        <v>132</v>
      </c>
      <c r="E589" t="s">
        <v>133</v>
      </c>
      <c r="F589" t="s">
        <v>134</v>
      </c>
      <c r="G589" s="4" t="s">
        <v>38</v>
      </c>
      <c r="H589" t="s">
        <v>135</v>
      </c>
      <c r="I589" t="s">
        <v>136</v>
      </c>
      <c r="J589" s="4" t="s">
        <v>60</v>
      </c>
      <c r="K589" t="s">
        <v>8</v>
      </c>
      <c r="L589">
        <v>1</v>
      </c>
      <c r="M589" t="s">
        <v>138</v>
      </c>
      <c r="N589" t="s">
        <v>138</v>
      </c>
      <c r="O589" t="s">
        <v>138</v>
      </c>
      <c r="P589" s="2" t="str">
        <f t="shared" si="27"/>
        <v>22/04/2025 to 25/04/2025</v>
      </c>
      <c r="Q589" s="3">
        <v>45770</v>
      </c>
      <c r="R589" t="str">
        <f t="shared" si="28"/>
        <v>On-Time</v>
      </c>
      <c r="S589" t="s">
        <v>145</v>
      </c>
      <c r="T589">
        <v>9</v>
      </c>
      <c r="U589" t="s">
        <v>65</v>
      </c>
      <c r="V589" t="s">
        <v>66</v>
      </c>
      <c r="W589" t="str">
        <f t="shared" ca="1" si="29"/>
        <v>Dormant</v>
      </c>
    </row>
    <row r="590" spans="1:23" x14ac:dyDescent="0.2">
      <c r="A590">
        <v>16</v>
      </c>
      <c r="B590" t="s">
        <v>130</v>
      </c>
      <c r="C590" t="s">
        <v>151</v>
      </c>
      <c r="D590" s="1" t="s">
        <v>132</v>
      </c>
      <c r="E590" t="s">
        <v>133</v>
      </c>
      <c r="F590" t="s">
        <v>134</v>
      </c>
      <c r="G590" s="4" t="s">
        <v>5428</v>
      </c>
      <c r="H590" t="s">
        <v>135</v>
      </c>
      <c r="I590" t="s">
        <v>136</v>
      </c>
      <c r="J590" s="4" t="s">
        <v>5417</v>
      </c>
      <c r="K590" t="s">
        <v>152</v>
      </c>
      <c r="L590">
        <v>4</v>
      </c>
      <c r="M590" t="s">
        <v>139</v>
      </c>
      <c r="N590" t="s">
        <v>153</v>
      </c>
      <c r="O590" t="s">
        <v>153</v>
      </c>
      <c r="P590" s="2" t="str">
        <f t="shared" si="27"/>
        <v>22/04/2025 to 25/04/2025</v>
      </c>
      <c r="Q590" s="3">
        <v>45768</v>
      </c>
      <c r="R590" t="str">
        <f t="shared" si="28"/>
        <v>Late</v>
      </c>
      <c r="S590" t="s">
        <v>144</v>
      </c>
      <c r="T590">
        <v>35.5</v>
      </c>
      <c r="U590" t="s">
        <v>79</v>
      </c>
      <c r="V590" t="s">
        <v>72</v>
      </c>
      <c r="W590" t="str">
        <f t="shared" ca="1" si="29"/>
        <v>Dormant</v>
      </c>
    </row>
    <row r="591" spans="1:23" x14ac:dyDescent="0.2">
      <c r="A591">
        <v>222</v>
      </c>
      <c r="B591" t="s">
        <v>1019</v>
      </c>
      <c r="C591" t="s">
        <v>1020</v>
      </c>
      <c r="D591" s="1" t="s">
        <v>132</v>
      </c>
      <c r="E591" t="s">
        <v>1021</v>
      </c>
      <c r="F591" t="s">
        <v>741</v>
      </c>
      <c r="G591" s="4" t="s">
        <v>5418</v>
      </c>
      <c r="H591" t="s">
        <v>1022</v>
      </c>
      <c r="I591" t="s">
        <v>112</v>
      </c>
      <c r="J591" s="4" t="s">
        <v>68</v>
      </c>
      <c r="K591" t="s">
        <v>548</v>
      </c>
      <c r="L591">
        <v>2</v>
      </c>
      <c r="M591" t="s">
        <v>132</v>
      </c>
      <c r="N591" t="s">
        <v>139</v>
      </c>
      <c r="O591" t="s">
        <v>139</v>
      </c>
      <c r="P591" s="2" t="str">
        <f t="shared" si="27"/>
        <v>21/04/2025 to 24/04/2025</v>
      </c>
      <c r="Q591" s="3">
        <v>45767</v>
      </c>
      <c r="R591" t="str">
        <f t="shared" si="28"/>
        <v>Late</v>
      </c>
      <c r="S591" t="s">
        <v>148</v>
      </c>
      <c r="T591">
        <v>16.5</v>
      </c>
      <c r="U591" t="s">
        <v>65</v>
      </c>
      <c r="V591" t="s">
        <v>80</v>
      </c>
      <c r="W591" t="str">
        <f t="shared" ca="1" si="29"/>
        <v>Dormant</v>
      </c>
    </row>
    <row r="592" spans="1:23" x14ac:dyDescent="0.2">
      <c r="A592">
        <v>223</v>
      </c>
      <c r="B592" t="s">
        <v>1019</v>
      </c>
      <c r="C592" t="s">
        <v>1023</v>
      </c>
      <c r="D592" s="1" t="s">
        <v>132</v>
      </c>
      <c r="E592" t="s">
        <v>1021</v>
      </c>
      <c r="F592" t="s">
        <v>741</v>
      </c>
      <c r="G592" s="4" t="s">
        <v>38</v>
      </c>
      <c r="H592" t="s">
        <v>1022</v>
      </c>
      <c r="I592" t="s">
        <v>112</v>
      </c>
      <c r="J592" s="4" t="s">
        <v>68</v>
      </c>
      <c r="K592" t="s">
        <v>1024</v>
      </c>
      <c r="L592">
        <v>2</v>
      </c>
      <c r="M592" t="s">
        <v>132</v>
      </c>
      <c r="N592" t="s">
        <v>138</v>
      </c>
      <c r="O592" t="s">
        <v>139</v>
      </c>
      <c r="P592" s="2" t="str">
        <f t="shared" si="27"/>
        <v>21/04/2025 to 24/04/2025</v>
      </c>
      <c r="Q592" s="3">
        <v>45769</v>
      </c>
      <c r="R592" t="str">
        <f t="shared" si="28"/>
        <v>On-Time</v>
      </c>
      <c r="S592" t="s">
        <v>149</v>
      </c>
      <c r="T592">
        <v>17</v>
      </c>
      <c r="U592" t="s">
        <v>65</v>
      </c>
      <c r="V592" t="s">
        <v>72</v>
      </c>
      <c r="W592" t="str">
        <f t="shared" ca="1" si="29"/>
        <v>Dormant</v>
      </c>
    </row>
    <row r="593" spans="1:23" x14ac:dyDescent="0.2">
      <c r="A593">
        <v>1045</v>
      </c>
      <c r="B593" t="s">
        <v>3171</v>
      </c>
      <c r="C593" t="s">
        <v>3172</v>
      </c>
      <c r="D593" s="1" t="s">
        <v>132</v>
      </c>
      <c r="E593" t="s">
        <v>3173</v>
      </c>
      <c r="F593" t="s">
        <v>490</v>
      </c>
      <c r="G593" s="4" t="s">
        <v>5428</v>
      </c>
      <c r="H593" t="s">
        <v>1800</v>
      </c>
      <c r="I593" t="s">
        <v>59</v>
      </c>
      <c r="J593" s="4" t="s">
        <v>74</v>
      </c>
      <c r="K593" t="s">
        <v>22</v>
      </c>
      <c r="L593">
        <v>1</v>
      </c>
      <c r="M593" t="s">
        <v>132</v>
      </c>
      <c r="N593" t="s">
        <v>138</v>
      </c>
      <c r="O593" t="s">
        <v>132</v>
      </c>
      <c r="P593" s="2" t="str">
        <f t="shared" si="27"/>
        <v>21/04/2025 to 24/04/2025</v>
      </c>
      <c r="Q593" s="3">
        <v>45769</v>
      </c>
      <c r="R593" t="str">
        <f t="shared" si="28"/>
        <v>On-Time</v>
      </c>
      <c r="S593" t="s">
        <v>145</v>
      </c>
      <c r="T593">
        <v>8</v>
      </c>
      <c r="U593" t="s">
        <v>65</v>
      </c>
      <c r="V593" t="s">
        <v>72</v>
      </c>
      <c r="W593" t="str">
        <f t="shared" ca="1" si="29"/>
        <v>Dormant</v>
      </c>
    </row>
    <row r="594" spans="1:23" x14ac:dyDescent="0.2">
      <c r="A594">
        <v>1046</v>
      </c>
      <c r="B594" t="s">
        <v>3171</v>
      </c>
      <c r="C594" t="s">
        <v>3174</v>
      </c>
      <c r="D594" s="1" t="s">
        <v>132</v>
      </c>
      <c r="E594" t="s">
        <v>3173</v>
      </c>
      <c r="F594" t="s">
        <v>490</v>
      </c>
      <c r="G594" s="4" t="s">
        <v>5427</v>
      </c>
      <c r="H594" t="s">
        <v>1800</v>
      </c>
      <c r="I594" t="s">
        <v>59</v>
      </c>
      <c r="J594" s="4" t="s">
        <v>74</v>
      </c>
      <c r="K594" t="s">
        <v>20</v>
      </c>
      <c r="L594">
        <v>1</v>
      </c>
      <c r="M594" t="s">
        <v>139</v>
      </c>
      <c r="N594" t="s">
        <v>153</v>
      </c>
      <c r="O594" t="s">
        <v>140</v>
      </c>
      <c r="P594" s="2" t="str">
        <f t="shared" si="27"/>
        <v>22/04/2025 to 25/04/2025</v>
      </c>
      <c r="Q594" s="3">
        <v>45769</v>
      </c>
      <c r="R594" t="str">
        <f t="shared" si="28"/>
        <v>On-Time</v>
      </c>
      <c r="S594" t="s">
        <v>145</v>
      </c>
      <c r="T594">
        <v>10.5</v>
      </c>
      <c r="U594" t="s">
        <v>79</v>
      </c>
      <c r="V594" t="s">
        <v>66</v>
      </c>
      <c r="W594" t="str">
        <f t="shared" ca="1" si="29"/>
        <v>Dormant</v>
      </c>
    </row>
    <row r="595" spans="1:23" x14ac:dyDescent="0.2">
      <c r="A595">
        <v>1047</v>
      </c>
      <c r="B595" t="s">
        <v>3171</v>
      </c>
      <c r="C595" t="s">
        <v>3175</v>
      </c>
      <c r="D595" s="1" t="s">
        <v>132</v>
      </c>
      <c r="E595" t="s">
        <v>3173</v>
      </c>
      <c r="F595" t="s">
        <v>490</v>
      </c>
      <c r="G595" s="4" t="s">
        <v>5419</v>
      </c>
      <c r="H595" t="s">
        <v>1800</v>
      </c>
      <c r="I595" t="s">
        <v>59</v>
      </c>
      <c r="J595" s="4" t="s">
        <v>74</v>
      </c>
      <c r="K595" t="s">
        <v>3176</v>
      </c>
      <c r="L595">
        <v>3</v>
      </c>
      <c r="M595" t="s">
        <v>138</v>
      </c>
      <c r="N595" t="s">
        <v>140</v>
      </c>
      <c r="O595" t="s">
        <v>140</v>
      </c>
      <c r="P595" s="2" t="str">
        <f t="shared" si="27"/>
        <v>22/04/2025 to 25/04/2025</v>
      </c>
      <c r="Q595" s="3">
        <v>45767</v>
      </c>
      <c r="R595" t="str">
        <f t="shared" si="28"/>
        <v>Late</v>
      </c>
      <c r="S595" t="s">
        <v>148</v>
      </c>
      <c r="T595">
        <v>25.5</v>
      </c>
      <c r="U595" t="s">
        <v>65</v>
      </c>
      <c r="V595" t="s">
        <v>72</v>
      </c>
      <c r="W595" t="str">
        <f t="shared" ca="1" si="29"/>
        <v>Dormant</v>
      </c>
    </row>
    <row r="596" spans="1:23" x14ac:dyDescent="0.2">
      <c r="A596">
        <v>1425</v>
      </c>
      <c r="B596" t="s">
        <v>4082</v>
      </c>
      <c r="C596" t="s">
        <v>4083</v>
      </c>
      <c r="D596" s="1" t="s">
        <v>138</v>
      </c>
      <c r="E596" t="s">
        <v>4084</v>
      </c>
      <c r="F596" t="s">
        <v>110</v>
      </c>
      <c r="G596" s="4" t="s">
        <v>38</v>
      </c>
      <c r="H596" t="s">
        <v>4085</v>
      </c>
      <c r="I596" t="s">
        <v>112</v>
      </c>
      <c r="J596" s="4" t="s">
        <v>60</v>
      </c>
      <c r="K596" t="s">
        <v>4086</v>
      </c>
      <c r="L596">
        <v>2</v>
      </c>
      <c r="M596" t="s">
        <v>139</v>
      </c>
      <c r="N596" t="s">
        <v>139</v>
      </c>
      <c r="O596" t="s">
        <v>139</v>
      </c>
      <c r="P596" s="2" t="str">
        <f t="shared" si="27"/>
        <v>22/04/2025 to 25/04/2025</v>
      </c>
      <c r="Q596" s="3">
        <v>45766</v>
      </c>
      <c r="R596" t="str">
        <f t="shared" si="28"/>
        <v>Late</v>
      </c>
      <c r="S596" t="s">
        <v>154</v>
      </c>
      <c r="T596">
        <v>21.5</v>
      </c>
      <c r="U596" t="s">
        <v>79</v>
      </c>
      <c r="V596" t="s">
        <v>80</v>
      </c>
      <c r="W596" t="str">
        <f t="shared" ca="1" si="29"/>
        <v>Dormant</v>
      </c>
    </row>
    <row r="597" spans="1:23" x14ac:dyDescent="0.2">
      <c r="A597">
        <v>1426</v>
      </c>
      <c r="B597" t="s">
        <v>4082</v>
      </c>
      <c r="C597" t="s">
        <v>4087</v>
      </c>
      <c r="D597" s="1" t="s">
        <v>138</v>
      </c>
      <c r="E597" t="s">
        <v>4084</v>
      </c>
      <c r="F597" t="s">
        <v>110</v>
      </c>
      <c r="G597" s="4" t="s">
        <v>5419</v>
      </c>
      <c r="H597" t="s">
        <v>4085</v>
      </c>
      <c r="I597" t="s">
        <v>112</v>
      </c>
      <c r="J597" s="4" t="s">
        <v>5417</v>
      </c>
      <c r="K597" t="s">
        <v>4088</v>
      </c>
      <c r="L597">
        <v>2</v>
      </c>
      <c r="M597" t="s">
        <v>139</v>
      </c>
      <c r="N597" t="s">
        <v>153</v>
      </c>
      <c r="O597" t="s">
        <v>139</v>
      </c>
      <c r="P597" s="2" t="str">
        <f t="shared" si="27"/>
        <v>22/04/2025 to 25/04/2025</v>
      </c>
      <c r="Q597" s="3">
        <v>45766</v>
      </c>
      <c r="R597" t="str">
        <f t="shared" si="28"/>
        <v>Late</v>
      </c>
      <c r="S597" t="s">
        <v>154</v>
      </c>
      <c r="T597">
        <v>17</v>
      </c>
      <c r="U597" t="s">
        <v>79</v>
      </c>
      <c r="V597" t="s">
        <v>66</v>
      </c>
      <c r="W597" t="str">
        <f t="shared" ca="1" si="29"/>
        <v>Dormant</v>
      </c>
    </row>
    <row r="598" spans="1:23" x14ac:dyDescent="0.2">
      <c r="A598">
        <v>1427</v>
      </c>
      <c r="B598" t="s">
        <v>4082</v>
      </c>
      <c r="C598" t="s">
        <v>4089</v>
      </c>
      <c r="D598" s="1" t="s">
        <v>138</v>
      </c>
      <c r="E598" t="s">
        <v>4084</v>
      </c>
      <c r="F598" t="s">
        <v>110</v>
      </c>
      <c r="G598" s="4" t="s">
        <v>5420</v>
      </c>
      <c r="H598" t="s">
        <v>4085</v>
      </c>
      <c r="I598" t="s">
        <v>112</v>
      </c>
      <c r="J598" s="4" t="s">
        <v>74</v>
      </c>
      <c r="K598" t="s">
        <v>1950</v>
      </c>
      <c r="L598">
        <v>4</v>
      </c>
      <c r="M598" t="s">
        <v>140</v>
      </c>
      <c r="N598" t="s">
        <v>140</v>
      </c>
      <c r="O598" t="s">
        <v>140</v>
      </c>
      <c r="P598" s="2" t="str">
        <f t="shared" si="27"/>
        <v>22/04/2025 to 25/04/2025</v>
      </c>
      <c r="Q598" s="3">
        <v>45768</v>
      </c>
      <c r="R598" t="str">
        <f t="shared" si="28"/>
        <v>Late</v>
      </c>
      <c r="S598" t="s">
        <v>149</v>
      </c>
      <c r="T598">
        <v>41</v>
      </c>
      <c r="U598" t="s">
        <v>65</v>
      </c>
      <c r="V598" t="s">
        <v>80</v>
      </c>
      <c r="W598" t="str">
        <f t="shared" ca="1" si="29"/>
        <v>Dormant</v>
      </c>
    </row>
    <row r="599" spans="1:23" x14ac:dyDescent="0.2">
      <c r="A599">
        <v>1428</v>
      </c>
      <c r="B599" t="s">
        <v>4082</v>
      </c>
      <c r="C599" t="s">
        <v>4090</v>
      </c>
      <c r="D599" s="1" t="s">
        <v>138</v>
      </c>
      <c r="E599" t="s">
        <v>4084</v>
      </c>
      <c r="F599" t="s">
        <v>110</v>
      </c>
      <c r="G599" s="4" t="s">
        <v>5422</v>
      </c>
      <c r="H599" t="s">
        <v>4085</v>
      </c>
      <c r="I599" t="s">
        <v>112</v>
      </c>
      <c r="J599" s="4" t="s">
        <v>68</v>
      </c>
      <c r="K599" t="s">
        <v>4091</v>
      </c>
      <c r="L599">
        <v>4</v>
      </c>
      <c r="M599" t="s">
        <v>139</v>
      </c>
      <c r="N599" t="s">
        <v>139</v>
      </c>
      <c r="O599" t="s">
        <v>140</v>
      </c>
      <c r="P599" s="2" t="str">
        <f t="shared" si="27"/>
        <v>22/04/2025 to 25/04/2025</v>
      </c>
      <c r="Q599" s="3">
        <v>45767</v>
      </c>
      <c r="R599" t="str">
        <f t="shared" si="28"/>
        <v>Late</v>
      </c>
      <c r="S599" t="s">
        <v>154</v>
      </c>
      <c r="T599">
        <v>37</v>
      </c>
      <c r="U599" t="s">
        <v>65</v>
      </c>
      <c r="V599" t="s">
        <v>66</v>
      </c>
      <c r="W599" t="str">
        <f t="shared" ca="1" si="29"/>
        <v>Dormant</v>
      </c>
    </row>
    <row r="600" spans="1:23" x14ac:dyDescent="0.2">
      <c r="A600">
        <v>1429</v>
      </c>
      <c r="B600" t="s">
        <v>4082</v>
      </c>
      <c r="C600" t="s">
        <v>4092</v>
      </c>
      <c r="D600" s="1" t="s">
        <v>138</v>
      </c>
      <c r="E600" t="s">
        <v>4084</v>
      </c>
      <c r="F600" t="s">
        <v>110</v>
      </c>
      <c r="G600" s="4" t="s">
        <v>5420</v>
      </c>
      <c r="H600" t="s">
        <v>4085</v>
      </c>
      <c r="I600" t="s">
        <v>112</v>
      </c>
      <c r="J600" s="4" t="s">
        <v>74</v>
      </c>
      <c r="K600" t="s">
        <v>4093</v>
      </c>
      <c r="L600">
        <v>3</v>
      </c>
      <c r="M600" t="s">
        <v>138</v>
      </c>
      <c r="N600" t="s">
        <v>138</v>
      </c>
      <c r="O600" t="s">
        <v>139</v>
      </c>
      <c r="P600" s="2" t="str">
        <f t="shared" si="27"/>
        <v>22/04/2025 to 25/04/2025</v>
      </c>
      <c r="Q600" s="3">
        <v>45771</v>
      </c>
      <c r="R600" t="str">
        <f t="shared" si="28"/>
        <v>On-Time</v>
      </c>
      <c r="S600" t="s">
        <v>141</v>
      </c>
      <c r="T600">
        <v>26.5</v>
      </c>
      <c r="U600" t="s">
        <v>65</v>
      </c>
      <c r="V600" t="s">
        <v>66</v>
      </c>
      <c r="W600" t="str">
        <f t="shared" ca="1" si="29"/>
        <v>Dormant</v>
      </c>
    </row>
    <row r="601" spans="1:23" x14ac:dyDescent="0.2">
      <c r="A601">
        <v>1009</v>
      </c>
      <c r="B601" t="s">
        <v>3085</v>
      </c>
      <c r="C601" t="s">
        <v>3086</v>
      </c>
      <c r="D601" s="1" t="s">
        <v>139</v>
      </c>
      <c r="E601" t="s">
        <v>3087</v>
      </c>
      <c r="F601" t="s">
        <v>1756</v>
      </c>
      <c r="G601" s="4" t="s">
        <v>5420</v>
      </c>
      <c r="H601" t="s">
        <v>1859</v>
      </c>
      <c r="I601" t="s">
        <v>112</v>
      </c>
      <c r="J601" s="4" t="s">
        <v>74</v>
      </c>
      <c r="K601" t="s">
        <v>3088</v>
      </c>
      <c r="L601">
        <v>4</v>
      </c>
      <c r="M601" t="s">
        <v>140</v>
      </c>
      <c r="N601" t="s">
        <v>326</v>
      </c>
      <c r="O601" t="s">
        <v>326</v>
      </c>
      <c r="P601" s="2" t="str">
        <f t="shared" si="27"/>
        <v>22/04/2025 to 25/04/2025</v>
      </c>
      <c r="Q601" s="3">
        <v>45773</v>
      </c>
      <c r="R601" t="str">
        <f t="shared" si="28"/>
        <v>Late</v>
      </c>
      <c r="S601" t="s">
        <v>142</v>
      </c>
      <c r="T601">
        <v>40.5</v>
      </c>
      <c r="U601" t="s">
        <v>79</v>
      </c>
      <c r="V601" t="s">
        <v>72</v>
      </c>
      <c r="W601" t="str">
        <f t="shared" ca="1" si="29"/>
        <v>Dormant</v>
      </c>
    </row>
    <row r="602" spans="1:23" x14ac:dyDescent="0.2">
      <c r="A602">
        <v>1010</v>
      </c>
      <c r="B602" t="s">
        <v>3085</v>
      </c>
      <c r="C602" t="s">
        <v>3089</v>
      </c>
      <c r="D602" s="1" t="s">
        <v>139</v>
      </c>
      <c r="E602" t="s">
        <v>3087</v>
      </c>
      <c r="F602" t="s">
        <v>1756</v>
      </c>
      <c r="G602" s="4" t="s">
        <v>5422</v>
      </c>
      <c r="H602" t="s">
        <v>1859</v>
      </c>
      <c r="I602" t="s">
        <v>112</v>
      </c>
      <c r="J602" s="4" t="s">
        <v>60</v>
      </c>
      <c r="K602" t="s">
        <v>3090</v>
      </c>
      <c r="L602">
        <v>4</v>
      </c>
      <c r="M602" t="s">
        <v>140</v>
      </c>
      <c r="N602" t="s">
        <v>326</v>
      </c>
      <c r="O602" t="s">
        <v>153</v>
      </c>
      <c r="P602" s="2" t="str">
        <f t="shared" si="27"/>
        <v>22/04/2025 to 25/04/2025</v>
      </c>
      <c r="Q602" s="3">
        <v>45768</v>
      </c>
      <c r="R602" t="str">
        <f t="shared" si="28"/>
        <v>Late</v>
      </c>
      <c r="S602" t="s">
        <v>144</v>
      </c>
      <c r="T602">
        <v>37</v>
      </c>
      <c r="U602" t="s">
        <v>65</v>
      </c>
      <c r="V602" t="s">
        <v>80</v>
      </c>
      <c r="W602" t="str">
        <f t="shared" ca="1" si="29"/>
        <v>Dormant</v>
      </c>
    </row>
    <row r="603" spans="1:23" x14ac:dyDescent="0.2">
      <c r="A603">
        <v>1011</v>
      </c>
      <c r="B603" t="s">
        <v>3085</v>
      </c>
      <c r="C603" t="s">
        <v>3091</v>
      </c>
      <c r="D603" s="1" t="s">
        <v>139</v>
      </c>
      <c r="E603" t="s">
        <v>3087</v>
      </c>
      <c r="F603" t="s">
        <v>1756</v>
      </c>
      <c r="G603" s="4" t="s">
        <v>5423</v>
      </c>
      <c r="H603" t="s">
        <v>1859</v>
      </c>
      <c r="I603" t="s">
        <v>112</v>
      </c>
      <c r="J603" s="4" t="s">
        <v>74</v>
      </c>
      <c r="K603" t="s">
        <v>3092</v>
      </c>
      <c r="L603">
        <v>4</v>
      </c>
      <c r="M603" t="s">
        <v>140</v>
      </c>
      <c r="N603" t="s">
        <v>140</v>
      </c>
      <c r="O603" t="s">
        <v>326</v>
      </c>
      <c r="P603" s="2" t="str">
        <f t="shared" si="27"/>
        <v>22/04/2025 to 25/04/2025</v>
      </c>
      <c r="Q603" s="3">
        <v>45770</v>
      </c>
      <c r="R603" t="str">
        <f t="shared" si="28"/>
        <v>On-Time</v>
      </c>
      <c r="S603" t="s">
        <v>145</v>
      </c>
      <c r="T603">
        <v>37.5</v>
      </c>
      <c r="U603" t="s">
        <v>79</v>
      </c>
      <c r="V603" t="s">
        <v>80</v>
      </c>
      <c r="W603" t="str">
        <f t="shared" ca="1" si="29"/>
        <v>Dormant</v>
      </c>
    </row>
    <row r="604" spans="1:23" x14ac:dyDescent="0.2">
      <c r="A604">
        <v>1012</v>
      </c>
      <c r="B604" t="s">
        <v>3085</v>
      </c>
      <c r="C604" t="s">
        <v>3093</v>
      </c>
      <c r="D604" s="1" t="s">
        <v>139</v>
      </c>
      <c r="E604" t="s">
        <v>3087</v>
      </c>
      <c r="F604" t="s">
        <v>1756</v>
      </c>
      <c r="G604" s="4" t="s">
        <v>5425</v>
      </c>
      <c r="H604" t="s">
        <v>1859</v>
      </c>
      <c r="I604" t="s">
        <v>112</v>
      </c>
      <c r="J604" s="4" t="s">
        <v>68</v>
      </c>
      <c r="K604" t="s">
        <v>3094</v>
      </c>
      <c r="L604">
        <v>3</v>
      </c>
      <c r="M604" t="s">
        <v>153</v>
      </c>
      <c r="N604" t="s">
        <v>330</v>
      </c>
      <c r="O604" t="s">
        <v>330</v>
      </c>
      <c r="P604" s="2" t="str">
        <f t="shared" si="27"/>
        <v>23/04/2025 to 28/04/2025</v>
      </c>
      <c r="Q604" s="3">
        <v>45770</v>
      </c>
      <c r="R604" t="str">
        <f t="shared" si="28"/>
        <v>On-Time</v>
      </c>
      <c r="S604" t="s">
        <v>144</v>
      </c>
      <c r="T604">
        <v>31</v>
      </c>
      <c r="U604" t="s">
        <v>79</v>
      </c>
      <c r="V604" t="s">
        <v>80</v>
      </c>
      <c r="W604" t="str">
        <f t="shared" ca="1" si="29"/>
        <v>Dormant</v>
      </c>
    </row>
    <row r="605" spans="1:23" x14ac:dyDescent="0.2">
      <c r="A605">
        <v>1013</v>
      </c>
      <c r="B605" t="s">
        <v>3085</v>
      </c>
      <c r="C605" t="s">
        <v>3095</v>
      </c>
      <c r="D605" s="1" t="s">
        <v>139</v>
      </c>
      <c r="E605" t="s">
        <v>3087</v>
      </c>
      <c r="F605" t="s">
        <v>1756</v>
      </c>
      <c r="G605" s="4" t="s">
        <v>5424</v>
      </c>
      <c r="H605" t="s">
        <v>1859</v>
      </c>
      <c r="I605" t="s">
        <v>112</v>
      </c>
      <c r="J605" s="4" t="s">
        <v>5417</v>
      </c>
      <c r="K605" t="s">
        <v>566</v>
      </c>
      <c r="L605">
        <v>2</v>
      </c>
      <c r="M605" t="s">
        <v>139</v>
      </c>
      <c r="N605" t="s">
        <v>140</v>
      </c>
      <c r="O605" t="s">
        <v>140</v>
      </c>
      <c r="P605" s="2" t="str">
        <f t="shared" si="27"/>
        <v>22/04/2025 to 25/04/2025</v>
      </c>
      <c r="Q605" s="3">
        <v>45770</v>
      </c>
      <c r="R605" t="str">
        <f t="shared" si="28"/>
        <v>On-Time</v>
      </c>
      <c r="S605" t="s">
        <v>289</v>
      </c>
      <c r="T605">
        <v>20.5</v>
      </c>
      <c r="U605" t="s">
        <v>79</v>
      </c>
      <c r="V605" t="s">
        <v>72</v>
      </c>
      <c r="W605" t="str">
        <f t="shared" ca="1" si="29"/>
        <v>Dormant</v>
      </c>
    </row>
    <row r="606" spans="1:23" x14ac:dyDescent="0.2">
      <c r="A606">
        <v>1330</v>
      </c>
      <c r="B606" t="s">
        <v>3853</v>
      </c>
      <c r="C606" t="s">
        <v>3854</v>
      </c>
      <c r="D606" s="1" t="s">
        <v>139</v>
      </c>
      <c r="E606" t="s">
        <v>3855</v>
      </c>
      <c r="F606" t="s">
        <v>1139</v>
      </c>
      <c r="G606" s="4" t="s">
        <v>5423</v>
      </c>
      <c r="H606" t="s">
        <v>3856</v>
      </c>
      <c r="I606" t="s">
        <v>112</v>
      </c>
      <c r="J606" s="4" t="s">
        <v>5417</v>
      </c>
      <c r="K606" t="s">
        <v>3857</v>
      </c>
      <c r="L606">
        <v>3</v>
      </c>
      <c r="M606" t="s">
        <v>139</v>
      </c>
      <c r="N606" t="s">
        <v>153</v>
      </c>
      <c r="O606" t="s">
        <v>139</v>
      </c>
      <c r="P606" s="2" t="str">
        <f t="shared" si="27"/>
        <v>22/04/2025 to 25/04/2025</v>
      </c>
      <c r="Q606" s="3">
        <v>45772</v>
      </c>
      <c r="R606" t="str">
        <f t="shared" si="28"/>
        <v>On-Time</v>
      </c>
      <c r="S606" t="s">
        <v>289</v>
      </c>
      <c r="T606">
        <v>30</v>
      </c>
      <c r="U606" t="s">
        <v>79</v>
      </c>
      <c r="V606" t="s">
        <v>66</v>
      </c>
      <c r="W606" t="str">
        <f t="shared" ca="1" si="29"/>
        <v>Dormant</v>
      </c>
    </row>
    <row r="607" spans="1:23" x14ac:dyDescent="0.2">
      <c r="A607">
        <v>1331</v>
      </c>
      <c r="B607" t="s">
        <v>3853</v>
      </c>
      <c r="C607" t="s">
        <v>3858</v>
      </c>
      <c r="D607" s="1" t="s">
        <v>139</v>
      </c>
      <c r="E607" t="s">
        <v>3855</v>
      </c>
      <c r="F607" t="s">
        <v>1139</v>
      </c>
      <c r="G607" s="4" t="s">
        <v>5424</v>
      </c>
      <c r="H607" t="s">
        <v>3856</v>
      </c>
      <c r="I607" t="s">
        <v>112</v>
      </c>
      <c r="J607" s="4" t="s">
        <v>68</v>
      </c>
      <c r="K607" t="s">
        <v>3859</v>
      </c>
      <c r="L607">
        <v>4</v>
      </c>
      <c r="M607" t="s">
        <v>140</v>
      </c>
      <c r="N607" t="s">
        <v>326</v>
      </c>
      <c r="O607" t="s">
        <v>153</v>
      </c>
      <c r="P607" s="2" t="str">
        <f t="shared" si="27"/>
        <v>22/04/2025 to 25/04/2025</v>
      </c>
      <c r="Q607" s="3">
        <v>45772</v>
      </c>
      <c r="R607" t="str">
        <f t="shared" si="28"/>
        <v>On-Time</v>
      </c>
      <c r="S607" t="s">
        <v>555</v>
      </c>
      <c r="T607">
        <v>41.5</v>
      </c>
      <c r="U607" t="s">
        <v>65</v>
      </c>
      <c r="V607" t="s">
        <v>66</v>
      </c>
      <c r="W607" t="str">
        <f t="shared" ca="1" si="29"/>
        <v>Dormant</v>
      </c>
    </row>
    <row r="608" spans="1:23" x14ac:dyDescent="0.2">
      <c r="A608">
        <v>1332</v>
      </c>
      <c r="B608" t="s">
        <v>3853</v>
      </c>
      <c r="C608" t="s">
        <v>3860</v>
      </c>
      <c r="D608" s="1" t="s">
        <v>139</v>
      </c>
      <c r="E608" t="s">
        <v>3855</v>
      </c>
      <c r="F608" t="s">
        <v>1139</v>
      </c>
      <c r="G608" s="4" t="s">
        <v>5422</v>
      </c>
      <c r="H608" t="s">
        <v>3856</v>
      </c>
      <c r="I608" t="s">
        <v>112</v>
      </c>
      <c r="J608" s="4" t="s">
        <v>5417</v>
      </c>
      <c r="K608" t="s">
        <v>4</v>
      </c>
      <c r="L608">
        <v>1</v>
      </c>
      <c r="M608" t="s">
        <v>153</v>
      </c>
      <c r="N608" t="s">
        <v>326</v>
      </c>
      <c r="O608" t="s">
        <v>326</v>
      </c>
      <c r="P608" s="2" t="str">
        <f t="shared" si="27"/>
        <v>23/04/2025 to 28/04/2025</v>
      </c>
      <c r="Q608" s="3">
        <v>45775</v>
      </c>
      <c r="R608" t="str">
        <f t="shared" si="28"/>
        <v>On-Time</v>
      </c>
      <c r="S608" t="s">
        <v>142</v>
      </c>
      <c r="T608">
        <v>8</v>
      </c>
      <c r="U608" t="s">
        <v>79</v>
      </c>
      <c r="V608" t="s">
        <v>80</v>
      </c>
      <c r="W608" t="str">
        <f t="shared" ca="1" si="29"/>
        <v>Dormant</v>
      </c>
    </row>
    <row r="609" spans="1:23" x14ac:dyDescent="0.2">
      <c r="A609">
        <v>114</v>
      </c>
      <c r="B609" t="s">
        <v>623</v>
      </c>
      <c r="C609" t="s">
        <v>624</v>
      </c>
      <c r="D609" s="1" t="s">
        <v>153</v>
      </c>
      <c r="E609" t="s">
        <v>625</v>
      </c>
      <c r="F609" t="s">
        <v>626</v>
      </c>
      <c r="G609" s="4" t="s">
        <v>5420</v>
      </c>
      <c r="H609" t="s">
        <v>627</v>
      </c>
      <c r="I609" t="s">
        <v>93</v>
      </c>
      <c r="J609" s="4" t="s">
        <v>60</v>
      </c>
      <c r="K609" t="s">
        <v>628</v>
      </c>
      <c r="L609">
        <v>2</v>
      </c>
      <c r="M609" t="s">
        <v>153</v>
      </c>
      <c r="N609" t="s">
        <v>326</v>
      </c>
      <c r="O609" t="s">
        <v>153</v>
      </c>
      <c r="P609" s="2" t="str">
        <f t="shared" si="27"/>
        <v>23/04/2025 to 28/04/2025</v>
      </c>
      <c r="Q609" s="3">
        <v>45768</v>
      </c>
      <c r="R609" t="str">
        <f t="shared" si="28"/>
        <v>Late</v>
      </c>
      <c r="S609" t="s">
        <v>149</v>
      </c>
      <c r="T609">
        <v>16.5</v>
      </c>
      <c r="U609" t="s">
        <v>65</v>
      </c>
      <c r="V609" t="s">
        <v>80</v>
      </c>
      <c r="W609" t="str">
        <f t="shared" ca="1" si="29"/>
        <v>Dormant</v>
      </c>
    </row>
    <row r="610" spans="1:23" x14ac:dyDescent="0.2">
      <c r="A610">
        <v>1146</v>
      </c>
      <c r="B610" t="s">
        <v>3420</v>
      </c>
      <c r="C610" t="s">
        <v>3421</v>
      </c>
      <c r="D610" s="1" t="s">
        <v>326</v>
      </c>
      <c r="E610" t="s">
        <v>3422</v>
      </c>
      <c r="F610" t="s">
        <v>1217</v>
      </c>
      <c r="G610" s="4" t="s">
        <v>38</v>
      </c>
      <c r="H610" t="s">
        <v>3423</v>
      </c>
      <c r="I610" t="s">
        <v>59</v>
      </c>
      <c r="J610" s="4" t="s">
        <v>5417</v>
      </c>
      <c r="K610" t="s">
        <v>3424</v>
      </c>
      <c r="L610">
        <v>4</v>
      </c>
      <c r="M610" t="s">
        <v>330</v>
      </c>
      <c r="N610" t="s">
        <v>961</v>
      </c>
      <c r="O610" t="s">
        <v>330</v>
      </c>
      <c r="P610" s="2" t="str">
        <f t="shared" si="27"/>
        <v>25/04/2025 to 30/04/2025</v>
      </c>
      <c r="Q610" s="3">
        <v>45776</v>
      </c>
      <c r="R610" t="str">
        <f t="shared" si="28"/>
        <v>On-Time</v>
      </c>
      <c r="S610" t="s">
        <v>455</v>
      </c>
      <c r="T610">
        <v>41.5</v>
      </c>
      <c r="U610" t="s">
        <v>65</v>
      </c>
      <c r="V610" t="s">
        <v>72</v>
      </c>
      <c r="W610" t="str">
        <f t="shared" ca="1" si="29"/>
        <v>Dormant</v>
      </c>
    </row>
    <row r="611" spans="1:23" x14ac:dyDescent="0.2">
      <c r="A611">
        <v>1147</v>
      </c>
      <c r="B611" t="s">
        <v>3420</v>
      </c>
      <c r="C611" t="s">
        <v>3425</v>
      </c>
      <c r="D611" s="1" t="s">
        <v>326</v>
      </c>
      <c r="E611" t="s">
        <v>3422</v>
      </c>
      <c r="F611" t="s">
        <v>1217</v>
      </c>
      <c r="G611" s="4" t="s">
        <v>5422</v>
      </c>
      <c r="H611" t="s">
        <v>3423</v>
      </c>
      <c r="I611" t="s">
        <v>59</v>
      </c>
      <c r="J611" s="4" t="s">
        <v>74</v>
      </c>
      <c r="K611" t="s">
        <v>18</v>
      </c>
      <c r="L611">
        <v>1</v>
      </c>
      <c r="M611" t="s">
        <v>330</v>
      </c>
      <c r="N611" t="s">
        <v>961</v>
      </c>
      <c r="O611" t="s">
        <v>331</v>
      </c>
      <c r="P611" s="2" t="str">
        <f t="shared" si="27"/>
        <v>25/04/2025 to 30/04/2025</v>
      </c>
      <c r="Q611" s="3">
        <v>45773</v>
      </c>
      <c r="R611" t="str">
        <f t="shared" si="28"/>
        <v>On-Time</v>
      </c>
      <c r="S611" t="s">
        <v>141</v>
      </c>
      <c r="T611">
        <v>8.5</v>
      </c>
      <c r="U611" t="s">
        <v>79</v>
      </c>
      <c r="V611" t="s">
        <v>66</v>
      </c>
      <c r="W611" t="str">
        <f t="shared" ca="1" si="29"/>
        <v>Dormant</v>
      </c>
    </row>
    <row r="612" spans="1:23" x14ac:dyDescent="0.2">
      <c r="A612">
        <v>1148</v>
      </c>
      <c r="B612" t="s">
        <v>3420</v>
      </c>
      <c r="C612" t="s">
        <v>3426</v>
      </c>
      <c r="D612" s="1" t="s">
        <v>326</v>
      </c>
      <c r="E612" t="s">
        <v>3422</v>
      </c>
      <c r="F612" t="s">
        <v>1217</v>
      </c>
      <c r="G612" s="4" t="s">
        <v>5425</v>
      </c>
      <c r="H612" t="s">
        <v>3423</v>
      </c>
      <c r="I612" t="s">
        <v>59</v>
      </c>
      <c r="J612" s="4" t="s">
        <v>60</v>
      </c>
      <c r="K612" t="s">
        <v>204</v>
      </c>
      <c r="L612">
        <v>2</v>
      </c>
      <c r="M612" t="s">
        <v>330</v>
      </c>
      <c r="N612" t="s">
        <v>330</v>
      </c>
      <c r="O612" t="s">
        <v>330</v>
      </c>
      <c r="P612" s="2" t="str">
        <f t="shared" si="27"/>
        <v>25/04/2025 to 30/04/2025</v>
      </c>
      <c r="Q612" s="3">
        <v>45773</v>
      </c>
      <c r="R612" t="str">
        <f t="shared" si="28"/>
        <v>On-Time</v>
      </c>
      <c r="S612" t="s">
        <v>141</v>
      </c>
      <c r="T612">
        <v>20</v>
      </c>
      <c r="U612" t="s">
        <v>79</v>
      </c>
      <c r="V612" t="s">
        <v>72</v>
      </c>
      <c r="W612" t="str">
        <f t="shared" ca="1" si="29"/>
        <v>Dormant</v>
      </c>
    </row>
    <row r="613" spans="1:23" x14ac:dyDescent="0.2">
      <c r="A613">
        <v>1149</v>
      </c>
      <c r="B613" t="s">
        <v>3420</v>
      </c>
      <c r="C613" t="s">
        <v>3427</v>
      </c>
      <c r="D613" s="1" t="s">
        <v>326</v>
      </c>
      <c r="E613" t="s">
        <v>3422</v>
      </c>
      <c r="F613" t="s">
        <v>1217</v>
      </c>
      <c r="G613" s="4" t="s">
        <v>38</v>
      </c>
      <c r="H613" t="s">
        <v>3423</v>
      </c>
      <c r="I613" t="s">
        <v>59</v>
      </c>
      <c r="J613" s="4" t="s">
        <v>60</v>
      </c>
      <c r="K613" t="s">
        <v>628</v>
      </c>
      <c r="L613">
        <v>2</v>
      </c>
      <c r="M613" t="s">
        <v>330</v>
      </c>
      <c r="N613" t="s">
        <v>331</v>
      </c>
      <c r="O613" t="s">
        <v>330</v>
      </c>
      <c r="P613" s="2" t="str">
        <f t="shared" si="27"/>
        <v>25/04/2025 to 30/04/2025</v>
      </c>
      <c r="Q613" s="3">
        <v>45776</v>
      </c>
      <c r="R613" t="str">
        <f t="shared" si="28"/>
        <v>On-Time</v>
      </c>
      <c r="S613" t="s">
        <v>455</v>
      </c>
      <c r="T613">
        <v>16.5</v>
      </c>
      <c r="U613" t="s">
        <v>79</v>
      </c>
      <c r="V613" t="s">
        <v>72</v>
      </c>
      <c r="W613" t="str">
        <f t="shared" ca="1" si="29"/>
        <v>Dormant</v>
      </c>
    </row>
    <row r="614" spans="1:23" x14ac:dyDescent="0.2">
      <c r="A614">
        <v>580</v>
      </c>
      <c r="B614" t="s">
        <v>2033</v>
      </c>
      <c r="C614" t="s">
        <v>2034</v>
      </c>
      <c r="D614" s="1" t="s">
        <v>330</v>
      </c>
      <c r="E614" t="s">
        <v>2035</v>
      </c>
      <c r="F614" t="s">
        <v>1154</v>
      </c>
      <c r="G614" s="4" t="s">
        <v>5428</v>
      </c>
      <c r="H614" t="s">
        <v>2036</v>
      </c>
      <c r="I614" t="s">
        <v>136</v>
      </c>
      <c r="J614" s="4" t="s">
        <v>5417</v>
      </c>
      <c r="K614" t="s">
        <v>2037</v>
      </c>
      <c r="L614">
        <v>2</v>
      </c>
      <c r="M614" t="s">
        <v>330</v>
      </c>
      <c r="N614" t="s">
        <v>331</v>
      </c>
      <c r="O614" t="s">
        <v>961</v>
      </c>
      <c r="P614" s="2" t="str">
        <f t="shared" si="27"/>
        <v>25/04/2025 to 30/04/2025</v>
      </c>
      <c r="Q614" s="3">
        <v>45775</v>
      </c>
      <c r="R614" t="str">
        <f t="shared" si="28"/>
        <v>On-Time</v>
      </c>
      <c r="S614" t="s">
        <v>142</v>
      </c>
      <c r="T614">
        <v>20</v>
      </c>
      <c r="U614" t="s">
        <v>65</v>
      </c>
      <c r="V614" t="s">
        <v>80</v>
      </c>
      <c r="W614" t="str">
        <f t="shared" ca="1" si="29"/>
        <v>Dormant</v>
      </c>
    </row>
    <row r="615" spans="1:23" x14ac:dyDescent="0.2">
      <c r="A615">
        <v>581</v>
      </c>
      <c r="B615" t="s">
        <v>2033</v>
      </c>
      <c r="C615" t="s">
        <v>2038</v>
      </c>
      <c r="D615" s="1" t="s">
        <v>330</v>
      </c>
      <c r="E615" t="s">
        <v>2035</v>
      </c>
      <c r="F615" t="s">
        <v>1154</v>
      </c>
      <c r="G615" s="4" t="s">
        <v>38</v>
      </c>
      <c r="H615" t="s">
        <v>2036</v>
      </c>
      <c r="I615" t="s">
        <v>136</v>
      </c>
      <c r="J615" s="4" t="s">
        <v>5417</v>
      </c>
      <c r="K615" t="s">
        <v>30</v>
      </c>
      <c r="L615">
        <v>1</v>
      </c>
      <c r="M615" t="s">
        <v>961</v>
      </c>
      <c r="N615" t="s">
        <v>148</v>
      </c>
      <c r="O615" t="s">
        <v>148</v>
      </c>
      <c r="P615" s="2" t="str">
        <f t="shared" si="27"/>
        <v>29/04/2025 to 02/05/2025</v>
      </c>
      <c r="Q615" s="3">
        <v>45780</v>
      </c>
      <c r="R615" t="str">
        <f t="shared" si="28"/>
        <v>Late</v>
      </c>
      <c r="S615" t="s">
        <v>293</v>
      </c>
      <c r="T615">
        <v>12</v>
      </c>
      <c r="U615" t="s">
        <v>79</v>
      </c>
      <c r="V615" t="s">
        <v>72</v>
      </c>
      <c r="W615" t="str">
        <f t="shared" ca="1" si="29"/>
        <v>Dormant</v>
      </c>
    </row>
    <row r="616" spans="1:23" x14ac:dyDescent="0.2">
      <c r="A616">
        <v>582</v>
      </c>
      <c r="B616" t="s">
        <v>2033</v>
      </c>
      <c r="C616" t="s">
        <v>2039</v>
      </c>
      <c r="D616" s="1" t="s">
        <v>330</v>
      </c>
      <c r="E616" t="s">
        <v>2035</v>
      </c>
      <c r="F616" t="s">
        <v>1154</v>
      </c>
      <c r="G616" s="4" t="s">
        <v>5424</v>
      </c>
      <c r="H616" t="s">
        <v>2036</v>
      </c>
      <c r="I616" t="s">
        <v>136</v>
      </c>
      <c r="J616" s="4" t="s">
        <v>5417</v>
      </c>
      <c r="K616" t="s">
        <v>10</v>
      </c>
      <c r="L616">
        <v>1</v>
      </c>
      <c r="M616" t="s">
        <v>330</v>
      </c>
      <c r="N616" t="s">
        <v>961</v>
      </c>
      <c r="O616" t="s">
        <v>961</v>
      </c>
      <c r="P616" s="2" t="str">
        <f t="shared" si="27"/>
        <v>25/04/2025 to 30/04/2025</v>
      </c>
      <c r="Q616" s="3">
        <v>45773</v>
      </c>
      <c r="R616" t="str">
        <f t="shared" si="28"/>
        <v>On-Time</v>
      </c>
      <c r="S616" t="s">
        <v>141</v>
      </c>
      <c r="T616">
        <v>10</v>
      </c>
      <c r="U616" t="s">
        <v>65</v>
      </c>
      <c r="V616" t="s">
        <v>80</v>
      </c>
      <c r="W616" t="str">
        <f t="shared" ca="1" si="29"/>
        <v>Dormant</v>
      </c>
    </row>
    <row r="617" spans="1:23" x14ac:dyDescent="0.2">
      <c r="A617">
        <v>583</v>
      </c>
      <c r="B617" t="s">
        <v>2033</v>
      </c>
      <c r="C617" t="s">
        <v>2040</v>
      </c>
      <c r="D617" s="1" t="s">
        <v>330</v>
      </c>
      <c r="E617" t="s">
        <v>2035</v>
      </c>
      <c r="F617" t="s">
        <v>1154</v>
      </c>
      <c r="G617" s="4" t="s">
        <v>5425</v>
      </c>
      <c r="H617" t="s">
        <v>2036</v>
      </c>
      <c r="I617" t="s">
        <v>136</v>
      </c>
      <c r="J617" s="4" t="s">
        <v>60</v>
      </c>
      <c r="K617" t="s">
        <v>2041</v>
      </c>
      <c r="L617">
        <v>4</v>
      </c>
      <c r="M617" t="s">
        <v>331</v>
      </c>
      <c r="N617" t="s">
        <v>331</v>
      </c>
      <c r="O617" t="s">
        <v>708</v>
      </c>
      <c r="P617" s="2" t="str">
        <f t="shared" si="27"/>
        <v>28/04/2025 to 01/05/2025</v>
      </c>
      <c r="Q617" s="3">
        <v>45777</v>
      </c>
      <c r="R617" t="str">
        <f t="shared" si="28"/>
        <v>On-Time</v>
      </c>
      <c r="S617" t="s">
        <v>712</v>
      </c>
      <c r="T617">
        <v>42.5</v>
      </c>
      <c r="U617" t="s">
        <v>65</v>
      </c>
      <c r="V617" t="s">
        <v>72</v>
      </c>
      <c r="W617" t="str">
        <f t="shared" ca="1" si="29"/>
        <v>Dormant</v>
      </c>
    </row>
    <row r="618" spans="1:23" x14ac:dyDescent="0.2">
      <c r="A618">
        <v>888</v>
      </c>
      <c r="B618" t="s">
        <v>2785</v>
      </c>
      <c r="C618" t="s">
        <v>2786</v>
      </c>
      <c r="D618" s="1" t="s">
        <v>330</v>
      </c>
      <c r="E618" t="s">
        <v>2787</v>
      </c>
      <c r="F618" t="s">
        <v>536</v>
      </c>
      <c r="G618" s="4" t="s">
        <v>5422</v>
      </c>
      <c r="H618" t="s">
        <v>819</v>
      </c>
      <c r="I618" t="s">
        <v>112</v>
      </c>
      <c r="J618" s="4" t="s">
        <v>74</v>
      </c>
      <c r="K618" t="s">
        <v>8</v>
      </c>
      <c r="L618">
        <v>1</v>
      </c>
      <c r="M618" t="s">
        <v>331</v>
      </c>
      <c r="N618" t="s">
        <v>961</v>
      </c>
      <c r="O618" t="s">
        <v>708</v>
      </c>
      <c r="P618" s="2" t="str">
        <f t="shared" si="27"/>
        <v>28/04/2025 to 01/05/2025</v>
      </c>
      <c r="Q618" s="3">
        <v>45777</v>
      </c>
      <c r="R618" t="str">
        <f t="shared" si="28"/>
        <v>On-Time</v>
      </c>
      <c r="S618" t="s">
        <v>455</v>
      </c>
      <c r="T618">
        <v>9</v>
      </c>
      <c r="U618" t="s">
        <v>65</v>
      </c>
      <c r="V618" t="s">
        <v>72</v>
      </c>
      <c r="W618" t="str">
        <f t="shared" ca="1" si="29"/>
        <v>Dormant</v>
      </c>
    </row>
    <row r="619" spans="1:23" x14ac:dyDescent="0.2">
      <c r="A619">
        <v>889</v>
      </c>
      <c r="B619" t="s">
        <v>2785</v>
      </c>
      <c r="C619" t="s">
        <v>2788</v>
      </c>
      <c r="D619" s="1" t="s">
        <v>330</v>
      </c>
      <c r="E619" t="s">
        <v>2787</v>
      </c>
      <c r="F619" t="s">
        <v>536</v>
      </c>
      <c r="G619" s="4" t="s">
        <v>5422</v>
      </c>
      <c r="H619" t="s">
        <v>819</v>
      </c>
      <c r="I619" t="s">
        <v>112</v>
      </c>
      <c r="J619" s="4" t="s">
        <v>5417</v>
      </c>
      <c r="K619" t="s">
        <v>2789</v>
      </c>
      <c r="L619">
        <v>4</v>
      </c>
      <c r="M619" t="s">
        <v>331</v>
      </c>
      <c r="N619" t="s">
        <v>708</v>
      </c>
      <c r="O619" t="s">
        <v>331</v>
      </c>
      <c r="P619" s="2" t="str">
        <f t="shared" si="27"/>
        <v>28/04/2025 to 01/05/2025</v>
      </c>
      <c r="Q619" s="3">
        <v>45777</v>
      </c>
      <c r="R619" t="str">
        <f t="shared" si="28"/>
        <v>On-Time</v>
      </c>
      <c r="S619" t="s">
        <v>455</v>
      </c>
      <c r="T619">
        <v>39</v>
      </c>
      <c r="U619" t="s">
        <v>65</v>
      </c>
      <c r="V619" t="s">
        <v>80</v>
      </c>
      <c r="W619" t="str">
        <f t="shared" ca="1" si="29"/>
        <v>Dormant</v>
      </c>
    </row>
    <row r="620" spans="1:23" x14ac:dyDescent="0.2">
      <c r="A620">
        <v>890</v>
      </c>
      <c r="B620" t="s">
        <v>2785</v>
      </c>
      <c r="C620" t="s">
        <v>2790</v>
      </c>
      <c r="D620" s="1" t="s">
        <v>330</v>
      </c>
      <c r="E620" t="s">
        <v>2787</v>
      </c>
      <c r="F620" t="s">
        <v>536</v>
      </c>
      <c r="G620" s="4" t="s">
        <v>5422</v>
      </c>
      <c r="H620" t="s">
        <v>819</v>
      </c>
      <c r="I620" t="s">
        <v>112</v>
      </c>
      <c r="J620" s="4" t="s">
        <v>60</v>
      </c>
      <c r="K620" t="s">
        <v>2791</v>
      </c>
      <c r="L620">
        <v>4</v>
      </c>
      <c r="M620" t="s">
        <v>961</v>
      </c>
      <c r="N620" t="s">
        <v>148</v>
      </c>
      <c r="O620" t="s">
        <v>961</v>
      </c>
      <c r="P620" s="2" t="str">
        <f t="shared" si="27"/>
        <v>29/04/2025 to 02/05/2025</v>
      </c>
      <c r="Q620" s="3">
        <v>45774</v>
      </c>
      <c r="R620" t="str">
        <f t="shared" si="28"/>
        <v>Late</v>
      </c>
      <c r="S620" t="s">
        <v>142</v>
      </c>
      <c r="T620">
        <v>39</v>
      </c>
      <c r="U620" t="s">
        <v>79</v>
      </c>
      <c r="V620" t="s">
        <v>72</v>
      </c>
      <c r="W620" t="str">
        <f t="shared" ca="1" si="29"/>
        <v>Dormant</v>
      </c>
    </row>
    <row r="621" spans="1:23" x14ac:dyDescent="0.2">
      <c r="A621">
        <v>891</v>
      </c>
      <c r="B621" t="s">
        <v>2785</v>
      </c>
      <c r="C621" t="s">
        <v>2792</v>
      </c>
      <c r="D621" s="1" t="s">
        <v>330</v>
      </c>
      <c r="E621" t="s">
        <v>2787</v>
      </c>
      <c r="F621" t="s">
        <v>536</v>
      </c>
      <c r="G621" s="4" t="s">
        <v>5421</v>
      </c>
      <c r="H621" t="s">
        <v>819</v>
      </c>
      <c r="I621" t="s">
        <v>112</v>
      </c>
      <c r="J621" s="4" t="s">
        <v>68</v>
      </c>
      <c r="K621" t="s">
        <v>2793</v>
      </c>
      <c r="L621">
        <v>2</v>
      </c>
      <c r="M621" t="s">
        <v>961</v>
      </c>
      <c r="N621" t="s">
        <v>708</v>
      </c>
      <c r="O621" t="s">
        <v>708</v>
      </c>
      <c r="P621" s="2" t="str">
        <f t="shared" si="27"/>
        <v>29/04/2025 to 02/05/2025</v>
      </c>
      <c r="Q621" s="3">
        <v>45774</v>
      </c>
      <c r="R621" t="str">
        <f t="shared" si="28"/>
        <v>Late</v>
      </c>
      <c r="S621" t="s">
        <v>142</v>
      </c>
      <c r="T621">
        <v>15.5</v>
      </c>
      <c r="U621" t="s">
        <v>79</v>
      </c>
      <c r="V621" t="s">
        <v>72</v>
      </c>
      <c r="W621" t="str">
        <f t="shared" ca="1" si="29"/>
        <v>Dormant</v>
      </c>
    </row>
    <row r="622" spans="1:23" x14ac:dyDescent="0.2">
      <c r="A622">
        <v>1895</v>
      </c>
      <c r="B622" t="s">
        <v>5166</v>
      </c>
      <c r="C622" t="s">
        <v>5167</v>
      </c>
      <c r="D622" s="1" t="s">
        <v>331</v>
      </c>
      <c r="E622" t="s">
        <v>5168</v>
      </c>
      <c r="F622" t="s">
        <v>286</v>
      </c>
      <c r="G622" s="4" t="s">
        <v>5427</v>
      </c>
      <c r="H622" t="s">
        <v>1702</v>
      </c>
      <c r="I622" t="s">
        <v>59</v>
      </c>
      <c r="J622" s="4" t="s">
        <v>60</v>
      </c>
      <c r="K622" t="s">
        <v>8</v>
      </c>
      <c r="L622">
        <v>1</v>
      </c>
      <c r="M622" t="s">
        <v>331</v>
      </c>
      <c r="N622" t="s">
        <v>708</v>
      </c>
      <c r="O622" t="s">
        <v>708</v>
      </c>
      <c r="P622" s="2" t="str">
        <f t="shared" si="27"/>
        <v>28/04/2025 to 01/05/2025</v>
      </c>
      <c r="Q622" s="3">
        <v>45777</v>
      </c>
      <c r="R622" t="str">
        <f t="shared" si="28"/>
        <v>On-Time</v>
      </c>
      <c r="S622" t="s">
        <v>447</v>
      </c>
      <c r="T622">
        <v>9</v>
      </c>
      <c r="U622" t="s">
        <v>65</v>
      </c>
      <c r="V622" t="s">
        <v>66</v>
      </c>
      <c r="W622" t="str">
        <f t="shared" ca="1" si="29"/>
        <v>Dormant</v>
      </c>
    </row>
    <row r="623" spans="1:23" x14ac:dyDescent="0.2">
      <c r="A623">
        <v>206</v>
      </c>
      <c r="B623" t="s">
        <v>959</v>
      </c>
      <c r="C623" t="s">
        <v>960</v>
      </c>
      <c r="D623" s="1" t="s">
        <v>961</v>
      </c>
      <c r="E623" t="s">
        <v>962</v>
      </c>
      <c r="F623" t="s">
        <v>266</v>
      </c>
      <c r="G623" s="4" t="s">
        <v>5424</v>
      </c>
      <c r="H623" t="s">
        <v>963</v>
      </c>
      <c r="I623" t="s">
        <v>59</v>
      </c>
      <c r="J623" s="4" t="s">
        <v>74</v>
      </c>
      <c r="K623" t="s">
        <v>964</v>
      </c>
      <c r="L623">
        <v>4</v>
      </c>
      <c r="M623" t="s">
        <v>961</v>
      </c>
      <c r="N623" t="s">
        <v>708</v>
      </c>
      <c r="O623" t="s">
        <v>148</v>
      </c>
      <c r="P623" s="2" t="str">
        <f t="shared" si="27"/>
        <v>29/04/2025 to 02/05/2025</v>
      </c>
      <c r="Q623" s="3">
        <v>45774</v>
      </c>
      <c r="R623" t="str">
        <f t="shared" si="28"/>
        <v>Late</v>
      </c>
      <c r="S623" t="s">
        <v>446</v>
      </c>
      <c r="T623">
        <v>35.5</v>
      </c>
      <c r="U623" t="s">
        <v>79</v>
      </c>
      <c r="V623" t="s">
        <v>72</v>
      </c>
      <c r="W623" t="str">
        <f t="shared" ca="1" si="29"/>
        <v>Dormant</v>
      </c>
    </row>
    <row r="624" spans="1:23" x14ac:dyDescent="0.2">
      <c r="A624">
        <v>207</v>
      </c>
      <c r="B624" t="s">
        <v>959</v>
      </c>
      <c r="C624" t="s">
        <v>965</v>
      </c>
      <c r="D624" s="1" t="s">
        <v>961</v>
      </c>
      <c r="E624" t="s">
        <v>962</v>
      </c>
      <c r="F624" t="s">
        <v>266</v>
      </c>
      <c r="G624" s="4" t="s">
        <v>5427</v>
      </c>
      <c r="H624" t="s">
        <v>963</v>
      </c>
      <c r="I624" t="s">
        <v>59</v>
      </c>
      <c r="J624" s="4" t="s">
        <v>68</v>
      </c>
      <c r="K624" t="s">
        <v>966</v>
      </c>
      <c r="L624">
        <v>3</v>
      </c>
      <c r="M624" t="s">
        <v>148</v>
      </c>
      <c r="N624" t="s">
        <v>149</v>
      </c>
      <c r="O624" t="s">
        <v>149</v>
      </c>
      <c r="P624" s="2" t="str">
        <f t="shared" si="27"/>
        <v>29/04/2025 to 02/05/2025</v>
      </c>
      <c r="Q624" s="3">
        <v>45778</v>
      </c>
      <c r="R624" t="str">
        <f t="shared" si="28"/>
        <v>On-Time</v>
      </c>
      <c r="S624" t="s">
        <v>455</v>
      </c>
      <c r="T624">
        <v>30</v>
      </c>
      <c r="U624" t="s">
        <v>79</v>
      </c>
      <c r="V624" t="s">
        <v>66</v>
      </c>
      <c r="W624" t="str">
        <f t="shared" ca="1" si="29"/>
        <v>Dormant</v>
      </c>
    </row>
    <row r="625" spans="1:23" x14ac:dyDescent="0.2">
      <c r="A625">
        <v>208</v>
      </c>
      <c r="B625" t="s">
        <v>959</v>
      </c>
      <c r="C625" t="s">
        <v>967</v>
      </c>
      <c r="D625" s="1" t="s">
        <v>961</v>
      </c>
      <c r="E625" t="s">
        <v>962</v>
      </c>
      <c r="F625" t="s">
        <v>266</v>
      </c>
      <c r="G625" s="4" t="s">
        <v>5428</v>
      </c>
      <c r="H625" t="s">
        <v>963</v>
      </c>
      <c r="I625" t="s">
        <v>59</v>
      </c>
      <c r="J625" s="4" t="s">
        <v>60</v>
      </c>
      <c r="K625" t="s">
        <v>4</v>
      </c>
      <c r="L625">
        <v>1</v>
      </c>
      <c r="M625" t="s">
        <v>708</v>
      </c>
      <c r="N625" t="s">
        <v>154</v>
      </c>
      <c r="O625" t="s">
        <v>148</v>
      </c>
      <c r="P625" s="2" t="str">
        <f t="shared" si="27"/>
        <v>29/04/2025 to 02/05/2025</v>
      </c>
      <c r="Q625" s="3">
        <v>45778</v>
      </c>
      <c r="R625" t="str">
        <f t="shared" si="28"/>
        <v>On-Time</v>
      </c>
      <c r="S625" t="s">
        <v>455</v>
      </c>
      <c r="T625">
        <v>8</v>
      </c>
      <c r="U625" t="s">
        <v>79</v>
      </c>
      <c r="V625" t="s">
        <v>72</v>
      </c>
      <c r="W625" t="str">
        <f t="shared" ca="1" si="29"/>
        <v>Dormant</v>
      </c>
    </row>
    <row r="626" spans="1:23" x14ac:dyDescent="0.2">
      <c r="A626">
        <v>209</v>
      </c>
      <c r="B626" t="s">
        <v>959</v>
      </c>
      <c r="C626" t="s">
        <v>968</v>
      </c>
      <c r="D626" s="1" t="s">
        <v>961</v>
      </c>
      <c r="E626" t="s">
        <v>962</v>
      </c>
      <c r="F626" t="s">
        <v>266</v>
      </c>
      <c r="G626" s="4" t="s">
        <v>5427</v>
      </c>
      <c r="H626" t="s">
        <v>963</v>
      </c>
      <c r="I626" t="s">
        <v>59</v>
      </c>
      <c r="J626" s="4" t="s">
        <v>74</v>
      </c>
      <c r="K626" t="s">
        <v>969</v>
      </c>
      <c r="L626">
        <v>3</v>
      </c>
      <c r="M626" t="s">
        <v>708</v>
      </c>
      <c r="N626" t="s">
        <v>708</v>
      </c>
      <c r="O626" t="s">
        <v>708</v>
      </c>
      <c r="P626" s="2" t="str">
        <f t="shared" si="27"/>
        <v>29/04/2025 to 02/05/2025</v>
      </c>
      <c r="Q626" s="3">
        <v>45779</v>
      </c>
      <c r="R626" t="str">
        <f t="shared" si="28"/>
        <v>On-Time</v>
      </c>
      <c r="S626" t="s">
        <v>712</v>
      </c>
      <c r="T626">
        <v>27</v>
      </c>
      <c r="U626" t="s">
        <v>65</v>
      </c>
      <c r="V626" t="s">
        <v>80</v>
      </c>
      <c r="W626" t="str">
        <f t="shared" ca="1" si="29"/>
        <v>Dormant</v>
      </c>
    </row>
    <row r="627" spans="1:23" x14ac:dyDescent="0.2">
      <c r="A627">
        <v>1320</v>
      </c>
      <c r="B627" t="s">
        <v>3827</v>
      </c>
      <c r="C627" t="s">
        <v>3828</v>
      </c>
      <c r="D627" s="1" t="s">
        <v>961</v>
      </c>
      <c r="E627" t="s">
        <v>3829</v>
      </c>
      <c r="F627" t="s">
        <v>803</v>
      </c>
      <c r="G627" s="4" t="s">
        <v>5420</v>
      </c>
      <c r="H627" t="s">
        <v>3390</v>
      </c>
      <c r="I627" t="s">
        <v>59</v>
      </c>
      <c r="J627" s="4" t="s">
        <v>68</v>
      </c>
      <c r="K627" t="s">
        <v>3830</v>
      </c>
      <c r="L627">
        <v>4</v>
      </c>
      <c r="M627" t="s">
        <v>148</v>
      </c>
      <c r="N627" t="s">
        <v>154</v>
      </c>
      <c r="O627" t="s">
        <v>148</v>
      </c>
      <c r="P627" s="2" t="str">
        <f t="shared" si="27"/>
        <v>29/04/2025 to 02/05/2025</v>
      </c>
      <c r="Q627" s="3">
        <v>45776</v>
      </c>
      <c r="R627" t="str">
        <f t="shared" si="28"/>
        <v>On-Time</v>
      </c>
      <c r="S627" t="s">
        <v>446</v>
      </c>
      <c r="T627">
        <v>35</v>
      </c>
      <c r="U627" t="s">
        <v>65</v>
      </c>
      <c r="V627" t="s">
        <v>80</v>
      </c>
      <c r="W627" t="str">
        <f t="shared" ca="1" si="29"/>
        <v>Dormant</v>
      </c>
    </row>
    <row r="628" spans="1:23" x14ac:dyDescent="0.2">
      <c r="A628">
        <v>1321</v>
      </c>
      <c r="B628" t="s">
        <v>3827</v>
      </c>
      <c r="C628" t="s">
        <v>3831</v>
      </c>
      <c r="D628" s="1" t="s">
        <v>961</v>
      </c>
      <c r="E628" t="s">
        <v>3829</v>
      </c>
      <c r="F628" t="s">
        <v>803</v>
      </c>
      <c r="G628" s="4" t="s">
        <v>5424</v>
      </c>
      <c r="H628" t="s">
        <v>3390</v>
      </c>
      <c r="I628" t="s">
        <v>59</v>
      </c>
      <c r="J628" s="4" t="s">
        <v>68</v>
      </c>
      <c r="K628" t="s">
        <v>26</v>
      </c>
      <c r="L628">
        <v>1</v>
      </c>
      <c r="M628" t="s">
        <v>148</v>
      </c>
      <c r="N628" t="s">
        <v>149</v>
      </c>
      <c r="O628" t="s">
        <v>148</v>
      </c>
      <c r="P628" s="2" t="str">
        <f t="shared" si="27"/>
        <v>29/04/2025 to 02/05/2025</v>
      </c>
      <c r="Q628" s="3">
        <v>45775</v>
      </c>
      <c r="R628" t="str">
        <f t="shared" si="28"/>
        <v>Late</v>
      </c>
      <c r="S628" t="s">
        <v>446</v>
      </c>
      <c r="T628">
        <v>9</v>
      </c>
      <c r="U628" t="s">
        <v>79</v>
      </c>
      <c r="V628" t="s">
        <v>66</v>
      </c>
      <c r="W628" t="str">
        <f t="shared" ca="1" si="29"/>
        <v>Dormant</v>
      </c>
    </row>
    <row r="629" spans="1:23" x14ac:dyDescent="0.2">
      <c r="A629">
        <v>1322</v>
      </c>
      <c r="B629" t="s">
        <v>3827</v>
      </c>
      <c r="C629" t="s">
        <v>3832</v>
      </c>
      <c r="D629" s="1" t="s">
        <v>961</v>
      </c>
      <c r="E629" t="s">
        <v>3829</v>
      </c>
      <c r="F629" t="s">
        <v>803</v>
      </c>
      <c r="G629" s="4" t="s">
        <v>5424</v>
      </c>
      <c r="H629" t="s">
        <v>3390</v>
      </c>
      <c r="I629" t="s">
        <v>59</v>
      </c>
      <c r="J629" s="4" t="s">
        <v>5417</v>
      </c>
      <c r="K629" t="s">
        <v>3833</v>
      </c>
      <c r="L629">
        <v>4</v>
      </c>
      <c r="M629" t="s">
        <v>961</v>
      </c>
      <c r="N629" t="s">
        <v>961</v>
      </c>
      <c r="O629" t="s">
        <v>148</v>
      </c>
      <c r="P629" s="2" t="str">
        <f t="shared" si="27"/>
        <v>29/04/2025 to 02/05/2025</v>
      </c>
      <c r="Q629" s="3">
        <v>45778</v>
      </c>
      <c r="R629" t="str">
        <f t="shared" si="28"/>
        <v>On-Time</v>
      </c>
      <c r="S629" t="s">
        <v>713</v>
      </c>
      <c r="T629">
        <v>37.5</v>
      </c>
      <c r="U629" t="s">
        <v>65</v>
      </c>
      <c r="V629" t="s">
        <v>80</v>
      </c>
      <c r="W629" t="str">
        <f t="shared" ca="1" si="29"/>
        <v>Dormant</v>
      </c>
    </row>
    <row r="630" spans="1:23" x14ac:dyDescent="0.2">
      <c r="A630">
        <v>1323</v>
      </c>
      <c r="B630" t="s">
        <v>3827</v>
      </c>
      <c r="C630" t="s">
        <v>3834</v>
      </c>
      <c r="D630" s="1" t="s">
        <v>961</v>
      </c>
      <c r="E630" t="s">
        <v>3829</v>
      </c>
      <c r="F630" t="s">
        <v>803</v>
      </c>
      <c r="G630" s="4" t="s">
        <v>5419</v>
      </c>
      <c r="H630" t="s">
        <v>3390</v>
      </c>
      <c r="I630" t="s">
        <v>59</v>
      </c>
      <c r="J630" s="4" t="s">
        <v>74</v>
      </c>
      <c r="K630" t="s">
        <v>3835</v>
      </c>
      <c r="L630">
        <v>2</v>
      </c>
      <c r="M630" t="s">
        <v>708</v>
      </c>
      <c r="N630" t="s">
        <v>148</v>
      </c>
      <c r="O630" t="s">
        <v>154</v>
      </c>
      <c r="P630" s="2" t="str">
        <f t="shared" si="27"/>
        <v>29/04/2025 to 02/05/2025</v>
      </c>
      <c r="Q630" s="3">
        <v>45781</v>
      </c>
      <c r="R630" t="str">
        <f t="shared" si="28"/>
        <v>Late</v>
      </c>
      <c r="S630" t="s">
        <v>290</v>
      </c>
      <c r="T630">
        <v>21.5</v>
      </c>
      <c r="U630" t="s">
        <v>65</v>
      </c>
      <c r="V630" t="s">
        <v>72</v>
      </c>
      <c r="W630" t="str">
        <f t="shared" ca="1" si="29"/>
        <v>Dormant</v>
      </c>
    </row>
    <row r="631" spans="1:23" x14ac:dyDescent="0.2">
      <c r="A631">
        <v>137</v>
      </c>
      <c r="B631" t="s">
        <v>706</v>
      </c>
      <c r="C631" t="s">
        <v>707</v>
      </c>
      <c r="D631" s="1" t="s">
        <v>708</v>
      </c>
      <c r="E631" t="s">
        <v>709</v>
      </c>
      <c r="F631" t="s">
        <v>607</v>
      </c>
      <c r="G631" s="4" t="s">
        <v>5425</v>
      </c>
      <c r="H631" t="s">
        <v>710</v>
      </c>
      <c r="I631" t="s">
        <v>112</v>
      </c>
      <c r="J631" s="4" t="s">
        <v>74</v>
      </c>
      <c r="K631" t="s">
        <v>711</v>
      </c>
      <c r="L631">
        <v>2</v>
      </c>
      <c r="M631" t="s">
        <v>148</v>
      </c>
      <c r="N631" t="s">
        <v>149</v>
      </c>
      <c r="O631" t="s">
        <v>149</v>
      </c>
      <c r="P631" s="2" t="str">
        <f t="shared" si="27"/>
        <v>29/04/2025 to 02/05/2025</v>
      </c>
      <c r="Q631" s="3">
        <v>45779</v>
      </c>
      <c r="R631" t="str">
        <f t="shared" si="28"/>
        <v>On-Time</v>
      </c>
      <c r="S631" t="s">
        <v>713</v>
      </c>
      <c r="T631">
        <v>17</v>
      </c>
      <c r="U631" t="s">
        <v>79</v>
      </c>
      <c r="V631" t="s">
        <v>72</v>
      </c>
      <c r="W631" t="str">
        <f t="shared" ca="1" si="29"/>
        <v>Dormant</v>
      </c>
    </row>
    <row r="632" spans="1:23" x14ac:dyDescent="0.2">
      <c r="A632">
        <v>138</v>
      </c>
      <c r="B632" t="s">
        <v>706</v>
      </c>
      <c r="C632" t="s">
        <v>714</v>
      </c>
      <c r="D632" s="1" t="s">
        <v>708</v>
      </c>
      <c r="E632" t="s">
        <v>709</v>
      </c>
      <c r="F632" t="s">
        <v>607</v>
      </c>
      <c r="G632" s="4" t="s">
        <v>5425</v>
      </c>
      <c r="H632" t="s">
        <v>710</v>
      </c>
      <c r="I632" t="s">
        <v>112</v>
      </c>
      <c r="J632" s="4" t="s">
        <v>60</v>
      </c>
      <c r="K632" t="s">
        <v>715</v>
      </c>
      <c r="L632">
        <v>2</v>
      </c>
      <c r="M632" t="s">
        <v>708</v>
      </c>
      <c r="N632" t="s">
        <v>154</v>
      </c>
      <c r="O632" t="s">
        <v>148</v>
      </c>
      <c r="P632" s="2" t="str">
        <f t="shared" si="27"/>
        <v>29/04/2025 to 02/05/2025</v>
      </c>
      <c r="Q632" s="3">
        <v>45776</v>
      </c>
      <c r="R632" t="str">
        <f t="shared" si="28"/>
        <v>On-Time</v>
      </c>
      <c r="S632" t="s">
        <v>446</v>
      </c>
      <c r="T632">
        <v>21.5</v>
      </c>
      <c r="U632" t="s">
        <v>65</v>
      </c>
      <c r="V632" t="s">
        <v>72</v>
      </c>
      <c r="W632" t="str">
        <f t="shared" ca="1" si="29"/>
        <v>Dormant</v>
      </c>
    </row>
    <row r="633" spans="1:23" x14ac:dyDescent="0.2">
      <c r="A633">
        <v>139</v>
      </c>
      <c r="B633" t="s">
        <v>706</v>
      </c>
      <c r="C633" t="s">
        <v>716</v>
      </c>
      <c r="D633" s="1" t="s">
        <v>708</v>
      </c>
      <c r="E633" t="s">
        <v>709</v>
      </c>
      <c r="F633" t="s">
        <v>607</v>
      </c>
      <c r="G633" s="4" t="s">
        <v>38</v>
      </c>
      <c r="H633" t="s">
        <v>710</v>
      </c>
      <c r="I633" t="s">
        <v>112</v>
      </c>
      <c r="J633" s="4" t="s">
        <v>68</v>
      </c>
      <c r="K633" t="s">
        <v>717</v>
      </c>
      <c r="L633">
        <v>2</v>
      </c>
      <c r="M633" t="s">
        <v>708</v>
      </c>
      <c r="N633" t="s">
        <v>708</v>
      </c>
      <c r="O633" t="s">
        <v>148</v>
      </c>
      <c r="P633" s="2" t="str">
        <f t="shared" si="27"/>
        <v>29/04/2025 to 02/05/2025</v>
      </c>
      <c r="Q633" s="3">
        <v>45780</v>
      </c>
      <c r="R633" t="str">
        <f t="shared" si="28"/>
        <v>Late</v>
      </c>
      <c r="S633" t="s">
        <v>296</v>
      </c>
      <c r="T633">
        <v>18</v>
      </c>
      <c r="U633" t="s">
        <v>65</v>
      </c>
      <c r="V633" t="s">
        <v>80</v>
      </c>
      <c r="W633" t="str">
        <f t="shared" ca="1" si="29"/>
        <v>Dormant</v>
      </c>
    </row>
    <row r="634" spans="1:23" x14ac:dyDescent="0.2">
      <c r="A634">
        <v>786</v>
      </c>
      <c r="B634" t="s">
        <v>2538</v>
      </c>
      <c r="C634" t="s">
        <v>2539</v>
      </c>
      <c r="D634" s="1" t="s">
        <v>708</v>
      </c>
      <c r="E634" t="s">
        <v>2540</v>
      </c>
      <c r="F634" t="s">
        <v>910</v>
      </c>
      <c r="G634" s="4" t="s">
        <v>38</v>
      </c>
      <c r="H634" t="s">
        <v>1422</v>
      </c>
      <c r="I634" t="s">
        <v>136</v>
      </c>
      <c r="J634" s="4" t="s">
        <v>5417</v>
      </c>
      <c r="K634" t="s">
        <v>2541</v>
      </c>
      <c r="L634">
        <v>2</v>
      </c>
      <c r="M634" t="s">
        <v>154</v>
      </c>
      <c r="N634" t="s">
        <v>144</v>
      </c>
      <c r="O634" t="s">
        <v>144</v>
      </c>
      <c r="P634" s="2" t="str">
        <f t="shared" si="27"/>
        <v>30/04/2025 to 05/05/2025</v>
      </c>
      <c r="Q634" s="3">
        <v>45778</v>
      </c>
      <c r="R634" t="str">
        <f t="shared" si="28"/>
        <v>On-Time</v>
      </c>
      <c r="S634" t="s">
        <v>455</v>
      </c>
      <c r="T634">
        <v>21.5</v>
      </c>
      <c r="U634" t="s">
        <v>65</v>
      </c>
      <c r="V634" t="s">
        <v>66</v>
      </c>
      <c r="W634" t="str">
        <f t="shared" ca="1" si="29"/>
        <v>Dormant</v>
      </c>
    </row>
    <row r="635" spans="1:23" x14ac:dyDescent="0.2">
      <c r="A635">
        <v>787</v>
      </c>
      <c r="B635" t="s">
        <v>2538</v>
      </c>
      <c r="C635" t="s">
        <v>2542</v>
      </c>
      <c r="D635" s="1" t="s">
        <v>708</v>
      </c>
      <c r="E635" t="s">
        <v>2540</v>
      </c>
      <c r="F635" t="s">
        <v>910</v>
      </c>
      <c r="G635" s="4" t="s">
        <v>5427</v>
      </c>
      <c r="H635" t="s">
        <v>1422</v>
      </c>
      <c r="I635" t="s">
        <v>136</v>
      </c>
      <c r="J635" s="4" t="s">
        <v>74</v>
      </c>
      <c r="K635" t="s">
        <v>30</v>
      </c>
      <c r="L635">
        <v>1</v>
      </c>
      <c r="M635" t="s">
        <v>148</v>
      </c>
      <c r="N635" t="s">
        <v>148</v>
      </c>
      <c r="O635" t="s">
        <v>148</v>
      </c>
      <c r="P635" s="2" t="str">
        <f t="shared" si="27"/>
        <v>29/04/2025 to 02/05/2025</v>
      </c>
      <c r="Q635" s="3">
        <v>45774</v>
      </c>
      <c r="R635" t="str">
        <f t="shared" si="28"/>
        <v>Late</v>
      </c>
      <c r="S635" t="s">
        <v>446</v>
      </c>
      <c r="T635">
        <v>12</v>
      </c>
      <c r="U635" t="s">
        <v>65</v>
      </c>
      <c r="V635" t="s">
        <v>72</v>
      </c>
      <c r="W635" t="str">
        <f t="shared" ca="1" si="29"/>
        <v>Dormant</v>
      </c>
    </row>
    <row r="636" spans="1:23" x14ac:dyDescent="0.2">
      <c r="A636">
        <v>1080</v>
      </c>
      <c r="B636" t="s">
        <v>3259</v>
      </c>
      <c r="C636" t="s">
        <v>3260</v>
      </c>
      <c r="D636" s="1" t="s">
        <v>708</v>
      </c>
      <c r="E636" t="s">
        <v>3261</v>
      </c>
      <c r="F636" t="s">
        <v>1139</v>
      </c>
      <c r="G636" s="4" t="s">
        <v>5423</v>
      </c>
      <c r="H636" t="s">
        <v>3262</v>
      </c>
      <c r="I636" t="s">
        <v>93</v>
      </c>
      <c r="J636" s="4" t="s">
        <v>5417</v>
      </c>
      <c r="K636" t="s">
        <v>373</v>
      </c>
      <c r="L636">
        <v>2</v>
      </c>
      <c r="M636" t="s">
        <v>154</v>
      </c>
      <c r="N636" t="s">
        <v>144</v>
      </c>
      <c r="O636" t="s">
        <v>144</v>
      </c>
      <c r="P636" s="2" t="str">
        <f t="shared" si="27"/>
        <v>30/04/2025 to 05/05/2025</v>
      </c>
      <c r="Q636" s="3">
        <v>45783</v>
      </c>
      <c r="R636" t="str">
        <f t="shared" si="28"/>
        <v>Late</v>
      </c>
      <c r="S636" t="s">
        <v>451</v>
      </c>
      <c r="T636">
        <v>19.5</v>
      </c>
      <c r="U636" t="s">
        <v>65</v>
      </c>
      <c r="V636" t="s">
        <v>80</v>
      </c>
      <c r="W636" t="str">
        <f t="shared" ca="1" si="29"/>
        <v>Dormant</v>
      </c>
    </row>
    <row r="637" spans="1:23" x14ac:dyDescent="0.2">
      <c r="A637">
        <v>1081</v>
      </c>
      <c r="B637" t="s">
        <v>3259</v>
      </c>
      <c r="C637" t="s">
        <v>3263</v>
      </c>
      <c r="D637" s="1" t="s">
        <v>708</v>
      </c>
      <c r="E637" t="s">
        <v>3261</v>
      </c>
      <c r="F637" t="s">
        <v>1139</v>
      </c>
      <c r="G637" s="4" t="s">
        <v>5423</v>
      </c>
      <c r="H637" t="s">
        <v>3262</v>
      </c>
      <c r="I637" t="s">
        <v>93</v>
      </c>
      <c r="J637" s="4" t="s">
        <v>68</v>
      </c>
      <c r="K637" t="s">
        <v>3264</v>
      </c>
      <c r="L637">
        <v>3</v>
      </c>
      <c r="M637" t="s">
        <v>154</v>
      </c>
      <c r="N637" t="s">
        <v>154</v>
      </c>
      <c r="O637" t="s">
        <v>154</v>
      </c>
      <c r="P637" s="2" t="str">
        <f t="shared" si="27"/>
        <v>30/04/2025 to 05/05/2025</v>
      </c>
      <c r="Q637" s="3">
        <v>45778</v>
      </c>
      <c r="R637" t="str">
        <f t="shared" si="28"/>
        <v>On-Time</v>
      </c>
      <c r="S637" t="s">
        <v>712</v>
      </c>
      <c r="T637">
        <v>31</v>
      </c>
      <c r="U637" t="s">
        <v>65</v>
      </c>
      <c r="V637" t="s">
        <v>72</v>
      </c>
      <c r="W637" t="str">
        <f t="shared" ca="1" si="29"/>
        <v>Dormant</v>
      </c>
    </row>
    <row r="638" spans="1:23" x14ac:dyDescent="0.2">
      <c r="A638">
        <v>1328</v>
      </c>
      <c r="B638" t="s">
        <v>3849</v>
      </c>
      <c r="C638" t="s">
        <v>3850</v>
      </c>
      <c r="D638" s="1" t="s">
        <v>708</v>
      </c>
      <c r="E638" t="s">
        <v>3851</v>
      </c>
      <c r="F638" t="s">
        <v>179</v>
      </c>
      <c r="G638" s="4" t="s">
        <v>5428</v>
      </c>
      <c r="H638" t="s">
        <v>2628</v>
      </c>
      <c r="I638" t="s">
        <v>93</v>
      </c>
      <c r="J638" s="4" t="s">
        <v>60</v>
      </c>
      <c r="K638" t="s">
        <v>1117</v>
      </c>
      <c r="L638">
        <v>2</v>
      </c>
      <c r="M638" t="s">
        <v>708</v>
      </c>
      <c r="N638" t="s">
        <v>708</v>
      </c>
      <c r="O638" t="s">
        <v>154</v>
      </c>
      <c r="P638" s="2" t="str">
        <f t="shared" si="27"/>
        <v>29/04/2025 to 02/05/2025</v>
      </c>
      <c r="Q638" s="3">
        <v>45776</v>
      </c>
      <c r="R638" t="str">
        <f t="shared" si="28"/>
        <v>On-Time</v>
      </c>
      <c r="S638" t="s">
        <v>455</v>
      </c>
      <c r="T638">
        <v>17.5</v>
      </c>
      <c r="U638" t="s">
        <v>65</v>
      </c>
      <c r="V638" t="s">
        <v>66</v>
      </c>
      <c r="W638" t="str">
        <f t="shared" ca="1" si="29"/>
        <v>Dormant</v>
      </c>
    </row>
    <row r="639" spans="1:23" x14ac:dyDescent="0.2">
      <c r="A639">
        <v>1329</v>
      </c>
      <c r="B639" t="s">
        <v>3849</v>
      </c>
      <c r="C639" t="s">
        <v>3852</v>
      </c>
      <c r="D639" s="1" t="s">
        <v>708</v>
      </c>
      <c r="E639" t="s">
        <v>3851</v>
      </c>
      <c r="F639" t="s">
        <v>179</v>
      </c>
      <c r="G639" s="4" t="s">
        <v>5428</v>
      </c>
      <c r="H639" t="s">
        <v>2628</v>
      </c>
      <c r="I639" t="s">
        <v>93</v>
      </c>
      <c r="J639" s="4" t="s">
        <v>68</v>
      </c>
      <c r="K639" t="s">
        <v>20</v>
      </c>
      <c r="L639">
        <v>1</v>
      </c>
      <c r="M639" t="s">
        <v>708</v>
      </c>
      <c r="N639" t="s">
        <v>708</v>
      </c>
      <c r="O639" t="s">
        <v>154</v>
      </c>
      <c r="P639" s="2" t="str">
        <f t="shared" si="27"/>
        <v>29/04/2025 to 02/05/2025</v>
      </c>
      <c r="Q639" s="3">
        <v>45778</v>
      </c>
      <c r="R639" t="str">
        <f t="shared" si="28"/>
        <v>On-Time</v>
      </c>
      <c r="S639" t="s">
        <v>455</v>
      </c>
      <c r="T639">
        <v>10.5</v>
      </c>
      <c r="U639" t="s">
        <v>65</v>
      </c>
      <c r="V639" t="s">
        <v>72</v>
      </c>
      <c r="W639" t="str">
        <f t="shared" ca="1" si="29"/>
        <v>Dormant</v>
      </c>
    </row>
    <row r="640" spans="1:23" x14ac:dyDescent="0.2">
      <c r="A640">
        <v>278</v>
      </c>
      <c r="B640" t="s">
        <v>1195</v>
      </c>
      <c r="C640" t="s">
        <v>1196</v>
      </c>
      <c r="D640" s="1" t="s">
        <v>154</v>
      </c>
      <c r="E640" t="s">
        <v>1197</v>
      </c>
      <c r="F640" t="s">
        <v>91</v>
      </c>
      <c r="G640" s="4" t="s">
        <v>5422</v>
      </c>
      <c r="H640" t="s">
        <v>1198</v>
      </c>
      <c r="I640" t="s">
        <v>59</v>
      </c>
      <c r="J640" s="4" t="s">
        <v>68</v>
      </c>
      <c r="K640" t="s">
        <v>16</v>
      </c>
      <c r="L640">
        <v>1</v>
      </c>
      <c r="M640" t="s">
        <v>144</v>
      </c>
      <c r="N640" t="s">
        <v>145</v>
      </c>
      <c r="O640" t="s">
        <v>289</v>
      </c>
      <c r="P640" s="2" t="str">
        <f t="shared" si="27"/>
        <v>02/05/2025 to 07/05/2025</v>
      </c>
      <c r="Q640" s="3">
        <v>45784</v>
      </c>
      <c r="R640" t="str">
        <f t="shared" si="28"/>
        <v>On-Time</v>
      </c>
      <c r="S640" t="s">
        <v>157</v>
      </c>
      <c r="T640">
        <v>11</v>
      </c>
      <c r="U640" t="s">
        <v>65</v>
      </c>
      <c r="V640" t="s">
        <v>72</v>
      </c>
      <c r="W640" t="str">
        <f t="shared" ca="1" si="29"/>
        <v>Dormant</v>
      </c>
    </row>
    <row r="641" spans="1:23" x14ac:dyDescent="0.2">
      <c r="A641">
        <v>279</v>
      </c>
      <c r="B641" t="s">
        <v>1195</v>
      </c>
      <c r="C641" t="s">
        <v>1199</v>
      </c>
      <c r="D641" s="1" t="s">
        <v>154</v>
      </c>
      <c r="E641" t="s">
        <v>1197</v>
      </c>
      <c r="F641" t="s">
        <v>91</v>
      </c>
      <c r="G641" s="4" t="s">
        <v>5424</v>
      </c>
      <c r="H641" t="s">
        <v>1198</v>
      </c>
      <c r="I641" t="s">
        <v>59</v>
      </c>
      <c r="J641" s="4" t="s">
        <v>74</v>
      </c>
      <c r="K641" t="s">
        <v>4</v>
      </c>
      <c r="L641">
        <v>1</v>
      </c>
      <c r="M641" t="s">
        <v>154</v>
      </c>
      <c r="N641" t="s">
        <v>154</v>
      </c>
      <c r="O641" t="s">
        <v>154</v>
      </c>
      <c r="P641" s="2" t="str">
        <f t="shared" si="27"/>
        <v>30/04/2025 to 05/05/2025</v>
      </c>
      <c r="Q641" s="3">
        <v>45781</v>
      </c>
      <c r="R641" t="str">
        <f t="shared" si="28"/>
        <v>On-Time</v>
      </c>
      <c r="S641" t="s">
        <v>296</v>
      </c>
      <c r="T641">
        <v>8</v>
      </c>
      <c r="U641" t="s">
        <v>65</v>
      </c>
      <c r="V641" t="s">
        <v>80</v>
      </c>
      <c r="W641" t="str">
        <f t="shared" ca="1" si="29"/>
        <v>Dormant</v>
      </c>
    </row>
    <row r="642" spans="1:23" x14ac:dyDescent="0.2">
      <c r="A642">
        <v>280</v>
      </c>
      <c r="B642" t="s">
        <v>1195</v>
      </c>
      <c r="C642" t="s">
        <v>1200</v>
      </c>
      <c r="D642" s="1" t="s">
        <v>154</v>
      </c>
      <c r="E642" t="s">
        <v>1197</v>
      </c>
      <c r="F642" t="s">
        <v>91</v>
      </c>
      <c r="G642" s="4" t="s">
        <v>5424</v>
      </c>
      <c r="H642" t="s">
        <v>1198</v>
      </c>
      <c r="I642" t="s">
        <v>59</v>
      </c>
      <c r="J642" s="4" t="s">
        <v>68</v>
      </c>
      <c r="K642" t="s">
        <v>8</v>
      </c>
      <c r="L642">
        <v>1</v>
      </c>
      <c r="M642" t="s">
        <v>154</v>
      </c>
      <c r="N642" t="s">
        <v>154</v>
      </c>
      <c r="O642" t="s">
        <v>149</v>
      </c>
      <c r="P642" s="2" t="str">
        <f t="shared" ref="P642:P705" si="30">IF(ISBLANK(M642), "", TEXT(WORKDAY(M642, 7), "dd/mm/yyyy") &amp; " to " &amp; TEXT(WORKDAY(M642, 10), "dd/mm/yyyy"))</f>
        <v>30/04/2025 to 05/05/2025</v>
      </c>
      <c r="Q642" s="3">
        <v>45779</v>
      </c>
      <c r="R642" t="str">
        <f t="shared" ref="R642:R705" si="31">IF(Q642="","In Progress",
IF(AND(--Q642&gt;=DATEVALUE(LEFT(P642,10)),
       --Q642&lt;=DATEVALUE(TRIM(MID(P642,FIND("to",P642)+3,10)))),
   "On-Time","Late"))</f>
        <v>On-Time</v>
      </c>
      <c r="S642" t="s">
        <v>713</v>
      </c>
      <c r="T642">
        <v>9</v>
      </c>
      <c r="U642" t="s">
        <v>65</v>
      </c>
      <c r="V642" t="s">
        <v>66</v>
      </c>
      <c r="W642" t="str">
        <f t="shared" ca="1" si="29"/>
        <v>Dormant</v>
      </c>
    </row>
    <row r="643" spans="1:23" x14ac:dyDescent="0.2">
      <c r="A643">
        <v>1594</v>
      </c>
      <c r="B643" t="s">
        <v>4492</v>
      </c>
      <c r="C643" t="s">
        <v>4493</v>
      </c>
      <c r="D643" s="1" t="s">
        <v>154</v>
      </c>
      <c r="E643" t="s">
        <v>4494</v>
      </c>
      <c r="F643" t="s">
        <v>1658</v>
      </c>
      <c r="G643" s="4" t="s">
        <v>5423</v>
      </c>
      <c r="H643" t="s">
        <v>4495</v>
      </c>
      <c r="I643" t="s">
        <v>112</v>
      </c>
      <c r="J643" s="4" t="s">
        <v>60</v>
      </c>
      <c r="K643" t="s">
        <v>4496</v>
      </c>
      <c r="L643">
        <v>2</v>
      </c>
      <c r="M643" t="s">
        <v>144</v>
      </c>
      <c r="N643" t="s">
        <v>144</v>
      </c>
      <c r="O643" t="s">
        <v>144</v>
      </c>
      <c r="P643" s="2" t="str">
        <f t="shared" si="30"/>
        <v>02/05/2025 to 07/05/2025</v>
      </c>
      <c r="Q643" s="3">
        <v>45782</v>
      </c>
      <c r="R643" t="str">
        <f t="shared" si="31"/>
        <v>On-Time</v>
      </c>
      <c r="S643" t="s">
        <v>290</v>
      </c>
      <c r="T643">
        <v>17</v>
      </c>
      <c r="U643" t="s">
        <v>79</v>
      </c>
      <c r="V643" t="s">
        <v>66</v>
      </c>
      <c r="W643" t="str">
        <f t="shared" ref="W643:W706" ca="1" si="32">IF(D643="","",
IF(TODAY()-D643&lt;=120,"Active",
IF(TODAY()-D643&lt;=210,"At Risk",
IF(TODAY()-D643&lt;=395,"Dormant",
IF(TODAY()-D643&lt;=730,"Inactive","Archived")))))</f>
        <v>Dormant</v>
      </c>
    </row>
    <row r="644" spans="1:23" x14ac:dyDescent="0.2">
      <c r="A644">
        <v>1595</v>
      </c>
      <c r="B644" t="s">
        <v>4492</v>
      </c>
      <c r="C644" t="s">
        <v>4497</v>
      </c>
      <c r="D644" s="1" t="s">
        <v>154</v>
      </c>
      <c r="E644" t="s">
        <v>4494</v>
      </c>
      <c r="F644" t="s">
        <v>1658</v>
      </c>
      <c r="G644" s="4" t="s">
        <v>38</v>
      </c>
      <c r="H644" t="s">
        <v>4495</v>
      </c>
      <c r="I644" t="s">
        <v>112</v>
      </c>
      <c r="J644" s="4" t="s">
        <v>74</v>
      </c>
      <c r="K644" t="s">
        <v>2910</v>
      </c>
      <c r="L644">
        <v>2</v>
      </c>
      <c r="M644" t="s">
        <v>154</v>
      </c>
      <c r="N644" t="s">
        <v>149</v>
      </c>
      <c r="O644" t="s">
        <v>144</v>
      </c>
      <c r="P644" s="2" t="str">
        <f t="shared" si="30"/>
        <v>30/04/2025 to 05/05/2025</v>
      </c>
      <c r="Q644" s="3">
        <v>45778</v>
      </c>
      <c r="R644" t="str">
        <f t="shared" si="31"/>
        <v>On-Time</v>
      </c>
      <c r="S644" t="s">
        <v>713</v>
      </c>
      <c r="T644">
        <v>22</v>
      </c>
      <c r="U644" t="s">
        <v>79</v>
      </c>
      <c r="V644" t="s">
        <v>72</v>
      </c>
      <c r="W644" t="str">
        <f t="shared" ca="1" si="32"/>
        <v>Dormant</v>
      </c>
    </row>
    <row r="645" spans="1:23" x14ac:dyDescent="0.2">
      <c r="A645">
        <v>1596</v>
      </c>
      <c r="B645" t="s">
        <v>4492</v>
      </c>
      <c r="C645" t="s">
        <v>4498</v>
      </c>
      <c r="D645" s="1" t="s">
        <v>154</v>
      </c>
      <c r="E645" t="s">
        <v>4494</v>
      </c>
      <c r="F645" t="s">
        <v>1658</v>
      </c>
      <c r="G645" s="4" t="s">
        <v>5426</v>
      </c>
      <c r="H645" t="s">
        <v>4495</v>
      </c>
      <c r="I645" t="s">
        <v>112</v>
      </c>
      <c r="J645" s="4" t="s">
        <v>68</v>
      </c>
      <c r="K645" t="s">
        <v>4499</v>
      </c>
      <c r="L645">
        <v>3</v>
      </c>
      <c r="M645" t="s">
        <v>149</v>
      </c>
      <c r="N645" t="s">
        <v>149</v>
      </c>
      <c r="O645" t="s">
        <v>149</v>
      </c>
      <c r="P645" s="2" t="str">
        <f t="shared" si="30"/>
        <v>01/05/2025 to 06/05/2025</v>
      </c>
      <c r="Q645" s="3">
        <v>45777</v>
      </c>
      <c r="R645" t="str">
        <f t="shared" si="31"/>
        <v>Late</v>
      </c>
      <c r="S645" t="s">
        <v>712</v>
      </c>
      <c r="T645">
        <v>25</v>
      </c>
      <c r="U645" t="s">
        <v>65</v>
      </c>
      <c r="V645" t="s">
        <v>72</v>
      </c>
      <c r="W645" t="str">
        <f t="shared" ca="1" si="32"/>
        <v>Dormant</v>
      </c>
    </row>
    <row r="646" spans="1:23" x14ac:dyDescent="0.2">
      <c r="A646">
        <v>43</v>
      </c>
      <c r="B646" t="s">
        <v>283</v>
      </c>
      <c r="C646" t="s">
        <v>284</v>
      </c>
      <c r="D646" s="1" t="s">
        <v>149</v>
      </c>
      <c r="E646" t="s">
        <v>285</v>
      </c>
      <c r="F646" t="s">
        <v>286</v>
      </c>
      <c r="G646" s="4" t="s">
        <v>5427</v>
      </c>
      <c r="H646" t="s">
        <v>287</v>
      </c>
      <c r="I646" t="s">
        <v>59</v>
      </c>
      <c r="J646" s="4" t="s">
        <v>60</v>
      </c>
      <c r="K646" t="s">
        <v>288</v>
      </c>
      <c r="L646">
        <v>3</v>
      </c>
      <c r="M646" t="s">
        <v>145</v>
      </c>
      <c r="N646" t="s">
        <v>289</v>
      </c>
      <c r="O646" t="s">
        <v>289</v>
      </c>
      <c r="P646" s="2" t="str">
        <f t="shared" si="30"/>
        <v>05/05/2025 to 08/05/2025</v>
      </c>
      <c r="Q646" s="3">
        <v>45783</v>
      </c>
      <c r="R646" t="str">
        <f t="shared" si="31"/>
        <v>On-Time</v>
      </c>
      <c r="S646" t="s">
        <v>290</v>
      </c>
      <c r="T646">
        <v>27.5</v>
      </c>
      <c r="U646" t="s">
        <v>79</v>
      </c>
      <c r="V646" t="s">
        <v>66</v>
      </c>
      <c r="W646" t="str">
        <f t="shared" ca="1" si="32"/>
        <v>Dormant</v>
      </c>
    </row>
    <row r="647" spans="1:23" x14ac:dyDescent="0.2">
      <c r="A647">
        <v>44</v>
      </c>
      <c r="B647" t="s">
        <v>283</v>
      </c>
      <c r="C647" t="s">
        <v>291</v>
      </c>
      <c r="D647" s="1" t="s">
        <v>149</v>
      </c>
      <c r="E647" t="s">
        <v>285</v>
      </c>
      <c r="F647" t="s">
        <v>286</v>
      </c>
      <c r="G647" s="4" t="s">
        <v>5418</v>
      </c>
      <c r="H647" t="s">
        <v>287</v>
      </c>
      <c r="I647" t="s">
        <v>59</v>
      </c>
      <c r="J647" s="4" t="s">
        <v>60</v>
      </c>
      <c r="K647" t="s">
        <v>292</v>
      </c>
      <c r="L647">
        <v>2</v>
      </c>
      <c r="M647" t="s">
        <v>144</v>
      </c>
      <c r="N647" t="s">
        <v>289</v>
      </c>
      <c r="O647" t="s">
        <v>289</v>
      </c>
      <c r="P647" s="2" t="str">
        <f t="shared" si="30"/>
        <v>02/05/2025 to 07/05/2025</v>
      </c>
      <c r="Q647" s="3">
        <v>45781</v>
      </c>
      <c r="R647" t="str">
        <f t="shared" si="31"/>
        <v>On-Time</v>
      </c>
      <c r="S647" t="s">
        <v>290</v>
      </c>
      <c r="T647">
        <v>18.5</v>
      </c>
      <c r="U647" t="s">
        <v>65</v>
      </c>
      <c r="V647" t="s">
        <v>72</v>
      </c>
      <c r="W647" t="str">
        <f t="shared" ca="1" si="32"/>
        <v>Dormant</v>
      </c>
    </row>
    <row r="648" spans="1:23" x14ac:dyDescent="0.2">
      <c r="A648">
        <v>45</v>
      </c>
      <c r="B648" t="s">
        <v>283</v>
      </c>
      <c r="C648" t="s">
        <v>294</v>
      </c>
      <c r="D648" s="1" t="s">
        <v>149</v>
      </c>
      <c r="E648" t="s">
        <v>285</v>
      </c>
      <c r="F648" t="s">
        <v>286</v>
      </c>
      <c r="G648" s="4" t="s">
        <v>5427</v>
      </c>
      <c r="H648" t="s">
        <v>287</v>
      </c>
      <c r="I648" t="s">
        <v>59</v>
      </c>
      <c r="J648" s="4" t="s">
        <v>74</v>
      </c>
      <c r="K648" t="s">
        <v>295</v>
      </c>
      <c r="L648">
        <v>2</v>
      </c>
      <c r="M648" t="s">
        <v>149</v>
      </c>
      <c r="N648" t="s">
        <v>144</v>
      </c>
      <c r="O648" t="s">
        <v>144</v>
      </c>
      <c r="P648" s="2" t="str">
        <f t="shared" si="30"/>
        <v>01/05/2025 to 06/05/2025</v>
      </c>
      <c r="Q648" s="3">
        <v>45782</v>
      </c>
      <c r="R648" t="str">
        <f t="shared" si="31"/>
        <v>On-Time</v>
      </c>
      <c r="S648" t="s">
        <v>296</v>
      </c>
      <c r="T648">
        <v>24.5</v>
      </c>
      <c r="U648" t="s">
        <v>79</v>
      </c>
      <c r="V648" t="s">
        <v>80</v>
      </c>
      <c r="W648" t="str">
        <f t="shared" ca="1" si="32"/>
        <v>Dormant</v>
      </c>
    </row>
    <row r="649" spans="1:23" x14ac:dyDescent="0.2">
      <c r="A649">
        <v>46</v>
      </c>
      <c r="B649" t="s">
        <v>283</v>
      </c>
      <c r="C649" t="s">
        <v>297</v>
      </c>
      <c r="D649" s="1" t="s">
        <v>149</v>
      </c>
      <c r="E649" t="s">
        <v>285</v>
      </c>
      <c r="F649" t="s">
        <v>286</v>
      </c>
      <c r="G649" s="4" t="s">
        <v>5420</v>
      </c>
      <c r="H649" t="s">
        <v>287</v>
      </c>
      <c r="I649" t="s">
        <v>59</v>
      </c>
      <c r="J649" s="4" t="s">
        <v>60</v>
      </c>
      <c r="K649" t="s">
        <v>298</v>
      </c>
      <c r="L649">
        <v>2</v>
      </c>
      <c r="M649" t="s">
        <v>145</v>
      </c>
      <c r="N649" t="s">
        <v>289</v>
      </c>
      <c r="O649" t="s">
        <v>289</v>
      </c>
      <c r="P649" s="2" t="str">
        <f t="shared" si="30"/>
        <v>05/05/2025 to 08/05/2025</v>
      </c>
      <c r="Q649" s="3">
        <v>45781</v>
      </c>
      <c r="R649" t="str">
        <f t="shared" si="31"/>
        <v>Late</v>
      </c>
      <c r="S649" t="s">
        <v>293</v>
      </c>
      <c r="T649">
        <v>20</v>
      </c>
      <c r="U649" t="s">
        <v>79</v>
      </c>
      <c r="V649" t="s">
        <v>66</v>
      </c>
      <c r="W649" t="str">
        <f t="shared" ca="1" si="32"/>
        <v>Dormant</v>
      </c>
    </row>
    <row r="650" spans="1:23" x14ac:dyDescent="0.2">
      <c r="A650">
        <v>753</v>
      </c>
      <c r="B650" t="s">
        <v>2460</v>
      </c>
      <c r="C650" t="s">
        <v>2461</v>
      </c>
      <c r="D650" s="1" t="s">
        <v>149</v>
      </c>
      <c r="E650" t="s">
        <v>2462</v>
      </c>
      <c r="F650" t="s">
        <v>607</v>
      </c>
      <c r="G650" s="4" t="s">
        <v>5422</v>
      </c>
      <c r="H650" t="s">
        <v>2463</v>
      </c>
      <c r="I650" t="s">
        <v>93</v>
      </c>
      <c r="J650" s="4" t="s">
        <v>5417</v>
      </c>
      <c r="K650" t="s">
        <v>2464</v>
      </c>
      <c r="L650">
        <v>4</v>
      </c>
      <c r="M650" t="s">
        <v>144</v>
      </c>
      <c r="N650" t="s">
        <v>144</v>
      </c>
      <c r="O650" t="s">
        <v>144</v>
      </c>
      <c r="P650" s="2" t="str">
        <f t="shared" si="30"/>
        <v>02/05/2025 to 07/05/2025</v>
      </c>
      <c r="Q650" s="3">
        <v>45778</v>
      </c>
      <c r="R650" t="str">
        <f t="shared" si="31"/>
        <v>Late</v>
      </c>
      <c r="S650" t="s">
        <v>455</v>
      </c>
      <c r="T650">
        <v>37</v>
      </c>
      <c r="U650" t="s">
        <v>79</v>
      </c>
      <c r="V650" t="s">
        <v>80</v>
      </c>
      <c r="W650" t="str">
        <f t="shared" ca="1" si="32"/>
        <v>Dormant</v>
      </c>
    </row>
    <row r="651" spans="1:23" x14ac:dyDescent="0.2">
      <c r="A651">
        <v>1399</v>
      </c>
      <c r="B651" t="s">
        <v>4020</v>
      </c>
      <c r="C651" t="s">
        <v>4021</v>
      </c>
      <c r="D651" s="1" t="s">
        <v>145</v>
      </c>
      <c r="E651" t="s">
        <v>4022</v>
      </c>
      <c r="F651" t="s">
        <v>371</v>
      </c>
      <c r="G651" s="4" t="s">
        <v>5419</v>
      </c>
      <c r="H651" t="s">
        <v>4023</v>
      </c>
      <c r="I651" t="s">
        <v>59</v>
      </c>
      <c r="J651" s="4" t="s">
        <v>68</v>
      </c>
      <c r="K651" t="s">
        <v>16</v>
      </c>
      <c r="L651">
        <v>1</v>
      </c>
      <c r="M651" t="s">
        <v>141</v>
      </c>
      <c r="N651" t="s">
        <v>142</v>
      </c>
      <c r="O651" t="s">
        <v>555</v>
      </c>
      <c r="P651" s="2" t="str">
        <f t="shared" si="30"/>
        <v>06/05/2025 to 09/05/2025</v>
      </c>
      <c r="Q651" s="3">
        <v>45787</v>
      </c>
      <c r="R651" t="str">
        <f t="shared" si="31"/>
        <v>Late</v>
      </c>
      <c r="S651" t="s">
        <v>162</v>
      </c>
      <c r="T651">
        <v>11</v>
      </c>
      <c r="U651" t="s">
        <v>79</v>
      </c>
      <c r="V651" t="s">
        <v>80</v>
      </c>
      <c r="W651" t="str">
        <f t="shared" ca="1" si="32"/>
        <v>Dormant</v>
      </c>
    </row>
    <row r="652" spans="1:23" x14ac:dyDescent="0.2">
      <c r="A652">
        <v>1400</v>
      </c>
      <c r="B652" t="s">
        <v>4020</v>
      </c>
      <c r="C652" t="s">
        <v>4024</v>
      </c>
      <c r="D652" s="1" t="s">
        <v>145</v>
      </c>
      <c r="E652" t="s">
        <v>4022</v>
      </c>
      <c r="F652" t="s">
        <v>371</v>
      </c>
      <c r="G652" s="4" t="s">
        <v>5427</v>
      </c>
      <c r="H652" t="s">
        <v>4023</v>
      </c>
      <c r="I652" t="s">
        <v>59</v>
      </c>
      <c r="J652" s="4" t="s">
        <v>5417</v>
      </c>
      <c r="K652" t="s">
        <v>8</v>
      </c>
      <c r="L652">
        <v>1</v>
      </c>
      <c r="M652" t="s">
        <v>141</v>
      </c>
      <c r="N652" t="s">
        <v>142</v>
      </c>
      <c r="O652" t="s">
        <v>142</v>
      </c>
      <c r="P652" s="2" t="str">
        <f t="shared" si="30"/>
        <v>06/05/2025 to 09/05/2025</v>
      </c>
      <c r="Q652" s="3">
        <v>45784</v>
      </c>
      <c r="R652" t="str">
        <f t="shared" si="31"/>
        <v>On-Time</v>
      </c>
      <c r="S652" t="s">
        <v>452</v>
      </c>
      <c r="T652">
        <v>9</v>
      </c>
      <c r="U652" t="s">
        <v>79</v>
      </c>
      <c r="V652" t="s">
        <v>72</v>
      </c>
      <c r="W652" t="str">
        <f t="shared" ca="1" si="32"/>
        <v>Dormant</v>
      </c>
    </row>
    <row r="653" spans="1:23" x14ac:dyDescent="0.2">
      <c r="A653">
        <v>1401</v>
      </c>
      <c r="B653" t="s">
        <v>4020</v>
      </c>
      <c r="C653" t="s">
        <v>4025</v>
      </c>
      <c r="D653" s="1" t="s">
        <v>145</v>
      </c>
      <c r="E653" t="s">
        <v>4022</v>
      </c>
      <c r="F653" t="s">
        <v>371</v>
      </c>
      <c r="G653" s="4" t="s">
        <v>5419</v>
      </c>
      <c r="H653" t="s">
        <v>4023</v>
      </c>
      <c r="I653" t="s">
        <v>59</v>
      </c>
      <c r="J653" s="4" t="s">
        <v>60</v>
      </c>
      <c r="K653" t="s">
        <v>18</v>
      </c>
      <c r="L653">
        <v>1</v>
      </c>
      <c r="M653" t="s">
        <v>145</v>
      </c>
      <c r="N653" t="s">
        <v>145</v>
      </c>
      <c r="O653" t="s">
        <v>289</v>
      </c>
      <c r="P653" s="2" t="str">
        <f t="shared" si="30"/>
        <v>05/05/2025 to 08/05/2025</v>
      </c>
      <c r="Q653" s="3">
        <v>45782</v>
      </c>
      <c r="R653" t="str">
        <f t="shared" si="31"/>
        <v>On-Time</v>
      </c>
      <c r="S653" t="s">
        <v>296</v>
      </c>
      <c r="T653">
        <v>8.5</v>
      </c>
      <c r="U653" t="s">
        <v>79</v>
      </c>
      <c r="V653" t="s">
        <v>80</v>
      </c>
      <c r="W653" t="str">
        <f t="shared" ca="1" si="32"/>
        <v>Dormant</v>
      </c>
    </row>
    <row r="654" spans="1:23" x14ac:dyDescent="0.2">
      <c r="A654">
        <v>1402</v>
      </c>
      <c r="B654" t="s">
        <v>4020</v>
      </c>
      <c r="C654" t="s">
        <v>4026</v>
      </c>
      <c r="D654" s="1" t="s">
        <v>145</v>
      </c>
      <c r="E654" t="s">
        <v>4022</v>
      </c>
      <c r="F654" t="s">
        <v>371</v>
      </c>
      <c r="G654" s="4" t="s">
        <v>5422</v>
      </c>
      <c r="H654" t="s">
        <v>4023</v>
      </c>
      <c r="I654" t="s">
        <v>59</v>
      </c>
      <c r="J654" s="4" t="s">
        <v>5417</v>
      </c>
      <c r="K654" t="s">
        <v>1366</v>
      </c>
      <c r="L654">
        <v>2</v>
      </c>
      <c r="M654" t="s">
        <v>141</v>
      </c>
      <c r="N654" t="s">
        <v>555</v>
      </c>
      <c r="O654" t="s">
        <v>141</v>
      </c>
      <c r="P654" s="2" t="str">
        <f t="shared" si="30"/>
        <v>06/05/2025 to 09/05/2025</v>
      </c>
      <c r="Q654" s="3">
        <v>45782</v>
      </c>
      <c r="R654" t="str">
        <f t="shared" si="31"/>
        <v>Late</v>
      </c>
      <c r="S654" t="s">
        <v>451</v>
      </c>
      <c r="T654">
        <v>22</v>
      </c>
      <c r="U654" t="s">
        <v>79</v>
      </c>
      <c r="V654" t="s">
        <v>72</v>
      </c>
      <c r="W654" t="str">
        <f t="shared" ca="1" si="32"/>
        <v>Dormant</v>
      </c>
    </row>
    <row r="655" spans="1:23" x14ac:dyDescent="0.2">
      <c r="A655">
        <v>1403</v>
      </c>
      <c r="B655" t="s">
        <v>4020</v>
      </c>
      <c r="C655" t="s">
        <v>4027</v>
      </c>
      <c r="D655" s="1" t="s">
        <v>145</v>
      </c>
      <c r="E655" t="s">
        <v>4022</v>
      </c>
      <c r="F655" t="s">
        <v>371</v>
      </c>
      <c r="G655" s="4" t="s">
        <v>5420</v>
      </c>
      <c r="H655" t="s">
        <v>4023</v>
      </c>
      <c r="I655" t="s">
        <v>59</v>
      </c>
      <c r="J655" s="4" t="s">
        <v>68</v>
      </c>
      <c r="K655" t="s">
        <v>379</v>
      </c>
      <c r="L655">
        <v>2</v>
      </c>
      <c r="M655" t="s">
        <v>145</v>
      </c>
      <c r="N655" t="s">
        <v>141</v>
      </c>
      <c r="O655" t="s">
        <v>145</v>
      </c>
      <c r="P655" s="2" t="str">
        <f t="shared" si="30"/>
        <v>05/05/2025 to 08/05/2025</v>
      </c>
      <c r="Q655" s="3">
        <v>45781</v>
      </c>
      <c r="R655" t="str">
        <f t="shared" si="31"/>
        <v>Late</v>
      </c>
      <c r="S655" t="s">
        <v>293</v>
      </c>
      <c r="T655">
        <v>17.5</v>
      </c>
      <c r="U655" t="s">
        <v>65</v>
      </c>
      <c r="V655" t="s">
        <v>72</v>
      </c>
      <c r="W655" t="str">
        <f t="shared" ca="1" si="32"/>
        <v>Dormant</v>
      </c>
    </row>
    <row r="656" spans="1:23" x14ac:dyDescent="0.2">
      <c r="A656">
        <v>1501</v>
      </c>
      <c r="B656" t="s">
        <v>4271</v>
      </c>
      <c r="C656" t="s">
        <v>4272</v>
      </c>
      <c r="D656" s="1" t="s">
        <v>145</v>
      </c>
      <c r="E656" t="s">
        <v>4273</v>
      </c>
      <c r="F656" t="s">
        <v>179</v>
      </c>
      <c r="G656" s="4" t="s">
        <v>5421</v>
      </c>
      <c r="H656" t="s">
        <v>4274</v>
      </c>
      <c r="I656" t="s">
        <v>93</v>
      </c>
      <c r="J656" s="4" t="s">
        <v>60</v>
      </c>
      <c r="K656" t="s">
        <v>4275</v>
      </c>
      <c r="L656">
        <v>4</v>
      </c>
      <c r="M656" t="s">
        <v>145</v>
      </c>
      <c r="N656" t="s">
        <v>141</v>
      </c>
      <c r="O656" t="s">
        <v>141</v>
      </c>
      <c r="P656" s="2" t="str">
        <f t="shared" si="30"/>
        <v>05/05/2025 to 08/05/2025</v>
      </c>
      <c r="Q656" s="3">
        <v>45782</v>
      </c>
      <c r="R656" t="str">
        <f t="shared" si="31"/>
        <v>On-Time</v>
      </c>
      <c r="S656" t="s">
        <v>290</v>
      </c>
      <c r="T656">
        <v>40</v>
      </c>
      <c r="U656" t="s">
        <v>65</v>
      </c>
      <c r="V656" t="s">
        <v>72</v>
      </c>
      <c r="W656" t="str">
        <f t="shared" ca="1" si="32"/>
        <v>Dormant</v>
      </c>
    </row>
    <row r="657" spans="1:23" x14ac:dyDescent="0.2">
      <c r="A657">
        <v>100</v>
      </c>
      <c r="B657" t="s">
        <v>550</v>
      </c>
      <c r="C657" t="s">
        <v>551</v>
      </c>
      <c r="D657" s="1" t="s">
        <v>289</v>
      </c>
      <c r="E657" t="s">
        <v>552</v>
      </c>
      <c r="F657" t="s">
        <v>553</v>
      </c>
      <c r="G657" s="4" t="s">
        <v>5427</v>
      </c>
      <c r="H657" t="s">
        <v>554</v>
      </c>
      <c r="I657" t="s">
        <v>93</v>
      </c>
      <c r="J657" s="4" t="s">
        <v>74</v>
      </c>
      <c r="K657" t="s">
        <v>30</v>
      </c>
      <c r="L657">
        <v>1</v>
      </c>
      <c r="M657" t="s">
        <v>289</v>
      </c>
      <c r="N657" t="s">
        <v>555</v>
      </c>
      <c r="O657" t="s">
        <v>289</v>
      </c>
      <c r="P657" s="2" t="str">
        <f t="shared" si="30"/>
        <v>06/05/2025 to 09/05/2025</v>
      </c>
      <c r="Q657" s="3">
        <v>45781</v>
      </c>
      <c r="R657" t="str">
        <f t="shared" si="31"/>
        <v>Late</v>
      </c>
      <c r="S657" t="s">
        <v>290</v>
      </c>
      <c r="T657">
        <v>12</v>
      </c>
      <c r="U657" t="s">
        <v>65</v>
      </c>
      <c r="V657" t="s">
        <v>72</v>
      </c>
      <c r="W657" t="str">
        <f t="shared" ca="1" si="32"/>
        <v>Dormant</v>
      </c>
    </row>
    <row r="658" spans="1:23" x14ac:dyDescent="0.2">
      <c r="A658">
        <v>1446</v>
      </c>
      <c r="B658" t="s">
        <v>4136</v>
      </c>
      <c r="C658" t="s">
        <v>4137</v>
      </c>
      <c r="D658" s="1" t="s">
        <v>289</v>
      </c>
      <c r="E658" t="s">
        <v>4138</v>
      </c>
      <c r="F658" t="s">
        <v>1036</v>
      </c>
      <c r="G658" s="4" t="s">
        <v>38</v>
      </c>
      <c r="H658" t="s">
        <v>4139</v>
      </c>
      <c r="I658" t="s">
        <v>112</v>
      </c>
      <c r="J658" s="4" t="s">
        <v>60</v>
      </c>
      <c r="K658" t="s">
        <v>4140</v>
      </c>
      <c r="L658">
        <v>4</v>
      </c>
      <c r="M658" t="s">
        <v>289</v>
      </c>
      <c r="N658" t="s">
        <v>289</v>
      </c>
      <c r="O658" t="s">
        <v>141</v>
      </c>
      <c r="P658" s="2" t="str">
        <f t="shared" si="30"/>
        <v>06/05/2025 to 09/05/2025</v>
      </c>
      <c r="Q658" s="3">
        <v>45782</v>
      </c>
      <c r="R658" t="str">
        <f t="shared" si="31"/>
        <v>Late</v>
      </c>
      <c r="S658" t="s">
        <v>290</v>
      </c>
      <c r="T658">
        <v>38.5</v>
      </c>
      <c r="U658" t="s">
        <v>65</v>
      </c>
      <c r="V658" t="s">
        <v>72</v>
      </c>
      <c r="W658" t="str">
        <f t="shared" ca="1" si="32"/>
        <v>Dormant</v>
      </c>
    </row>
    <row r="659" spans="1:23" x14ac:dyDescent="0.2">
      <c r="A659">
        <v>1447</v>
      </c>
      <c r="B659" t="s">
        <v>4136</v>
      </c>
      <c r="C659" t="s">
        <v>4141</v>
      </c>
      <c r="D659" s="1" t="s">
        <v>289</v>
      </c>
      <c r="E659" t="s">
        <v>4138</v>
      </c>
      <c r="F659" t="s">
        <v>1036</v>
      </c>
      <c r="G659" s="4" t="s">
        <v>5423</v>
      </c>
      <c r="H659" t="s">
        <v>4139</v>
      </c>
      <c r="I659" t="s">
        <v>112</v>
      </c>
      <c r="J659" s="4" t="s">
        <v>74</v>
      </c>
      <c r="K659" t="s">
        <v>4142</v>
      </c>
      <c r="L659">
        <v>4</v>
      </c>
      <c r="M659" t="s">
        <v>555</v>
      </c>
      <c r="N659" t="s">
        <v>142</v>
      </c>
      <c r="O659" t="s">
        <v>142</v>
      </c>
      <c r="P659" s="2" t="str">
        <f t="shared" si="30"/>
        <v>06/05/2025 to 09/05/2025</v>
      </c>
      <c r="Q659" s="3">
        <v>45787</v>
      </c>
      <c r="R659" t="str">
        <f t="shared" si="31"/>
        <v>Late</v>
      </c>
      <c r="S659" t="s">
        <v>162</v>
      </c>
      <c r="T659">
        <v>43</v>
      </c>
      <c r="U659" t="s">
        <v>79</v>
      </c>
      <c r="V659" t="s">
        <v>66</v>
      </c>
      <c r="W659" t="str">
        <f t="shared" ca="1" si="32"/>
        <v>Dormant</v>
      </c>
    </row>
    <row r="660" spans="1:23" x14ac:dyDescent="0.2">
      <c r="A660">
        <v>1448</v>
      </c>
      <c r="B660" t="s">
        <v>4136</v>
      </c>
      <c r="C660" t="s">
        <v>4143</v>
      </c>
      <c r="D660" s="1" t="s">
        <v>289</v>
      </c>
      <c r="E660" t="s">
        <v>4138</v>
      </c>
      <c r="F660" t="s">
        <v>1036</v>
      </c>
      <c r="G660" s="4" t="s">
        <v>5418</v>
      </c>
      <c r="H660" t="s">
        <v>4139</v>
      </c>
      <c r="I660" t="s">
        <v>112</v>
      </c>
      <c r="J660" s="4" t="s">
        <v>74</v>
      </c>
      <c r="K660" t="s">
        <v>4144</v>
      </c>
      <c r="L660">
        <v>4</v>
      </c>
      <c r="M660" t="s">
        <v>141</v>
      </c>
      <c r="N660" t="s">
        <v>142</v>
      </c>
      <c r="O660" t="s">
        <v>555</v>
      </c>
      <c r="P660" s="2" t="str">
        <f t="shared" si="30"/>
        <v>06/05/2025 to 09/05/2025</v>
      </c>
      <c r="Q660" s="3">
        <v>45786</v>
      </c>
      <c r="R660" t="str">
        <f t="shared" si="31"/>
        <v>On-Time</v>
      </c>
      <c r="S660" t="s">
        <v>162</v>
      </c>
      <c r="T660">
        <v>34</v>
      </c>
      <c r="U660" t="s">
        <v>65</v>
      </c>
      <c r="V660" t="s">
        <v>66</v>
      </c>
      <c r="W660" t="str">
        <f t="shared" ca="1" si="32"/>
        <v>Dormant</v>
      </c>
    </row>
    <row r="661" spans="1:23" x14ac:dyDescent="0.2">
      <c r="A661">
        <v>1449</v>
      </c>
      <c r="B661" t="s">
        <v>4136</v>
      </c>
      <c r="C661" t="s">
        <v>4145</v>
      </c>
      <c r="D661" s="1" t="s">
        <v>289</v>
      </c>
      <c r="E661" t="s">
        <v>4138</v>
      </c>
      <c r="F661" t="s">
        <v>1036</v>
      </c>
      <c r="G661" s="4" t="s">
        <v>5418</v>
      </c>
      <c r="H661" t="s">
        <v>4139</v>
      </c>
      <c r="I661" t="s">
        <v>112</v>
      </c>
      <c r="J661" s="4" t="s">
        <v>74</v>
      </c>
      <c r="K661" t="s">
        <v>2193</v>
      </c>
      <c r="L661">
        <v>2</v>
      </c>
      <c r="M661" t="s">
        <v>555</v>
      </c>
      <c r="N661" t="s">
        <v>555</v>
      </c>
      <c r="O661" t="s">
        <v>555</v>
      </c>
      <c r="P661" s="2" t="str">
        <f t="shared" si="30"/>
        <v>06/05/2025 to 09/05/2025</v>
      </c>
      <c r="Q661" s="3">
        <v>45786</v>
      </c>
      <c r="R661" t="str">
        <f t="shared" si="31"/>
        <v>On-Time</v>
      </c>
      <c r="S661" t="s">
        <v>174</v>
      </c>
      <c r="T661">
        <v>22.5</v>
      </c>
      <c r="U661" t="s">
        <v>65</v>
      </c>
      <c r="V661" t="s">
        <v>72</v>
      </c>
      <c r="W661" t="str">
        <f t="shared" ca="1" si="32"/>
        <v>Dormant</v>
      </c>
    </row>
    <row r="662" spans="1:23" x14ac:dyDescent="0.2">
      <c r="A662">
        <v>1450</v>
      </c>
      <c r="B662" t="s">
        <v>4136</v>
      </c>
      <c r="C662" t="s">
        <v>4146</v>
      </c>
      <c r="D662" s="1" t="s">
        <v>289</v>
      </c>
      <c r="E662" t="s">
        <v>4138</v>
      </c>
      <c r="F662" t="s">
        <v>1036</v>
      </c>
      <c r="G662" s="4" t="s">
        <v>5428</v>
      </c>
      <c r="H662" t="s">
        <v>4139</v>
      </c>
      <c r="I662" t="s">
        <v>112</v>
      </c>
      <c r="J662" s="4" t="s">
        <v>74</v>
      </c>
      <c r="K662" t="s">
        <v>12</v>
      </c>
      <c r="L662">
        <v>1</v>
      </c>
      <c r="M662" t="s">
        <v>289</v>
      </c>
      <c r="N662" t="s">
        <v>289</v>
      </c>
      <c r="O662" t="s">
        <v>289</v>
      </c>
      <c r="P662" s="2" t="str">
        <f t="shared" si="30"/>
        <v>06/05/2025 to 09/05/2025</v>
      </c>
      <c r="Q662" s="3">
        <v>45780</v>
      </c>
      <c r="R662" t="str">
        <f t="shared" si="31"/>
        <v>Late</v>
      </c>
      <c r="S662" t="s">
        <v>296</v>
      </c>
      <c r="T662">
        <v>9.5</v>
      </c>
      <c r="U662" t="s">
        <v>79</v>
      </c>
      <c r="V662" t="s">
        <v>80</v>
      </c>
      <c r="W662" t="str">
        <f t="shared" ca="1" si="32"/>
        <v>Dormant</v>
      </c>
    </row>
    <row r="663" spans="1:23" x14ac:dyDescent="0.2">
      <c r="A663">
        <v>846</v>
      </c>
      <c r="B663" t="s">
        <v>2686</v>
      </c>
      <c r="C663" t="s">
        <v>2687</v>
      </c>
      <c r="D663" s="1" t="s">
        <v>141</v>
      </c>
      <c r="E663" t="s">
        <v>2688</v>
      </c>
      <c r="F663" t="s">
        <v>1154</v>
      </c>
      <c r="G663" s="4" t="s">
        <v>5423</v>
      </c>
      <c r="H663" t="s">
        <v>2689</v>
      </c>
      <c r="I663" t="s">
        <v>136</v>
      </c>
      <c r="J663" s="4" t="s">
        <v>5417</v>
      </c>
      <c r="K663" t="s">
        <v>1757</v>
      </c>
      <c r="L663">
        <v>2</v>
      </c>
      <c r="M663" t="s">
        <v>142</v>
      </c>
      <c r="N663" t="s">
        <v>142</v>
      </c>
      <c r="O663" t="s">
        <v>446</v>
      </c>
      <c r="P663" s="2" t="str">
        <f t="shared" si="30"/>
        <v>07/05/2025 to 12/05/2025</v>
      </c>
      <c r="Q663" s="3">
        <v>45786</v>
      </c>
      <c r="R663" t="str">
        <f t="shared" si="31"/>
        <v>On-Time</v>
      </c>
      <c r="S663" t="s">
        <v>162</v>
      </c>
      <c r="T663">
        <v>19.5</v>
      </c>
      <c r="U663" t="s">
        <v>65</v>
      </c>
      <c r="V663" t="s">
        <v>72</v>
      </c>
      <c r="W663" t="str">
        <f t="shared" ca="1" si="32"/>
        <v>Dormant</v>
      </c>
    </row>
    <row r="664" spans="1:23" x14ac:dyDescent="0.2">
      <c r="A664">
        <v>847</v>
      </c>
      <c r="B664" t="s">
        <v>2686</v>
      </c>
      <c r="C664" t="s">
        <v>2690</v>
      </c>
      <c r="D664" s="1" t="s">
        <v>141</v>
      </c>
      <c r="E664" t="s">
        <v>2688</v>
      </c>
      <c r="F664" t="s">
        <v>1154</v>
      </c>
      <c r="G664" s="4" t="s">
        <v>5420</v>
      </c>
      <c r="H664" t="s">
        <v>2689</v>
      </c>
      <c r="I664" t="s">
        <v>136</v>
      </c>
      <c r="J664" s="4" t="s">
        <v>68</v>
      </c>
      <c r="K664" t="s">
        <v>2691</v>
      </c>
      <c r="L664">
        <v>2</v>
      </c>
      <c r="M664" t="s">
        <v>141</v>
      </c>
      <c r="N664" t="s">
        <v>555</v>
      </c>
      <c r="O664" t="s">
        <v>142</v>
      </c>
      <c r="P664" s="2" t="str">
        <f t="shared" si="30"/>
        <v>06/05/2025 to 09/05/2025</v>
      </c>
      <c r="Q664" s="3">
        <v>45787</v>
      </c>
      <c r="R664" t="str">
        <f t="shared" si="31"/>
        <v>Late</v>
      </c>
      <c r="S664" t="s">
        <v>170</v>
      </c>
      <c r="T664">
        <v>16</v>
      </c>
      <c r="U664" t="s">
        <v>79</v>
      </c>
      <c r="V664" t="s">
        <v>72</v>
      </c>
      <c r="W664" t="str">
        <f t="shared" ca="1" si="32"/>
        <v>Dormant</v>
      </c>
    </row>
    <row r="665" spans="1:23" x14ac:dyDescent="0.2">
      <c r="A665">
        <v>848</v>
      </c>
      <c r="B665" t="s">
        <v>2686</v>
      </c>
      <c r="C665" t="s">
        <v>2692</v>
      </c>
      <c r="D665" s="1" t="s">
        <v>141</v>
      </c>
      <c r="E665" t="s">
        <v>2688</v>
      </c>
      <c r="F665" t="s">
        <v>1154</v>
      </c>
      <c r="G665" s="4" t="s">
        <v>5418</v>
      </c>
      <c r="H665" t="s">
        <v>2689</v>
      </c>
      <c r="I665" t="s">
        <v>136</v>
      </c>
      <c r="J665" s="4" t="s">
        <v>5417</v>
      </c>
      <c r="K665" t="s">
        <v>14</v>
      </c>
      <c r="L665">
        <v>1</v>
      </c>
      <c r="M665" t="s">
        <v>142</v>
      </c>
      <c r="N665" t="s">
        <v>446</v>
      </c>
      <c r="O665" t="s">
        <v>446</v>
      </c>
      <c r="P665" s="2" t="str">
        <f t="shared" si="30"/>
        <v>07/05/2025 to 12/05/2025</v>
      </c>
      <c r="Q665" s="3">
        <v>45783</v>
      </c>
      <c r="R665" t="str">
        <f t="shared" si="31"/>
        <v>Late</v>
      </c>
      <c r="S665" t="s">
        <v>451</v>
      </c>
      <c r="T665">
        <v>9.5</v>
      </c>
      <c r="U665" t="s">
        <v>65</v>
      </c>
      <c r="V665" t="s">
        <v>72</v>
      </c>
      <c r="W665" t="str">
        <f t="shared" ca="1" si="32"/>
        <v>Dormant</v>
      </c>
    </row>
    <row r="666" spans="1:23" x14ac:dyDescent="0.2">
      <c r="A666">
        <v>849</v>
      </c>
      <c r="B666" t="s">
        <v>2686</v>
      </c>
      <c r="C666" t="s">
        <v>2693</v>
      </c>
      <c r="D666" s="1" t="s">
        <v>141</v>
      </c>
      <c r="E666" t="s">
        <v>2688</v>
      </c>
      <c r="F666" t="s">
        <v>1154</v>
      </c>
      <c r="G666" s="4" t="s">
        <v>5423</v>
      </c>
      <c r="H666" t="s">
        <v>2689</v>
      </c>
      <c r="I666" t="s">
        <v>136</v>
      </c>
      <c r="J666" s="4" t="s">
        <v>74</v>
      </c>
      <c r="K666" t="s">
        <v>2694</v>
      </c>
      <c r="L666">
        <v>4</v>
      </c>
      <c r="M666" t="s">
        <v>142</v>
      </c>
      <c r="N666" t="s">
        <v>447</v>
      </c>
      <c r="O666" t="s">
        <v>446</v>
      </c>
      <c r="P666" s="2" t="str">
        <f t="shared" si="30"/>
        <v>07/05/2025 to 12/05/2025</v>
      </c>
      <c r="Q666" s="3">
        <v>45787</v>
      </c>
      <c r="R666" t="str">
        <f t="shared" si="31"/>
        <v>On-Time</v>
      </c>
      <c r="S666" t="s">
        <v>174</v>
      </c>
      <c r="T666">
        <v>40.5</v>
      </c>
      <c r="U666" t="s">
        <v>79</v>
      </c>
      <c r="V666" t="s">
        <v>66</v>
      </c>
      <c r="W666" t="str">
        <f t="shared" ca="1" si="32"/>
        <v>Dormant</v>
      </c>
    </row>
    <row r="667" spans="1:23" x14ac:dyDescent="0.2">
      <c r="A667">
        <v>898</v>
      </c>
      <c r="B667" t="s">
        <v>2808</v>
      </c>
      <c r="C667" t="s">
        <v>2809</v>
      </c>
      <c r="D667" s="1" t="s">
        <v>141</v>
      </c>
      <c r="E667" t="s">
        <v>2810</v>
      </c>
      <c r="F667" t="s">
        <v>1756</v>
      </c>
      <c r="G667" s="4" t="s">
        <v>5426</v>
      </c>
      <c r="H667" t="s">
        <v>2811</v>
      </c>
      <c r="I667" t="s">
        <v>93</v>
      </c>
      <c r="J667" s="4" t="s">
        <v>68</v>
      </c>
      <c r="K667" t="s">
        <v>12</v>
      </c>
      <c r="L667">
        <v>1</v>
      </c>
      <c r="M667" t="s">
        <v>555</v>
      </c>
      <c r="N667" t="s">
        <v>142</v>
      </c>
      <c r="O667" t="s">
        <v>555</v>
      </c>
      <c r="P667" s="2" t="str">
        <f t="shared" si="30"/>
        <v>06/05/2025 to 09/05/2025</v>
      </c>
      <c r="Q667" s="3">
        <v>45782</v>
      </c>
      <c r="R667" t="str">
        <f t="shared" si="31"/>
        <v>Late</v>
      </c>
      <c r="S667" t="s">
        <v>451</v>
      </c>
      <c r="T667">
        <v>9.5</v>
      </c>
      <c r="U667" t="s">
        <v>79</v>
      </c>
      <c r="V667" t="s">
        <v>66</v>
      </c>
      <c r="W667" t="str">
        <f t="shared" ca="1" si="32"/>
        <v>Dormant</v>
      </c>
    </row>
    <row r="668" spans="1:23" x14ac:dyDescent="0.2">
      <c r="A668">
        <v>899</v>
      </c>
      <c r="B668" t="s">
        <v>2808</v>
      </c>
      <c r="C668" t="s">
        <v>2812</v>
      </c>
      <c r="D668" s="1" t="s">
        <v>141</v>
      </c>
      <c r="E668" t="s">
        <v>2810</v>
      </c>
      <c r="F668" t="s">
        <v>1756</v>
      </c>
      <c r="G668" s="4" t="s">
        <v>5418</v>
      </c>
      <c r="H668" t="s">
        <v>2811</v>
      </c>
      <c r="I668" t="s">
        <v>93</v>
      </c>
      <c r="J668" s="4" t="s">
        <v>74</v>
      </c>
      <c r="K668" t="s">
        <v>438</v>
      </c>
      <c r="L668">
        <v>2</v>
      </c>
      <c r="M668" t="s">
        <v>555</v>
      </c>
      <c r="N668" t="s">
        <v>555</v>
      </c>
      <c r="O668" t="s">
        <v>555</v>
      </c>
      <c r="P668" s="2" t="str">
        <f t="shared" si="30"/>
        <v>06/05/2025 to 09/05/2025</v>
      </c>
      <c r="Q668" s="3">
        <v>45784</v>
      </c>
      <c r="R668" t="str">
        <f t="shared" si="31"/>
        <v>On-Time</v>
      </c>
      <c r="S668" t="s">
        <v>451</v>
      </c>
      <c r="T668">
        <v>21</v>
      </c>
      <c r="U668" t="s">
        <v>79</v>
      </c>
      <c r="V668" t="s">
        <v>72</v>
      </c>
      <c r="W668" t="str">
        <f t="shared" ca="1" si="32"/>
        <v>Dormant</v>
      </c>
    </row>
    <row r="669" spans="1:23" x14ac:dyDescent="0.2">
      <c r="A669">
        <v>900</v>
      </c>
      <c r="B669" t="s">
        <v>2808</v>
      </c>
      <c r="C669" t="s">
        <v>2813</v>
      </c>
      <c r="D669" s="1" t="s">
        <v>141</v>
      </c>
      <c r="E669" t="s">
        <v>2810</v>
      </c>
      <c r="F669" t="s">
        <v>1756</v>
      </c>
      <c r="G669" s="4" t="s">
        <v>5423</v>
      </c>
      <c r="H669" t="s">
        <v>2811</v>
      </c>
      <c r="I669" t="s">
        <v>93</v>
      </c>
      <c r="J669" s="4" t="s">
        <v>74</v>
      </c>
      <c r="K669" t="s">
        <v>2814</v>
      </c>
      <c r="L669">
        <v>2</v>
      </c>
      <c r="M669" t="s">
        <v>555</v>
      </c>
      <c r="N669" t="s">
        <v>142</v>
      </c>
      <c r="O669" t="s">
        <v>446</v>
      </c>
      <c r="P669" s="2" t="str">
        <f t="shared" si="30"/>
        <v>06/05/2025 to 09/05/2025</v>
      </c>
      <c r="Q669" s="3">
        <v>45786</v>
      </c>
      <c r="R669" t="str">
        <f t="shared" si="31"/>
        <v>On-Time</v>
      </c>
      <c r="S669" t="s">
        <v>174</v>
      </c>
      <c r="T669">
        <v>19.5</v>
      </c>
      <c r="U669" t="s">
        <v>65</v>
      </c>
      <c r="V669" t="s">
        <v>72</v>
      </c>
      <c r="W669" t="str">
        <f t="shared" ca="1" si="32"/>
        <v>Dormant</v>
      </c>
    </row>
    <row r="670" spans="1:23" x14ac:dyDescent="0.2">
      <c r="A670">
        <v>1144</v>
      </c>
      <c r="B670" t="s">
        <v>3413</v>
      </c>
      <c r="C670" t="s">
        <v>3414</v>
      </c>
      <c r="D670" s="1" t="s">
        <v>141</v>
      </c>
      <c r="E670" t="s">
        <v>3415</v>
      </c>
      <c r="F670" t="s">
        <v>1036</v>
      </c>
      <c r="G670" s="4" t="s">
        <v>5422</v>
      </c>
      <c r="H670" t="s">
        <v>3416</v>
      </c>
      <c r="I670" t="s">
        <v>112</v>
      </c>
      <c r="J670" s="4" t="s">
        <v>68</v>
      </c>
      <c r="K670" t="s">
        <v>3417</v>
      </c>
      <c r="L670">
        <v>4</v>
      </c>
      <c r="M670" t="s">
        <v>142</v>
      </c>
      <c r="N670" t="s">
        <v>142</v>
      </c>
      <c r="O670" t="s">
        <v>142</v>
      </c>
      <c r="P670" s="2" t="str">
        <f t="shared" si="30"/>
        <v>07/05/2025 to 12/05/2025</v>
      </c>
      <c r="Q670" s="3">
        <v>45784</v>
      </c>
      <c r="R670" t="str">
        <f t="shared" si="31"/>
        <v>On-Time</v>
      </c>
      <c r="S670" t="s">
        <v>452</v>
      </c>
      <c r="T670">
        <v>42</v>
      </c>
      <c r="U670" t="s">
        <v>65</v>
      </c>
      <c r="V670" t="s">
        <v>80</v>
      </c>
      <c r="W670" t="str">
        <f t="shared" ca="1" si="32"/>
        <v>Dormant</v>
      </c>
    </row>
    <row r="671" spans="1:23" x14ac:dyDescent="0.2">
      <c r="A671">
        <v>1145</v>
      </c>
      <c r="B671" t="s">
        <v>3413</v>
      </c>
      <c r="C671" t="s">
        <v>3418</v>
      </c>
      <c r="D671" s="1" t="s">
        <v>141</v>
      </c>
      <c r="E671" t="s">
        <v>3415</v>
      </c>
      <c r="F671" t="s">
        <v>1036</v>
      </c>
      <c r="G671" s="4" t="s">
        <v>5423</v>
      </c>
      <c r="H671" t="s">
        <v>3416</v>
      </c>
      <c r="I671" t="s">
        <v>112</v>
      </c>
      <c r="J671" s="4" t="s">
        <v>68</v>
      </c>
      <c r="K671" t="s">
        <v>3419</v>
      </c>
      <c r="L671">
        <v>3</v>
      </c>
      <c r="M671" t="s">
        <v>141</v>
      </c>
      <c r="N671" t="s">
        <v>142</v>
      </c>
      <c r="O671" t="s">
        <v>555</v>
      </c>
      <c r="P671" s="2" t="str">
        <f t="shared" si="30"/>
        <v>06/05/2025 to 09/05/2025</v>
      </c>
      <c r="Q671" s="3">
        <v>45785</v>
      </c>
      <c r="R671" t="str">
        <f t="shared" si="31"/>
        <v>On-Time</v>
      </c>
      <c r="S671" t="s">
        <v>452</v>
      </c>
      <c r="T671">
        <v>28.5</v>
      </c>
      <c r="U671" t="s">
        <v>79</v>
      </c>
      <c r="V671" t="s">
        <v>66</v>
      </c>
      <c r="W671" t="str">
        <f t="shared" ca="1" si="32"/>
        <v>Dormant</v>
      </c>
    </row>
    <row r="672" spans="1:23" x14ac:dyDescent="0.2">
      <c r="A672">
        <v>1082</v>
      </c>
      <c r="B672" t="s">
        <v>3265</v>
      </c>
      <c r="C672" t="s">
        <v>3266</v>
      </c>
      <c r="D672" s="1" t="s">
        <v>555</v>
      </c>
      <c r="E672" t="s">
        <v>3267</v>
      </c>
      <c r="F672" t="s">
        <v>2176</v>
      </c>
      <c r="G672" s="4" t="s">
        <v>5419</v>
      </c>
      <c r="H672" t="s">
        <v>3268</v>
      </c>
      <c r="I672" t="s">
        <v>112</v>
      </c>
      <c r="J672" s="4" t="s">
        <v>5417</v>
      </c>
      <c r="K672" t="s">
        <v>3269</v>
      </c>
      <c r="L672">
        <v>3</v>
      </c>
      <c r="M672" t="s">
        <v>142</v>
      </c>
      <c r="N672" t="s">
        <v>447</v>
      </c>
      <c r="O672" t="s">
        <v>447</v>
      </c>
      <c r="P672" s="2" t="str">
        <f t="shared" si="30"/>
        <v>07/05/2025 to 12/05/2025</v>
      </c>
      <c r="Q672" s="3">
        <v>45787</v>
      </c>
      <c r="R672" t="str">
        <f t="shared" si="31"/>
        <v>On-Time</v>
      </c>
      <c r="S672" t="s">
        <v>174</v>
      </c>
      <c r="T672">
        <v>28.5</v>
      </c>
      <c r="U672" t="s">
        <v>79</v>
      </c>
      <c r="V672" t="s">
        <v>72</v>
      </c>
      <c r="W672" t="str">
        <f t="shared" ca="1" si="32"/>
        <v>Dormant</v>
      </c>
    </row>
    <row r="673" spans="1:23" x14ac:dyDescent="0.2">
      <c r="A673">
        <v>1083</v>
      </c>
      <c r="B673" t="s">
        <v>3265</v>
      </c>
      <c r="C673" t="s">
        <v>3270</v>
      </c>
      <c r="D673" s="1" t="s">
        <v>555</v>
      </c>
      <c r="E673" t="s">
        <v>3267</v>
      </c>
      <c r="F673" t="s">
        <v>2176</v>
      </c>
      <c r="G673" s="4" t="s">
        <v>5419</v>
      </c>
      <c r="H673" t="s">
        <v>3268</v>
      </c>
      <c r="I673" t="s">
        <v>112</v>
      </c>
      <c r="J673" s="4" t="s">
        <v>74</v>
      </c>
      <c r="K673" t="s">
        <v>10</v>
      </c>
      <c r="L673">
        <v>1</v>
      </c>
      <c r="M673" t="s">
        <v>555</v>
      </c>
      <c r="N673" t="s">
        <v>446</v>
      </c>
      <c r="O673" t="s">
        <v>446</v>
      </c>
      <c r="P673" s="2" t="str">
        <f t="shared" si="30"/>
        <v>06/05/2025 to 09/05/2025</v>
      </c>
      <c r="Q673" s="3">
        <v>45788</v>
      </c>
      <c r="R673" t="str">
        <f t="shared" si="31"/>
        <v>Late</v>
      </c>
      <c r="S673" t="s">
        <v>163</v>
      </c>
      <c r="T673">
        <v>10</v>
      </c>
      <c r="U673" t="s">
        <v>79</v>
      </c>
      <c r="V673" t="s">
        <v>66</v>
      </c>
      <c r="W673" t="str">
        <f t="shared" ca="1" si="32"/>
        <v>Dormant</v>
      </c>
    </row>
    <row r="674" spans="1:23" x14ac:dyDescent="0.2">
      <c r="A674">
        <v>1084</v>
      </c>
      <c r="B674" t="s">
        <v>3265</v>
      </c>
      <c r="C674" t="s">
        <v>3271</v>
      </c>
      <c r="D674" s="1" t="s">
        <v>555</v>
      </c>
      <c r="E674" t="s">
        <v>3267</v>
      </c>
      <c r="F674" t="s">
        <v>2176</v>
      </c>
      <c r="G674" s="4" t="s">
        <v>38</v>
      </c>
      <c r="H674" t="s">
        <v>3268</v>
      </c>
      <c r="I674" t="s">
        <v>112</v>
      </c>
      <c r="J674" s="4" t="s">
        <v>5417</v>
      </c>
      <c r="K674" t="s">
        <v>1248</v>
      </c>
      <c r="L674">
        <v>2</v>
      </c>
      <c r="M674" t="s">
        <v>555</v>
      </c>
      <c r="N674" t="s">
        <v>446</v>
      </c>
      <c r="O674" t="s">
        <v>555</v>
      </c>
      <c r="P674" s="2" t="str">
        <f t="shared" si="30"/>
        <v>06/05/2025 to 09/05/2025</v>
      </c>
      <c r="Q674" s="3">
        <v>45786</v>
      </c>
      <c r="R674" t="str">
        <f t="shared" si="31"/>
        <v>On-Time</v>
      </c>
      <c r="S674" t="s">
        <v>162</v>
      </c>
      <c r="T674">
        <v>17.5</v>
      </c>
      <c r="U674" t="s">
        <v>65</v>
      </c>
      <c r="V674" t="s">
        <v>72</v>
      </c>
      <c r="W674" t="str">
        <f t="shared" ca="1" si="32"/>
        <v>Dormant</v>
      </c>
    </row>
    <row r="675" spans="1:23" x14ac:dyDescent="0.2">
      <c r="A675">
        <v>1085</v>
      </c>
      <c r="B675" t="s">
        <v>3265</v>
      </c>
      <c r="C675" t="s">
        <v>3272</v>
      </c>
      <c r="D675" s="1" t="s">
        <v>555</v>
      </c>
      <c r="E675" t="s">
        <v>3267</v>
      </c>
      <c r="F675" t="s">
        <v>2176</v>
      </c>
      <c r="G675" s="4" t="s">
        <v>5427</v>
      </c>
      <c r="H675" t="s">
        <v>3268</v>
      </c>
      <c r="I675" t="s">
        <v>112</v>
      </c>
      <c r="J675" s="4" t="s">
        <v>74</v>
      </c>
      <c r="K675" t="s">
        <v>1845</v>
      </c>
      <c r="L675">
        <v>2</v>
      </c>
      <c r="M675" t="s">
        <v>555</v>
      </c>
      <c r="N675" t="s">
        <v>446</v>
      </c>
      <c r="O675" t="s">
        <v>446</v>
      </c>
      <c r="P675" s="2" t="str">
        <f t="shared" si="30"/>
        <v>06/05/2025 to 09/05/2025</v>
      </c>
      <c r="Q675" s="3">
        <v>45786</v>
      </c>
      <c r="R675" t="str">
        <f t="shared" si="31"/>
        <v>On-Time</v>
      </c>
      <c r="S675" t="s">
        <v>162</v>
      </c>
      <c r="T675">
        <v>25</v>
      </c>
      <c r="U675" t="s">
        <v>79</v>
      </c>
      <c r="V675" t="s">
        <v>72</v>
      </c>
      <c r="W675" t="str">
        <f t="shared" ca="1" si="32"/>
        <v>Dormant</v>
      </c>
    </row>
    <row r="676" spans="1:23" x14ac:dyDescent="0.2">
      <c r="A676">
        <v>1314</v>
      </c>
      <c r="B676" t="s">
        <v>3811</v>
      </c>
      <c r="C676" t="s">
        <v>3812</v>
      </c>
      <c r="D676" s="1" t="s">
        <v>555</v>
      </c>
      <c r="E676" t="s">
        <v>3813</v>
      </c>
      <c r="F676" t="s">
        <v>607</v>
      </c>
      <c r="G676" s="4" t="s">
        <v>5422</v>
      </c>
      <c r="H676" t="s">
        <v>3814</v>
      </c>
      <c r="I676" t="s">
        <v>201</v>
      </c>
      <c r="J676" s="4" t="s">
        <v>60</v>
      </c>
      <c r="K676" t="s">
        <v>3815</v>
      </c>
      <c r="L676">
        <v>3</v>
      </c>
      <c r="M676" t="s">
        <v>446</v>
      </c>
      <c r="N676" t="s">
        <v>455</v>
      </c>
      <c r="O676" t="s">
        <v>447</v>
      </c>
      <c r="P676" s="2" t="str">
        <f t="shared" si="30"/>
        <v>08/05/2025 to 13/05/2025</v>
      </c>
      <c r="Q676" s="3">
        <v>45788</v>
      </c>
      <c r="R676" t="str">
        <f t="shared" si="31"/>
        <v>On-Time</v>
      </c>
      <c r="S676" t="s">
        <v>162</v>
      </c>
      <c r="T676">
        <v>30</v>
      </c>
      <c r="U676" t="s">
        <v>65</v>
      </c>
      <c r="V676" t="s">
        <v>72</v>
      </c>
      <c r="W676" t="str">
        <f t="shared" ca="1" si="32"/>
        <v>Dormant</v>
      </c>
    </row>
    <row r="677" spans="1:23" x14ac:dyDescent="0.2">
      <c r="A677">
        <v>1315</v>
      </c>
      <c r="B677" t="s">
        <v>3811</v>
      </c>
      <c r="C677" t="s">
        <v>3816</v>
      </c>
      <c r="D677" s="1" t="s">
        <v>555</v>
      </c>
      <c r="E677" t="s">
        <v>3813</v>
      </c>
      <c r="F677" t="s">
        <v>607</v>
      </c>
      <c r="G677" s="4" t="s">
        <v>5424</v>
      </c>
      <c r="H677" t="s">
        <v>3814</v>
      </c>
      <c r="I677" t="s">
        <v>201</v>
      </c>
      <c r="J677" s="4" t="s">
        <v>68</v>
      </c>
      <c r="K677" t="s">
        <v>3817</v>
      </c>
      <c r="L677">
        <v>4</v>
      </c>
      <c r="M677" t="s">
        <v>142</v>
      </c>
      <c r="N677" t="s">
        <v>447</v>
      </c>
      <c r="O677" t="s">
        <v>447</v>
      </c>
      <c r="P677" s="2" t="str">
        <f t="shared" si="30"/>
        <v>07/05/2025 to 12/05/2025</v>
      </c>
      <c r="Q677" s="3">
        <v>45788</v>
      </c>
      <c r="R677" t="str">
        <f t="shared" si="31"/>
        <v>On-Time</v>
      </c>
      <c r="S677" t="s">
        <v>170</v>
      </c>
      <c r="T677">
        <v>41.5</v>
      </c>
      <c r="U677" t="s">
        <v>65</v>
      </c>
      <c r="V677" t="s">
        <v>72</v>
      </c>
      <c r="W677" t="str">
        <f t="shared" ca="1" si="32"/>
        <v>Dormant</v>
      </c>
    </row>
    <row r="678" spans="1:23" x14ac:dyDescent="0.2">
      <c r="A678">
        <v>1474</v>
      </c>
      <c r="B678" t="s">
        <v>4206</v>
      </c>
      <c r="C678" t="s">
        <v>4207</v>
      </c>
      <c r="D678" s="1" t="s">
        <v>555</v>
      </c>
      <c r="E678" t="s">
        <v>4208</v>
      </c>
      <c r="F678" t="s">
        <v>490</v>
      </c>
      <c r="G678" s="4" t="s">
        <v>5419</v>
      </c>
      <c r="H678" t="s">
        <v>4209</v>
      </c>
      <c r="I678" t="s">
        <v>93</v>
      </c>
      <c r="J678" s="4" t="s">
        <v>74</v>
      </c>
      <c r="K678" t="s">
        <v>4210</v>
      </c>
      <c r="L678">
        <v>4</v>
      </c>
      <c r="M678" t="s">
        <v>555</v>
      </c>
      <c r="N678" t="s">
        <v>446</v>
      </c>
      <c r="O678" t="s">
        <v>555</v>
      </c>
      <c r="P678" s="2" t="str">
        <f t="shared" si="30"/>
        <v>06/05/2025 to 09/05/2025</v>
      </c>
      <c r="Q678" s="3">
        <v>45782</v>
      </c>
      <c r="R678" t="str">
        <f t="shared" si="31"/>
        <v>Late</v>
      </c>
      <c r="S678" t="s">
        <v>451</v>
      </c>
      <c r="T678">
        <v>35</v>
      </c>
      <c r="U678" t="s">
        <v>65</v>
      </c>
      <c r="V678" t="s">
        <v>72</v>
      </c>
      <c r="W678" t="str">
        <f t="shared" ca="1" si="32"/>
        <v>Dormant</v>
      </c>
    </row>
    <row r="679" spans="1:23" x14ac:dyDescent="0.2">
      <c r="A679">
        <v>78</v>
      </c>
      <c r="B679" t="s">
        <v>441</v>
      </c>
      <c r="C679" t="s">
        <v>442</v>
      </c>
      <c r="D679" s="1" t="s">
        <v>142</v>
      </c>
      <c r="E679" t="s">
        <v>443</v>
      </c>
      <c r="F679" t="s">
        <v>209</v>
      </c>
      <c r="G679" s="4" t="s">
        <v>5424</v>
      </c>
      <c r="H679" t="s">
        <v>444</v>
      </c>
      <c r="I679" t="s">
        <v>136</v>
      </c>
      <c r="J679" s="4" t="s">
        <v>68</v>
      </c>
      <c r="K679" t="s">
        <v>445</v>
      </c>
      <c r="L679">
        <v>3</v>
      </c>
      <c r="M679" t="s">
        <v>446</v>
      </c>
      <c r="N679" t="s">
        <v>447</v>
      </c>
      <c r="O679" t="s">
        <v>447</v>
      </c>
      <c r="P679" s="2" t="str">
        <f t="shared" si="30"/>
        <v>08/05/2025 to 13/05/2025</v>
      </c>
      <c r="Q679" s="3">
        <v>45787</v>
      </c>
      <c r="R679" t="str">
        <f t="shared" si="31"/>
        <v>On-Time</v>
      </c>
      <c r="S679" t="s">
        <v>174</v>
      </c>
      <c r="T679">
        <v>33.5</v>
      </c>
      <c r="U679" t="s">
        <v>79</v>
      </c>
      <c r="V679" t="s">
        <v>80</v>
      </c>
      <c r="W679" t="str">
        <f t="shared" ca="1" si="32"/>
        <v>Dormant</v>
      </c>
    </row>
    <row r="680" spans="1:23" x14ac:dyDescent="0.2">
      <c r="A680">
        <v>79</v>
      </c>
      <c r="B680" t="s">
        <v>441</v>
      </c>
      <c r="C680" t="s">
        <v>448</v>
      </c>
      <c r="D680" s="1" t="s">
        <v>142</v>
      </c>
      <c r="E680" t="s">
        <v>443</v>
      </c>
      <c r="F680" t="s">
        <v>209</v>
      </c>
      <c r="G680" s="4" t="s">
        <v>5420</v>
      </c>
      <c r="H680" t="s">
        <v>444</v>
      </c>
      <c r="I680" t="s">
        <v>136</v>
      </c>
      <c r="J680" s="4" t="s">
        <v>60</v>
      </c>
      <c r="K680" t="s">
        <v>32</v>
      </c>
      <c r="L680">
        <v>1</v>
      </c>
      <c r="M680" t="s">
        <v>142</v>
      </c>
      <c r="N680" t="s">
        <v>142</v>
      </c>
      <c r="O680" t="s">
        <v>142</v>
      </c>
      <c r="P680" s="2" t="str">
        <f t="shared" si="30"/>
        <v>07/05/2025 to 12/05/2025</v>
      </c>
      <c r="Q680" s="3">
        <v>45787</v>
      </c>
      <c r="R680" t="str">
        <f t="shared" si="31"/>
        <v>On-Time</v>
      </c>
      <c r="S680" t="s">
        <v>162</v>
      </c>
      <c r="T680">
        <v>14</v>
      </c>
      <c r="U680" t="s">
        <v>79</v>
      </c>
      <c r="V680" t="s">
        <v>66</v>
      </c>
      <c r="W680" t="str">
        <f t="shared" ca="1" si="32"/>
        <v>Dormant</v>
      </c>
    </row>
    <row r="681" spans="1:23" x14ac:dyDescent="0.2">
      <c r="A681">
        <v>80</v>
      </c>
      <c r="B681" t="s">
        <v>441</v>
      </c>
      <c r="C681" t="s">
        <v>449</v>
      </c>
      <c r="D681" s="1" t="s">
        <v>142</v>
      </c>
      <c r="E681" t="s">
        <v>443</v>
      </c>
      <c r="F681" t="s">
        <v>209</v>
      </c>
      <c r="G681" s="4" t="s">
        <v>38</v>
      </c>
      <c r="H681" t="s">
        <v>444</v>
      </c>
      <c r="I681" t="s">
        <v>136</v>
      </c>
      <c r="J681" s="4" t="s">
        <v>68</v>
      </c>
      <c r="K681" t="s">
        <v>450</v>
      </c>
      <c r="L681">
        <v>3</v>
      </c>
      <c r="M681" t="s">
        <v>142</v>
      </c>
      <c r="N681" t="s">
        <v>142</v>
      </c>
      <c r="O681" t="s">
        <v>446</v>
      </c>
      <c r="P681" s="2" t="str">
        <f t="shared" si="30"/>
        <v>07/05/2025 to 12/05/2025</v>
      </c>
      <c r="Q681" s="3">
        <v>45784</v>
      </c>
      <c r="R681" t="str">
        <f t="shared" si="31"/>
        <v>On-Time</v>
      </c>
      <c r="S681" t="s">
        <v>452</v>
      </c>
      <c r="T681">
        <v>30</v>
      </c>
      <c r="U681" t="s">
        <v>65</v>
      </c>
      <c r="V681" t="s">
        <v>80</v>
      </c>
      <c r="W681" t="str">
        <f t="shared" ca="1" si="32"/>
        <v>Dormant</v>
      </c>
    </row>
    <row r="682" spans="1:23" x14ac:dyDescent="0.2">
      <c r="A682">
        <v>81</v>
      </c>
      <c r="B682" t="s">
        <v>441</v>
      </c>
      <c r="C682" t="s">
        <v>453</v>
      </c>
      <c r="D682" s="1" t="s">
        <v>142</v>
      </c>
      <c r="E682" t="s">
        <v>443</v>
      </c>
      <c r="F682" t="s">
        <v>209</v>
      </c>
      <c r="G682" s="4" t="s">
        <v>5425</v>
      </c>
      <c r="H682" t="s">
        <v>444</v>
      </c>
      <c r="I682" t="s">
        <v>136</v>
      </c>
      <c r="J682" s="4" t="s">
        <v>60</v>
      </c>
      <c r="K682" t="s">
        <v>454</v>
      </c>
      <c r="L682">
        <v>2</v>
      </c>
      <c r="M682" t="s">
        <v>446</v>
      </c>
      <c r="N682" t="s">
        <v>446</v>
      </c>
      <c r="O682" t="s">
        <v>455</v>
      </c>
      <c r="P682" s="2" t="str">
        <f t="shared" si="30"/>
        <v>08/05/2025 to 13/05/2025</v>
      </c>
      <c r="Q682" s="3">
        <v>45790</v>
      </c>
      <c r="R682" t="str">
        <f t="shared" si="31"/>
        <v>On-Time</v>
      </c>
      <c r="S682" t="s">
        <v>456</v>
      </c>
      <c r="T682">
        <v>22</v>
      </c>
      <c r="U682" t="s">
        <v>79</v>
      </c>
      <c r="V682" t="s">
        <v>80</v>
      </c>
      <c r="W682" t="str">
        <f t="shared" ca="1" si="32"/>
        <v>Dormant</v>
      </c>
    </row>
    <row r="683" spans="1:23" x14ac:dyDescent="0.2">
      <c r="A683">
        <v>941</v>
      </c>
      <c r="B683" t="s">
        <v>2919</v>
      </c>
      <c r="C683" t="s">
        <v>2920</v>
      </c>
      <c r="D683" s="1" t="s">
        <v>142</v>
      </c>
      <c r="E683" t="s">
        <v>2921</v>
      </c>
      <c r="F683" t="s">
        <v>356</v>
      </c>
      <c r="G683" s="4" t="s">
        <v>38</v>
      </c>
      <c r="H683" t="s">
        <v>2922</v>
      </c>
      <c r="I683" t="s">
        <v>201</v>
      </c>
      <c r="J683" s="4" t="s">
        <v>5417</v>
      </c>
      <c r="K683" t="s">
        <v>1924</v>
      </c>
      <c r="L683">
        <v>2</v>
      </c>
      <c r="M683" t="s">
        <v>447</v>
      </c>
      <c r="N683" t="s">
        <v>447</v>
      </c>
      <c r="O683" t="s">
        <v>712</v>
      </c>
      <c r="P683" s="2" t="str">
        <f t="shared" si="30"/>
        <v>09/05/2025 to 14/05/2025</v>
      </c>
      <c r="Q683" s="3">
        <v>45786</v>
      </c>
      <c r="R683" t="str">
        <f t="shared" si="31"/>
        <v>On-Time</v>
      </c>
      <c r="S683" t="s">
        <v>174</v>
      </c>
      <c r="T683">
        <v>23.5</v>
      </c>
      <c r="U683" t="s">
        <v>65</v>
      </c>
      <c r="V683" t="s">
        <v>66</v>
      </c>
      <c r="W683" t="str">
        <f t="shared" ca="1" si="32"/>
        <v>Dormant</v>
      </c>
    </row>
    <row r="684" spans="1:23" x14ac:dyDescent="0.2">
      <c r="A684">
        <v>942</v>
      </c>
      <c r="B684" t="s">
        <v>2919</v>
      </c>
      <c r="C684" t="s">
        <v>2923</v>
      </c>
      <c r="D684" s="1" t="s">
        <v>142</v>
      </c>
      <c r="E684" t="s">
        <v>2921</v>
      </c>
      <c r="F684" t="s">
        <v>356</v>
      </c>
      <c r="G684" s="4" t="s">
        <v>5422</v>
      </c>
      <c r="H684" t="s">
        <v>2922</v>
      </c>
      <c r="I684" t="s">
        <v>201</v>
      </c>
      <c r="J684" s="4" t="s">
        <v>5417</v>
      </c>
      <c r="K684" t="s">
        <v>2924</v>
      </c>
      <c r="L684">
        <v>4</v>
      </c>
      <c r="M684" t="s">
        <v>447</v>
      </c>
      <c r="N684" t="s">
        <v>447</v>
      </c>
      <c r="O684" t="s">
        <v>447</v>
      </c>
      <c r="P684" s="2" t="str">
        <f t="shared" si="30"/>
        <v>09/05/2025 to 14/05/2025</v>
      </c>
      <c r="Q684" s="3">
        <v>45790</v>
      </c>
      <c r="R684" t="str">
        <f t="shared" si="31"/>
        <v>On-Time</v>
      </c>
      <c r="S684" t="s">
        <v>456</v>
      </c>
      <c r="T684">
        <v>42.5</v>
      </c>
      <c r="U684" t="s">
        <v>79</v>
      </c>
      <c r="V684" t="s">
        <v>72</v>
      </c>
      <c r="W684" t="str">
        <f t="shared" ca="1" si="32"/>
        <v>Dormant</v>
      </c>
    </row>
    <row r="685" spans="1:23" x14ac:dyDescent="0.2">
      <c r="A685">
        <v>943</v>
      </c>
      <c r="B685" t="s">
        <v>2919</v>
      </c>
      <c r="C685" t="s">
        <v>2925</v>
      </c>
      <c r="D685" s="1" t="s">
        <v>142</v>
      </c>
      <c r="E685" t="s">
        <v>2921</v>
      </c>
      <c r="F685" t="s">
        <v>356</v>
      </c>
      <c r="G685" s="4" t="s">
        <v>5428</v>
      </c>
      <c r="H685" t="s">
        <v>2922</v>
      </c>
      <c r="I685" t="s">
        <v>201</v>
      </c>
      <c r="J685" s="4" t="s">
        <v>74</v>
      </c>
      <c r="K685" t="s">
        <v>2926</v>
      </c>
      <c r="L685">
        <v>2</v>
      </c>
      <c r="M685" t="s">
        <v>142</v>
      </c>
      <c r="N685" t="s">
        <v>447</v>
      </c>
      <c r="O685" t="s">
        <v>447</v>
      </c>
      <c r="P685" s="2" t="str">
        <f t="shared" si="30"/>
        <v>07/05/2025 to 12/05/2025</v>
      </c>
      <c r="Q685" s="3">
        <v>45784</v>
      </c>
      <c r="R685" t="str">
        <f t="shared" si="31"/>
        <v>On-Time</v>
      </c>
      <c r="S685" t="s">
        <v>157</v>
      </c>
      <c r="T685">
        <v>20</v>
      </c>
      <c r="U685" t="s">
        <v>79</v>
      </c>
      <c r="V685" t="s">
        <v>66</v>
      </c>
      <c r="W685" t="str">
        <f t="shared" ca="1" si="32"/>
        <v>Dormant</v>
      </c>
    </row>
    <row r="686" spans="1:23" x14ac:dyDescent="0.2">
      <c r="A686">
        <v>884</v>
      </c>
      <c r="B686" t="s">
        <v>2775</v>
      </c>
      <c r="C686" t="s">
        <v>2776</v>
      </c>
      <c r="D686" s="1" t="s">
        <v>446</v>
      </c>
      <c r="E686" t="s">
        <v>2777</v>
      </c>
      <c r="F686" t="s">
        <v>110</v>
      </c>
      <c r="G686" s="4" t="s">
        <v>5419</v>
      </c>
      <c r="H686" t="s">
        <v>2463</v>
      </c>
      <c r="I686" t="s">
        <v>93</v>
      </c>
      <c r="J686" s="4" t="s">
        <v>68</v>
      </c>
      <c r="K686" t="s">
        <v>2778</v>
      </c>
      <c r="L686">
        <v>3</v>
      </c>
      <c r="M686" t="s">
        <v>446</v>
      </c>
      <c r="N686" t="s">
        <v>446</v>
      </c>
      <c r="O686" t="s">
        <v>455</v>
      </c>
      <c r="P686" s="2" t="str">
        <f t="shared" si="30"/>
        <v>08/05/2025 to 13/05/2025</v>
      </c>
      <c r="Q686" s="3">
        <v>45791</v>
      </c>
      <c r="R686" t="str">
        <f t="shared" si="31"/>
        <v>Late</v>
      </c>
      <c r="S686" t="s">
        <v>456</v>
      </c>
      <c r="T686">
        <v>32.5</v>
      </c>
      <c r="U686" t="s">
        <v>65</v>
      </c>
      <c r="V686" t="s">
        <v>80</v>
      </c>
      <c r="W686" t="str">
        <f t="shared" ca="1" si="32"/>
        <v>Dormant</v>
      </c>
    </row>
    <row r="687" spans="1:23" x14ac:dyDescent="0.2">
      <c r="A687">
        <v>885</v>
      </c>
      <c r="B687" t="s">
        <v>2775</v>
      </c>
      <c r="C687" t="s">
        <v>2779</v>
      </c>
      <c r="D687" s="1" t="s">
        <v>446</v>
      </c>
      <c r="E687" t="s">
        <v>2777</v>
      </c>
      <c r="F687" t="s">
        <v>110</v>
      </c>
      <c r="G687" s="4" t="s">
        <v>5425</v>
      </c>
      <c r="H687" t="s">
        <v>2463</v>
      </c>
      <c r="I687" t="s">
        <v>93</v>
      </c>
      <c r="J687" s="4" t="s">
        <v>68</v>
      </c>
      <c r="K687" t="s">
        <v>2780</v>
      </c>
      <c r="L687">
        <v>4</v>
      </c>
      <c r="M687" t="s">
        <v>447</v>
      </c>
      <c r="N687" t="s">
        <v>712</v>
      </c>
      <c r="O687" t="s">
        <v>447</v>
      </c>
      <c r="P687" s="2" t="str">
        <f t="shared" si="30"/>
        <v>09/05/2025 to 14/05/2025</v>
      </c>
      <c r="Q687" s="3">
        <v>45784</v>
      </c>
      <c r="R687" t="str">
        <f t="shared" si="31"/>
        <v>Late</v>
      </c>
      <c r="S687" t="s">
        <v>451</v>
      </c>
      <c r="T687">
        <v>43</v>
      </c>
      <c r="U687" t="s">
        <v>65</v>
      </c>
      <c r="V687" t="s">
        <v>72</v>
      </c>
      <c r="W687" t="str">
        <f t="shared" ca="1" si="32"/>
        <v>Dormant</v>
      </c>
    </row>
    <row r="688" spans="1:23" x14ac:dyDescent="0.2">
      <c r="A688">
        <v>886</v>
      </c>
      <c r="B688" t="s">
        <v>2775</v>
      </c>
      <c r="C688" t="s">
        <v>2781</v>
      </c>
      <c r="D688" s="1" t="s">
        <v>446</v>
      </c>
      <c r="E688" t="s">
        <v>2777</v>
      </c>
      <c r="F688" t="s">
        <v>110</v>
      </c>
      <c r="G688" s="4" t="s">
        <v>5425</v>
      </c>
      <c r="H688" t="s">
        <v>2463</v>
      </c>
      <c r="I688" t="s">
        <v>93</v>
      </c>
      <c r="J688" s="4" t="s">
        <v>74</v>
      </c>
      <c r="K688" t="s">
        <v>2782</v>
      </c>
      <c r="L688">
        <v>3</v>
      </c>
      <c r="M688" t="s">
        <v>446</v>
      </c>
      <c r="N688" t="s">
        <v>455</v>
      </c>
      <c r="O688" t="s">
        <v>446</v>
      </c>
      <c r="P688" s="2" t="str">
        <f t="shared" si="30"/>
        <v>08/05/2025 to 13/05/2025</v>
      </c>
      <c r="Q688" s="3">
        <v>45789</v>
      </c>
      <c r="R688" t="str">
        <f t="shared" si="31"/>
        <v>On-Time</v>
      </c>
      <c r="S688" t="s">
        <v>163</v>
      </c>
      <c r="T688">
        <v>26.5</v>
      </c>
      <c r="U688" t="s">
        <v>65</v>
      </c>
      <c r="V688" t="s">
        <v>66</v>
      </c>
      <c r="W688" t="str">
        <f t="shared" ca="1" si="32"/>
        <v>Dormant</v>
      </c>
    </row>
    <row r="689" spans="1:23" x14ac:dyDescent="0.2">
      <c r="A689">
        <v>887</v>
      </c>
      <c r="B689" t="s">
        <v>2775</v>
      </c>
      <c r="C689" t="s">
        <v>2783</v>
      </c>
      <c r="D689" s="1" t="s">
        <v>446</v>
      </c>
      <c r="E689" t="s">
        <v>2777</v>
      </c>
      <c r="F689" t="s">
        <v>110</v>
      </c>
      <c r="G689" s="4" t="s">
        <v>5421</v>
      </c>
      <c r="H689" t="s">
        <v>2463</v>
      </c>
      <c r="I689" t="s">
        <v>93</v>
      </c>
      <c r="J689" s="4" t="s">
        <v>60</v>
      </c>
      <c r="K689" t="s">
        <v>2784</v>
      </c>
      <c r="L689">
        <v>3</v>
      </c>
      <c r="M689" t="s">
        <v>447</v>
      </c>
      <c r="N689" t="s">
        <v>447</v>
      </c>
      <c r="O689" t="s">
        <v>712</v>
      </c>
      <c r="P689" s="2" t="str">
        <f t="shared" si="30"/>
        <v>09/05/2025 to 14/05/2025</v>
      </c>
      <c r="Q689" s="3">
        <v>45787</v>
      </c>
      <c r="R689" t="str">
        <f t="shared" si="31"/>
        <v>On-Time</v>
      </c>
      <c r="S689" t="s">
        <v>174</v>
      </c>
      <c r="T689">
        <v>30</v>
      </c>
      <c r="U689" t="s">
        <v>79</v>
      </c>
      <c r="V689" t="s">
        <v>66</v>
      </c>
      <c r="W689" t="str">
        <f t="shared" ca="1" si="32"/>
        <v>Dormant</v>
      </c>
    </row>
    <row r="690" spans="1:23" x14ac:dyDescent="0.2">
      <c r="A690">
        <v>1034</v>
      </c>
      <c r="B690" t="s">
        <v>3144</v>
      </c>
      <c r="C690" t="s">
        <v>3145</v>
      </c>
      <c r="D690" s="1" t="s">
        <v>446</v>
      </c>
      <c r="E690" t="s">
        <v>3146</v>
      </c>
      <c r="F690" t="s">
        <v>579</v>
      </c>
      <c r="G690" s="4" t="s">
        <v>5423</v>
      </c>
      <c r="H690" t="s">
        <v>3147</v>
      </c>
      <c r="I690" t="s">
        <v>93</v>
      </c>
      <c r="J690" s="4" t="s">
        <v>74</v>
      </c>
      <c r="K690" t="s">
        <v>1223</v>
      </c>
      <c r="L690">
        <v>2</v>
      </c>
      <c r="M690" t="s">
        <v>447</v>
      </c>
      <c r="N690" t="s">
        <v>712</v>
      </c>
      <c r="O690" t="s">
        <v>447</v>
      </c>
      <c r="P690" s="2" t="str">
        <f t="shared" si="30"/>
        <v>09/05/2025 to 14/05/2025</v>
      </c>
      <c r="Q690" s="3">
        <v>45785</v>
      </c>
      <c r="R690" t="str">
        <f t="shared" si="31"/>
        <v>Late</v>
      </c>
      <c r="S690" t="s">
        <v>452</v>
      </c>
      <c r="T690">
        <v>19</v>
      </c>
      <c r="U690" t="s">
        <v>79</v>
      </c>
      <c r="V690" t="s">
        <v>72</v>
      </c>
      <c r="W690" t="str">
        <f t="shared" ca="1" si="32"/>
        <v>Dormant</v>
      </c>
    </row>
    <row r="691" spans="1:23" x14ac:dyDescent="0.2">
      <c r="A691">
        <v>666</v>
      </c>
      <c r="B691" t="s">
        <v>2253</v>
      </c>
      <c r="C691" t="s">
        <v>2254</v>
      </c>
      <c r="D691" s="1" t="s">
        <v>447</v>
      </c>
      <c r="E691" t="s">
        <v>2255</v>
      </c>
      <c r="F691" t="s">
        <v>910</v>
      </c>
      <c r="G691" s="4" t="s">
        <v>5423</v>
      </c>
      <c r="H691" t="s">
        <v>2256</v>
      </c>
      <c r="I691" t="s">
        <v>93</v>
      </c>
      <c r="J691" s="4" t="s">
        <v>68</v>
      </c>
      <c r="K691" t="s">
        <v>2257</v>
      </c>
      <c r="L691">
        <v>2</v>
      </c>
      <c r="M691" t="s">
        <v>447</v>
      </c>
      <c r="N691" t="s">
        <v>455</v>
      </c>
      <c r="O691" t="s">
        <v>455</v>
      </c>
      <c r="P691" s="2" t="str">
        <f t="shared" si="30"/>
        <v>09/05/2025 to 14/05/2025</v>
      </c>
      <c r="Q691" s="3">
        <v>45787</v>
      </c>
      <c r="R691" t="str">
        <f t="shared" si="31"/>
        <v>On-Time</v>
      </c>
      <c r="S691" t="s">
        <v>162</v>
      </c>
      <c r="T691">
        <v>23</v>
      </c>
      <c r="U691" t="s">
        <v>79</v>
      </c>
      <c r="V691" t="s">
        <v>72</v>
      </c>
      <c r="W691" t="str">
        <f t="shared" ca="1" si="32"/>
        <v>Dormant</v>
      </c>
    </row>
    <row r="692" spans="1:23" x14ac:dyDescent="0.2">
      <c r="A692">
        <v>667</v>
      </c>
      <c r="B692" t="s">
        <v>2253</v>
      </c>
      <c r="C692" t="s">
        <v>2258</v>
      </c>
      <c r="D692" s="1" t="s">
        <v>447</v>
      </c>
      <c r="E692" t="s">
        <v>2255</v>
      </c>
      <c r="F692" t="s">
        <v>910</v>
      </c>
      <c r="G692" s="4" t="s">
        <v>5424</v>
      </c>
      <c r="H692" t="s">
        <v>2256</v>
      </c>
      <c r="I692" t="s">
        <v>93</v>
      </c>
      <c r="J692" s="4" t="s">
        <v>74</v>
      </c>
      <c r="K692" t="s">
        <v>26</v>
      </c>
      <c r="L692">
        <v>1</v>
      </c>
      <c r="M692" t="s">
        <v>712</v>
      </c>
      <c r="N692" t="s">
        <v>713</v>
      </c>
      <c r="O692" t="s">
        <v>712</v>
      </c>
      <c r="P692" s="2" t="str">
        <f t="shared" si="30"/>
        <v>13/05/2025 to 16/05/2025</v>
      </c>
      <c r="Q692" s="3">
        <v>45786</v>
      </c>
      <c r="R692" t="str">
        <f t="shared" si="31"/>
        <v>Late</v>
      </c>
      <c r="S692" t="s">
        <v>162</v>
      </c>
      <c r="T692">
        <v>9</v>
      </c>
      <c r="U692" t="s">
        <v>79</v>
      </c>
      <c r="V692" t="s">
        <v>80</v>
      </c>
      <c r="W692" t="str">
        <f t="shared" ca="1" si="32"/>
        <v>Dormant</v>
      </c>
    </row>
    <row r="693" spans="1:23" x14ac:dyDescent="0.2">
      <c r="A693">
        <v>668</v>
      </c>
      <c r="B693" t="s">
        <v>2253</v>
      </c>
      <c r="C693" t="s">
        <v>2259</v>
      </c>
      <c r="D693" s="1" t="s">
        <v>447</v>
      </c>
      <c r="E693" t="s">
        <v>2255</v>
      </c>
      <c r="F693" t="s">
        <v>910</v>
      </c>
      <c r="G693" s="4" t="s">
        <v>38</v>
      </c>
      <c r="H693" t="s">
        <v>2256</v>
      </c>
      <c r="I693" t="s">
        <v>93</v>
      </c>
      <c r="J693" s="4" t="s">
        <v>60</v>
      </c>
      <c r="K693" t="s">
        <v>4</v>
      </c>
      <c r="L693">
        <v>1</v>
      </c>
      <c r="M693" t="s">
        <v>712</v>
      </c>
      <c r="N693" t="s">
        <v>712</v>
      </c>
      <c r="O693" t="s">
        <v>293</v>
      </c>
      <c r="P693" s="2" t="str">
        <f t="shared" si="30"/>
        <v>13/05/2025 to 16/05/2025</v>
      </c>
      <c r="Q693" s="3">
        <v>45794</v>
      </c>
      <c r="R693" t="str">
        <f t="shared" si="31"/>
        <v>Late</v>
      </c>
      <c r="S693" t="s">
        <v>1335</v>
      </c>
      <c r="T693">
        <v>8</v>
      </c>
      <c r="U693" t="s">
        <v>79</v>
      </c>
      <c r="V693" t="s">
        <v>80</v>
      </c>
      <c r="W693" t="str">
        <f t="shared" ca="1" si="32"/>
        <v>Dormant</v>
      </c>
    </row>
    <row r="694" spans="1:23" x14ac:dyDescent="0.2">
      <c r="A694">
        <v>669</v>
      </c>
      <c r="B694" t="s">
        <v>2253</v>
      </c>
      <c r="C694" t="s">
        <v>2260</v>
      </c>
      <c r="D694" s="1" t="s">
        <v>447</v>
      </c>
      <c r="E694" t="s">
        <v>2255</v>
      </c>
      <c r="F694" t="s">
        <v>910</v>
      </c>
      <c r="G694" s="4" t="s">
        <v>5428</v>
      </c>
      <c r="H694" t="s">
        <v>2256</v>
      </c>
      <c r="I694" t="s">
        <v>93</v>
      </c>
      <c r="J694" s="4" t="s">
        <v>60</v>
      </c>
      <c r="K694" t="s">
        <v>2261</v>
      </c>
      <c r="L694">
        <v>4</v>
      </c>
      <c r="M694" t="s">
        <v>712</v>
      </c>
      <c r="N694" t="s">
        <v>293</v>
      </c>
      <c r="O694" t="s">
        <v>713</v>
      </c>
      <c r="P694" s="2" t="str">
        <f t="shared" si="30"/>
        <v>13/05/2025 to 16/05/2025</v>
      </c>
      <c r="Q694" s="3">
        <v>45789</v>
      </c>
      <c r="R694" t="str">
        <f t="shared" si="31"/>
        <v>Late</v>
      </c>
      <c r="S694" t="s">
        <v>456</v>
      </c>
      <c r="T694">
        <v>38.5</v>
      </c>
      <c r="U694" t="s">
        <v>79</v>
      </c>
      <c r="V694" t="s">
        <v>66</v>
      </c>
      <c r="W694" t="str">
        <f t="shared" ca="1" si="32"/>
        <v>Dormant</v>
      </c>
    </row>
    <row r="695" spans="1:23" x14ac:dyDescent="0.2">
      <c r="A695">
        <v>670</v>
      </c>
      <c r="B695" t="s">
        <v>2253</v>
      </c>
      <c r="C695" t="s">
        <v>2262</v>
      </c>
      <c r="D695" s="1" t="s">
        <v>447</v>
      </c>
      <c r="E695" t="s">
        <v>2255</v>
      </c>
      <c r="F695" t="s">
        <v>910</v>
      </c>
      <c r="G695" s="4" t="s">
        <v>5420</v>
      </c>
      <c r="H695" t="s">
        <v>2256</v>
      </c>
      <c r="I695" t="s">
        <v>93</v>
      </c>
      <c r="J695" s="4" t="s">
        <v>68</v>
      </c>
      <c r="K695" t="s">
        <v>438</v>
      </c>
      <c r="L695">
        <v>2</v>
      </c>
      <c r="M695" t="s">
        <v>447</v>
      </c>
      <c r="N695" t="s">
        <v>455</v>
      </c>
      <c r="O695" t="s">
        <v>447</v>
      </c>
      <c r="P695" s="2" t="str">
        <f t="shared" si="30"/>
        <v>09/05/2025 to 14/05/2025</v>
      </c>
      <c r="Q695" s="3">
        <v>45790</v>
      </c>
      <c r="R695" t="str">
        <f t="shared" si="31"/>
        <v>On-Time</v>
      </c>
      <c r="S695" t="s">
        <v>163</v>
      </c>
      <c r="T695">
        <v>21</v>
      </c>
      <c r="U695" t="s">
        <v>65</v>
      </c>
      <c r="V695" t="s">
        <v>72</v>
      </c>
      <c r="W695" t="str">
        <f t="shared" ca="1" si="32"/>
        <v>Dormant</v>
      </c>
    </row>
    <row r="696" spans="1:23" x14ac:dyDescent="0.2">
      <c r="A696">
        <v>516</v>
      </c>
      <c r="B696" t="s">
        <v>1860</v>
      </c>
      <c r="C696" t="s">
        <v>1861</v>
      </c>
      <c r="D696" s="1" t="s">
        <v>455</v>
      </c>
      <c r="E696" t="s">
        <v>1862</v>
      </c>
      <c r="F696" t="s">
        <v>159</v>
      </c>
      <c r="G696" s="4" t="s">
        <v>5421</v>
      </c>
      <c r="H696" t="s">
        <v>1863</v>
      </c>
      <c r="I696" t="s">
        <v>59</v>
      </c>
      <c r="J696" s="4" t="s">
        <v>60</v>
      </c>
      <c r="K696" t="s">
        <v>1864</v>
      </c>
      <c r="L696">
        <v>4</v>
      </c>
      <c r="M696" t="s">
        <v>455</v>
      </c>
      <c r="N696" t="s">
        <v>713</v>
      </c>
      <c r="O696" t="s">
        <v>713</v>
      </c>
      <c r="P696" s="2" t="str">
        <f t="shared" si="30"/>
        <v>12/05/2025 to 15/05/2025</v>
      </c>
      <c r="Q696" s="3">
        <v>45793</v>
      </c>
      <c r="R696" t="str">
        <f t="shared" si="31"/>
        <v>Late</v>
      </c>
      <c r="S696" t="s">
        <v>791</v>
      </c>
      <c r="T696">
        <v>35</v>
      </c>
      <c r="U696" t="s">
        <v>65</v>
      </c>
      <c r="V696" t="s">
        <v>66</v>
      </c>
      <c r="W696" t="str">
        <f t="shared" ca="1" si="32"/>
        <v>Dormant</v>
      </c>
    </row>
    <row r="697" spans="1:23" x14ac:dyDescent="0.2">
      <c r="A697">
        <v>637</v>
      </c>
      <c r="B697" t="s">
        <v>2183</v>
      </c>
      <c r="C697" t="s">
        <v>2184</v>
      </c>
      <c r="D697" s="1" t="s">
        <v>455</v>
      </c>
      <c r="E697" t="s">
        <v>2185</v>
      </c>
      <c r="F697" t="s">
        <v>872</v>
      </c>
      <c r="G697" s="4" t="s">
        <v>5428</v>
      </c>
      <c r="H697" t="s">
        <v>2186</v>
      </c>
      <c r="I697" t="s">
        <v>59</v>
      </c>
      <c r="J697" s="4" t="s">
        <v>74</v>
      </c>
      <c r="K697" t="s">
        <v>18</v>
      </c>
      <c r="L697">
        <v>1</v>
      </c>
      <c r="M697" t="s">
        <v>455</v>
      </c>
      <c r="N697" t="s">
        <v>455</v>
      </c>
      <c r="O697" t="s">
        <v>712</v>
      </c>
      <c r="P697" s="2" t="str">
        <f t="shared" si="30"/>
        <v>12/05/2025 to 15/05/2025</v>
      </c>
      <c r="Q697" s="3">
        <v>45786</v>
      </c>
      <c r="R697" t="str">
        <f t="shared" si="31"/>
        <v>Late</v>
      </c>
      <c r="S697" t="s">
        <v>162</v>
      </c>
      <c r="T697">
        <v>8.5</v>
      </c>
      <c r="U697" t="s">
        <v>79</v>
      </c>
      <c r="V697" t="s">
        <v>66</v>
      </c>
      <c r="W697" t="str">
        <f t="shared" ca="1" si="32"/>
        <v>Dormant</v>
      </c>
    </row>
    <row r="698" spans="1:23" x14ac:dyDescent="0.2">
      <c r="A698">
        <v>638</v>
      </c>
      <c r="B698" t="s">
        <v>2183</v>
      </c>
      <c r="C698" t="s">
        <v>2187</v>
      </c>
      <c r="D698" s="1" t="s">
        <v>455</v>
      </c>
      <c r="E698" t="s">
        <v>2185</v>
      </c>
      <c r="F698" t="s">
        <v>872</v>
      </c>
      <c r="G698" s="4" t="s">
        <v>5425</v>
      </c>
      <c r="H698" t="s">
        <v>2186</v>
      </c>
      <c r="I698" t="s">
        <v>59</v>
      </c>
      <c r="J698" s="4" t="s">
        <v>74</v>
      </c>
      <c r="K698" t="s">
        <v>2188</v>
      </c>
      <c r="L698">
        <v>4</v>
      </c>
      <c r="M698" t="s">
        <v>713</v>
      </c>
      <c r="N698" t="s">
        <v>293</v>
      </c>
      <c r="O698" t="s">
        <v>296</v>
      </c>
      <c r="P698" s="2" t="str">
        <f t="shared" si="30"/>
        <v>13/05/2025 to 16/05/2025</v>
      </c>
      <c r="Q698" s="3">
        <v>45794</v>
      </c>
      <c r="R698" t="str">
        <f t="shared" si="31"/>
        <v>Late</v>
      </c>
      <c r="S698" t="s">
        <v>1332</v>
      </c>
      <c r="T698">
        <v>39.5</v>
      </c>
      <c r="U698" t="s">
        <v>79</v>
      </c>
      <c r="V698" t="s">
        <v>80</v>
      </c>
      <c r="W698" t="str">
        <f t="shared" ca="1" si="32"/>
        <v>Dormant</v>
      </c>
    </row>
    <row r="699" spans="1:23" x14ac:dyDescent="0.2">
      <c r="A699">
        <v>639</v>
      </c>
      <c r="B699" t="s">
        <v>2183</v>
      </c>
      <c r="C699" t="s">
        <v>2189</v>
      </c>
      <c r="D699" s="1" t="s">
        <v>455</v>
      </c>
      <c r="E699" t="s">
        <v>2185</v>
      </c>
      <c r="F699" t="s">
        <v>872</v>
      </c>
      <c r="G699" s="4" t="s">
        <v>38</v>
      </c>
      <c r="H699" t="s">
        <v>2186</v>
      </c>
      <c r="I699" t="s">
        <v>59</v>
      </c>
      <c r="J699" s="4" t="s">
        <v>60</v>
      </c>
      <c r="K699" t="s">
        <v>1825</v>
      </c>
      <c r="L699">
        <v>2</v>
      </c>
      <c r="M699" t="s">
        <v>455</v>
      </c>
      <c r="N699" t="s">
        <v>712</v>
      </c>
      <c r="O699" t="s">
        <v>713</v>
      </c>
      <c r="P699" s="2" t="str">
        <f t="shared" si="30"/>
        <v>12/05/2025 to 15/05/2025</v>
      </c>
      <c r="Q699" s="3">
        <v>45787</v>
      </c>
      <c r="R699" t="str">
        <f t="shared" si="31"/>
        <v>Late</v>
      </c>
      <c r="S699" t="s">
        <v>174</v>
      </c>
      <c r="T699">
        <v>22</v>
      </c>
      <c r="U699" t="s">
        <v>65</v>
      </c>
      <c r="V699" t="s">
        <v>66</v>
      </c>
      <c r="W699" t="str">
        <f t="shared" ca="1" si="32"/>
        <v>Dormant</v>
      </c>
    </row>
    <row r="700" spans="1:23" x14ac:dyDescent="0.2">
      <c r="A700">
        <v>640</v>
      </c>
      <c r="B700" t="s">
        <v>2183</v>
      </c>
      <c r="C700" t="s">
        <v>2190</v>
      </c>
      <c r="D700" s="1" t="s">
        <v>455</v>
      </c>
      <c r="E700" t="s">
        <v>2185</v>
      </c>
      <c r="F700" t="s">
        <v>872</v>
      </c>
      <c r="G700" s="4" t="s">
        <v>5426</v>
      </c>
      <c r="H700" t="s">
        <v>2186</v>
      </c>
      <c r="I700" t="s">
        <v>59</v>
      </c>
      <c r="J700" s="4" t="s">
        <v>5417</v>
      </c>
      <c r="K700" t="s">
        <v>2191</v>
      </c>
      <c r="L700">
        <v>4</v>
      </c>
      <c r="M700" t="s">
        <v>712</v>
      </c>
      <c r="N700" t="s">
        <v>293</v>
      </c>
      <c r="O700" t="s">
        <v>713</v>
      </c>
      <c r="P700" s="2" t="str">
        <f t="shared" si="30"/>
        <v>13/05/2025 to 16/05/2025</v>
      </c>
      <c r="Q700" s="3">
        <v>45789</v>
      </c>
      <c r="R700" t="str">
        <f t="shared" si="31"/>
        <v>Late</v>
      </c>
      <c r="S700" t="s">
        <v>170</v>
      </c>
      <c r="T700">
        <v>37</v>
      </c>
      <c r="U700" t="s">
        <v>65</v>
      </c>
      <c r="V700" t="s">
        <v>72</v>
      </c>
      <c r="W700" t="str">
        <f t="shared" ca="1" si="32"/>
        <v>Dormant</v>
      </c>
    </row>
    <row r="701" spans="1:23" x14ac:dyDescent="0.2">
      <c r="A701">
        <v>641</v>
      </c>
      <c r="B701" t="s">
        <v>2183</v>
      </c>
      <c r="C701" t="s">
        <v>2192</v>
      </c>
      <c r="D701" s="1" t="s">
        <v>455</v>
      </c>
      <c r="E701" t="s">
        <v>2185</v>
      </c>
      <c r="F701" t="s">
        <v>872</v>
      </c>
      <c r="G701" s="4" t="s">
        <v>5426</v>
      </c>
      <c r="H701" t="s">
        <v>2186</v>
      </c>
      <c r="I701" t="s">
        <v>59</v>
      </c>
      <c r="J701" s="4" t="s">
        <v>68</v>
      </c>
      <c r="K701" t="s">
        <v>2193</v>
      </c>
      <c r="L701">
        <v>2</v>
      </c>
      <c r="M701" t="s">
        <v>712</v>
      </c>
      <c r="N701" t="s">
        <v>713</v>
      </c>
      <c r="O701" t="s">
        <v>293</v>
      </c>
      <c r="P701" s="2" t="str">
        <f t="shared" si="30"/>
        <v>13/05/2025 to 16/05/2025</v>
      </c>
      <c r="Q701" s="3">
        <v>45788</v>
      </c>
      <c r="R701" t="str">
        <f t="shared" si="31"/>
        <v>Late</v>
      </c>
      <c r="S701" t="s">
        <v>163</v>
      </c>
      <c r="T701">
        <v>22.5</v>
      </c>
      <c r="U701" t="s">
        <v>79</v>
      </c>
      <c r="V701" t="s">
        <v>72</v>
      </c>
      <c r="W701" t="str">
        <f t="shared" ca="1" si="32"/>
        <v>Dormant</v>
      </c>
    </row>
    <row r="702" spans="1:23" x14ac:dyDescent="0.2">
      <c r="A702">
        <v>1060</v>
      </c>
      <c r="B702" t="s">
        <v>3208</v>
      </c>
      <c r="C702" t="s">
        <v>3209</v>
      </c>
      <c r="D702" s="1" t="s">
        <v>455</v>
      </c>
      <c r="E702" t="s">
        <v>3210</v>
      </c>
      <c r="F702" t="s">
        <v>1829</v>
      </c>
      <c r="G702" s="4" t="s">
        <v>5424</v>
      </c>
      <c r="H702" t="s">
        <v>3211</v>
      </c>
      <c r="I702" t="s">
        <v>201</v>
      </c>
      <c r="J702" s="4" t="s">
        <v>60</v>
      </c>
      <c r="K702" t="s">
        <v>12</v>
      </c>
      <c r="L702">
        <v>1</v>
      </c>
      <c r="M702" t="s">
        <v>455</v>
      </c>
      <c r="N702" t="s">
        <v>713</v>
      </c>
      <c r="O702" t="s">
        <v>712</v>
      </c>
      <c r="P702" s="2" t="str">
        <f t="shared" si="30"/>
        <v>12/05/2025 to 15/05/2025</v>
      </c>
      <c r="Q702" s="3">
        <v>45791</v>
      </c>
      <c r="R702" t="str">
        <f t="shared" si="31"/>
        <v>On-Time</v>
      </c>
      <c r="S702" t="s">
        <v>1322</v>
      </c>
      <c r="T702">
        <v>9.5</v>
      </c>
      <c r="U702" t="s">
        <v>65</v>
      </c>
      <c r="V702" t="s">
        <v>80</v>
      </c>
      <c r="W702" t="str">
        <f t="shared" ca="1" si="32"/>
        <v>Dormant</v>
      </c>
    </row>
    <row r="703" spans="1:23" x14ac:dyDescent="0.2">
      <c r="A703">
        <v>363</v>
      </c>
      <c r="B703" t="s">
        <v>1436</v>
      </c>
      <c r="C703" t="s">
        <v>1437</v>
      </c>
      <c r="D703" s="1" t="s">
        <v>712</v>
      </c>
      <c r="E703" t="s">
        <v>1438</v>
      </c>
      <c r="F703" t="s">
        <v>1154</v>
      </c>
      <c r="G703" s="4" t="s">
        <v>5422</v>
      </c>
      <c r="H703" t="s">
        <v>210</v>
      </c>
      <c r="I703" t="s">
        <v>136</v>
      </c>
      <c r="J703" s="4" t="s">
        <v>68</v>
      </c>
      <c r="K703" t="s">
        <v>20</v>
      </c>
      <c r="L703">
        <v>1</v>
      </c>
      <c r="M703" t="s">
        <v>712</v>
      </c>
      <c r="N703" t="s">
        <v>713</v>
      </c>
      <c r="O703" t="s">
        <v>712</v>
      </c>
      <c r="P703" s="2" t="str">
        <f t="shared" si="30"/>
        <v>13/05/2025 to 16/05/2025</v>
      </c>
      <c r="Q703" s="3">
        <v>45789</v>
      </c>
      <c r="R703" t="str">
        <f t="shared" si="31"/>
        <v>Late</v>
      </c>
      <c r="S703" t="s">
        <v>170</v>
      </c>
      <c r="T703">
        <v>10.5</v>
      </c>
      <c r="U703" t="s">
        <v>65</v>
      </c>
      <c r="V703" t="s">
        <v>80</v>
      </c>
      <c r="W703" t="str">
        <f t="shared" ca="1" si="32"/>
        <v>Dormant</v>
      </c>
    </row>
    <row r="704" spans="1:23" x14ac:dyDescent="0.2">
      <c r="A704">
        <v>364</v>
      </c>
      <c r="B704" t="s">
        <v>1436</v>
      </c>
      <c r="C704" t="s">
        <v>1439</v>
      </c>
      <c r="D704" s="1" t="s">
        <v>712</v>
      </c>
      <c r="E704" t="s">
        <v>1438</v>
      </c>
      <c r="F704" t="s">
        <v>1154</v>
      </c>
      <c r="G704" s="4" t="s">
        <v>5420</v>
      </c>
      <c r="H704" t="s">
        <v>210</v>
      </c>
      <c r="I704" t="s">
        <v>136</v>
      </c>
      <c r="J704" s="4" t="s">
        <v>74</v>
      </c>
      <c r="K704" t="s">
        <v>20</v>
      </c>
      <c r="L704">
        <v>1</v>
      </c>
      <c r="M704" t="s">
        <v>293</v>
      </c>
      <c r="N704" t="s">
        <v>293</v>
      </c>
      <c r="O704" t="s">
        <v>290</v>
      </c>
      <c r="P704" s="2" t="str">
        <f t="shared" si="30"/>
        <v>13/05/2025 to 16/05/2025</v>
      </c>
      <c r="Q704" s="3">
        <v>45790</v>
      </c>
      <c r="R704" t="str">
        <f t="shared" si="31"/>
        <v>On-Time</v>
      </c>
      <c r="S704" t="s">
        <v>456</v>
      </c>
      <c r="T704">
        <v>10.5</v>
      </c>
      <c r="U704" t="s">
        <v>65</v>
      </c>
      <c r="V704" t="s">
        <v>80</v>
      </c>
      <c r="W704" t="str">
        <f t="shared" ca="1" si="32"/>
        <v>Dormant</v>
      </c>
    </row>
    <row r="705" spans="1:23" x14ac:dyDescent="0.2">
      <c r="A705">
        <v>365</v>
      </c>
      <c r="B705" t="s">
        <v>1436</v>
      </c>
      <c r="C705" t="s">
        <v>1440</v>
      </c>
      <c r="D705" s="1" t="s">
        <v>712</v>
      </c>
      <c r="E705" t="s">
        <v>1438</v>
      </c>
      <c r="F705" t="s">
        <v>1154</v>
      </c>
      <c r="G705" s="4" t="s">
        <v>38</v>
      </c>
      <c r="H705" t="s">
        <v>210</v>
      </c>
      <c r="I705" t="s">
        <v>136</v>
      </c>
      <c r="J705" s="4" t="s">
        <v>68</v>
      </c>
      <c r="K705" t="s">
        <v>1134</v>
      </c>
      <c r="L705">
        <v>2</v>
      </c>
      <c r="M705" t="s">
        <v>713</v>
      </c>
      <c r="N705" t="s">
        <v>293</v>
      </c>
      <c r="O705" t="s">
        <v>296</v>
      </c>
      <c r="P705" s="2" t="str">
        <f t="shared" si="30"/>
        <v>13/05/2025 to 16/05/2025</v>
      </c>
      <c r="Q705" s="3">
        <v>45789</v>
      </c>
      <c r="R705" t="str">
        <f t="shared" si="31"/>
        <v>Late</v>
      </c>
      <c r="S705" t="s">
        <v>170</v>
      </c>
      <c r="T705">
        <v>18.5</v>
      </c>
      <c r="U705" t="s">
        <v>79</v>
      </c>
      <c r="V705" t="s">
        <v>80</v>
      </c>
      <c r="W705" t="str">
        <f t="shared" ca="1" si="32"/>
        <v>Dormant</v>
      </c>
    </row>
    <row r="706" spans="1:23" x14ac:dyDescent="0.2">
      <c r="A706">
        <v>1236</v>
      </c>
      <c r="B706" t="s">
        <v>3629</v>
      </c>
      <c r="C706" t="s">
        <v>3630</v>
      </c>
      <c r="D706" s="1" t="s">
        <v>712</v>
      </c>
      <c r="E706" t="s">
        <v>3631</v>
      </c>
      <c r="F706" t="s">
        <v>995</v>
      </c>
      <c r="G706" s="4" t="s">
        <v>5423</v>
      </c>
      <c r="H706" t="s">
        <v>3632</v>
      </c>
      <c r="I706" t="s">
        <v>112</v>
      </c>
      <c r="J706" s="4" t="s">
        <v>60</v>
      </c>
      <c r="K706" t="s">
        <v>14</v>
      </c>
      <c r="L706">
        <v>1</v>
      </c>
      <c r="M706" t="s">
        <v>713</v>
      </c>
      <c r="N706" t="s">
        <v>293</v>
      </c>
      <c r="O706" t="s">
        <v>296</v>
      </c>
      <c r="P706" s="2" t="str">
        <f t="shared" ref="P706:P769" si="33">IF(ISBLANK(M706), "", TEXT(WORKDAY(M706, 7), "dd/mm/yyyy") &amp; " to " &amp; TEXT(WORKDAY(M706, 10), "dd/mm/yyyy"))</f>
        <v>13/05/2025 to 16/05/2025</v>
      </c>
      <c r="Q706" s="3">
        <v>45793</v>
      </c>
      <c r="R706" t="str">
        <f t="shared" ref="R706:R769" si="34">IF(Q706="","In Progress",
IF(AND(--Q706&gt;=DATEVALUE(LEFT(P706,10)),
       --Q706&lt;=DATEVALUE(TRIM(MID(P706,FIND("to",P706)+3,10)))),
   "On-Time","Late"))</f>
        <v>On-Time</v>
      </c>
      <c r="S706" t="s">
        <v>1322</v>
      </c>
      <c r="T706">
        <v>9.5</v>
      </c>
      <c r="U706" t="s">
        <v>65</v>
      </c>
      <c r="V706" t="s">
        <v>66</v>
      </c>
      <c r="W706" t="str">
        <f t="shared" ca="1" si="32"/>
        <v>Dormant</v>
      </c>
    </row>
    <row r="707" spans="1:23" x14ac:dyDescent="0.2">
      <c r="A707">
        <v>1237</v>
      </c>
      <c r="B707" t="s">
        <v>3629</v>
      </c>
      <c r="C707" t="s">
        <v>3633</v>
      </c>
      <c r="D707" s="1" t="s">
        <v>712</v>
      </c>
      <c r="E707" t="s">
        <v>3631</v>
      </c>
      <c r="F707" t="s">
        <v>995</v>
      </c>
      <c r="G707" s="4" t="s">
        <v>38</v>
      </c>
      <c r="H707" t="s">
        <v>3632</v>
      </c>
      <c r="I707" t="s">
        <v>112</v>
      </c>
      <c r="J707" s="4" t="s">
        <v>68</v>
      </c>
      <c r="K707" t="s">
        <v>3634</v>
      </c>
      <c r="L707">
        <v>3</v>
      </c>
      <c r="M707" t="s">
        <v>712</v>
      </c>
      <c r="N707" t="s">
        <v>713</v>
      </c>
      <c r="O707" t="s">
        <v>713</v>
      </c>
      <c r="P707" s="2" t="str">
        <f t="shared" si="33"/>
        <v>13/05/2025 to 16/05/2025</v>
      </c>
      <c r="Q707" s="3">
        <v>45791</v>
      </c>
      <c r="R707" t="str">
        <f t="shared" si="34"/>
        <v>On-Time</v>
      </c>
      <c r="S707" t="s">
        <v>1672</v>
      </c>
      <c r="T707">
        <v>29.5</v>
      </c>
      <c r="U707" t="s">
        <v>79</v>
      </c>
      <c r="V707" t="s">
        <v>66</v>
      </c>
      <c r="W707" t="str">
        <f t="shared" ref="W707:W770" ca="1" si="35">IF(D707="","",
IF(TODAY()-D707&lt;=120,"Active",
IF(TODAY()-D707&lt;=210,"At Risk",
IF(TODAY()-D707&lt;=395,"Dormant",
IF(TODAY()-D707&lt;=730,"Inactive","Archived")))))</f>
        <v>Dormant</v>
      </c>
    </row>
    <row r="708" spans="1:23" x14ac:dyDescent="0.2">
      <c r="A708">
        <v>1615</v>
      </c>
      <c r="B708" t="s">
        <v>4547</v>
      </c>
      <c r="C708" t="s">
        <v>4548</v>
      </c>
      <c r="D708" s="1" t="s">
        <v>712</v>
      </c>
      <c r="E708" t="s">
        <v>4549</v>
      </c>
      <c r="F708" t="s">
        <v>159</v>
      </c>
      <c r="G708" s="4" t="s">
        <v>5427</v>
      </c>
      <c r="H708" t="s">
        <v>4550</v>
      </c>
      <c r="I708" t="s">
        <v>201</v>
      </c>
      <c r="J708" s="4" t="s">
        <v>68</v>
      </c>
      <c r="K708" t="s">
        <v>223</v>
      </c>
      <c r="L708">
        <v>2</v>
      </c>
      <c r="M708" t="s">
        <v>293</v>
      </c>
      <c r="N708" t="s">
        <v>296</v>
      </c>
      <c r="O708" t="s">
        <v>296</v>
      </c>
      <c r="P708" s="2" t="str">
        <f t="shared" si="33"/>
        <v>13/05/2025 to 16/05/2025</v>
      </c>
      <c r="Q708" s="3">
        <v>45794</v>
      </c>
      <c r="R708" t="str">
        <f t="shared" si="34"/>
        <v>Late</v>
      </c>
      <c r="S708" t="s">
        <v>1335</v>
      </c>
      <c r="T708">
        <v>20</v>
      </c>
      <c r="U708" t="s">
        <v>79</v>
      </c>
      <c r="V708" t="s">
        <v>66</v>
      </c>
      <c r="W708" t="str">
        <f t="shared" ca="1" si="35"/>
        <v>Dormant</v>
      </c>
    </row>
    <row r="709" spans="1:23" x14ac:dyDescent="0.2">
      <c r="A709">
        <v>1616</v>
      </c>
      <c r="B709" t="s">
        <v>4547</v>
      </c>
      <c r="C709" t="s">
        <v>4551</v>
      </c>
      <c r="D709" s="1" t="s">
        <v>712</v>
      </c>
      <c r="E709" t="s">
        <v>4549</v>
      </c>
      <c r="F709" t="s">
        <v>159</v>
      </c>
      <c r="G709" s="4" t="s">
        <v>5418</v>
      </c>
      <c r="H709" t="s">
        <v>4550</v>
      </c>
      <c r="I709" t="s">
        <v>201</v>
      </c>
      <c r="J709" s="4" t="s">
        <v>68</v>
      </c>
      <c r="K709" t="s">
        <v>4552</v>
      </c>
      <c r="L709">
        <v>3</v>
      </c>
      <c r="M709" t="s">
        <v>293</v>
      </c>
      <c r="N709" t="s">
        <v>296</v>
      </c>
      <c r="O709" t="s">
        <v>293</v>
      </c>
      <c r="P709" s="2" t="str">
        <f t="shared" si="33"/>
        <v>13/05/2025 to 16/05/2025</v>
      </c>
      <c r="Q709" s="3">
        <v>45793</v>
      </c>
      <c r="R709" t="str">
        <f t="shared" si="34"/>
        <v>On-Time</v>
      </c>
      <c r="S709" t="s">
        <v>1322</v>
      </c>
      <c r="T709">
        <v>29</v>
      </c>
      <c r="U709" t="s">
        <v>65</v>
      </c>
      <c r="V709" t="s">
        <v>66</v>
      </c>
      <c r="W709" t="str">
        <f t="shared" ca="1" si="35"/>
        <v>Dormant</v>
      </c>
    </row>
    <row r="710" spans="1:23" x14ac:dyDescent="0.2">
      <c r="A710">
        <v>1617</v>
      </c>
      <c r="B710" t="s">
        <v>4547</v>
      </c>
      <c r="C710" t="s">
        <v>4553</v>
      </c>
      <c r="D710" s="1" t="s">
        <v>712</v>
      </c>
      <c r="E710" t="s">
        <v>4549</v>
      </c>
      <c r="F710" t="s">
        <v>159</v>
      </c>
      <c r="G710" s="4" t="s">
        <v>5423</v>
      </c>
      <c r="H710" t="s">
        <v>4550</v>
      </c>
      <c r="I710" t="s">
        <v>201</v>
      </c>
      <c r="J710" s="4" t="s">
        <v>60</v>
      </c>
      <c r="K710" t="s">
        <v>4554</v>
      </c>
      <c r="L710">
        <v>3</v>
      </c>
      <c r="M710" t="s">
        <v>293</v>
      </c>
      <c r="N710" t="s">
        <v>293</v>
      </c>
      <c r="O710" t="s">
        <v>296</v>
      </c>
      <c r="P710" s="2" t="str">
        <f t="shared" si="33"/>
        <v>13/05/2025 to 16/05/2025</v>
      </c>
      <c r="Q710" s="3">
        <v>45791</v>
      </c>
      <c r="R710" t="str">
        <f t="shared" si="34"/>
        <v>On-Time</v>
      </c>
      <c r="S710" t="s">
        <v>1672</v>
      </c>
      <c r="T710">
        <v>35.5</v>
      </c>
      <c r="U710" t="s">
        <v>65</v>
      </c>
      <c r="V710" t="s">
        <v>66</v>
      </c>
      <c r="W710" t="str">
        <f t="shared" ca="1" si="35"/>
        <v>Dormant</v>
      </c>
    </row>
    <row r="711" spans="1:23" x14ac:dyDescent="0.2">
      <c r="A711">
        <v>1618</v>
      </c>
      <c r="B711" t="s">
        <v>4547</v>
      </c>
      <c r="C711" t="s">
        <v>4555</v>
      </c>
      <c r="D711" s="1" t="s">
        <v>712</v>
      </c>
      <c r="E711" t="s">
        <v>4549</v>
      </c>
      <c r="F711" t="s">
        <v>159</v>
      </c>
      <c r="G711" s="4" t="s">
        <v>5424</v>
      </c>
      <c r="H711" t="s">
        <v>4550</v>
      </c>
      <c r="I711" t="s">
        <v>201</v>
      </c>
      <c r="J711" s="4" t="s">
        <v>74</v>
      </c>
      <c r="K711" t="s">
        <v>4556</v>
      </c>
      <c r="L711">
        <v>3</v>
      </c>
      <c r="M711" t="s">
        <v>712</v>
      </c>
      <c r="N711" t="s">
        <v>712</v>
      </c>
      <c r="O711" t="s">
        <v>712</v>
      </c>
      <c r="P711" s="2" t="str">
        <f t="shared" si="33"/>
        <v>13/05/2025 to 16/05/2025</v>
      </c>
      <c r="Q711" s="3">
        <v>45788</v>
      </c>
      <c r="R711" t="str">
        <f t="shared" si="34"/>
        <v>Late</v>
      </c>
      <c r="S711" t="s">
        <v>163</v>
      </c>
      <c r="T711">
        <v>27.5</v>
      </c>
      <c r="U711" t="s">
        <v>79</v>
      </c>
      <c r="V711" t="s">
        <v>72</v>
      </c>
      <c r="W711" t="str">
        <f t="shared" ca="1" si="35"/>
        <v>Dormant</v>
      </c>
    </row>
    <row r="712" spans="1:23" x14ac:dyDescent="0.2">
      <c r="A712">
        <v>925</v>
      </c>
      <c r="B712" t="s">
        <v>2876</v>
      </c>
      <c r="C712" t="s">
        <v>2877</v>
      </c>
      <c r="D712" s="1" t="s">
        <v>713</v>
      </c>
      <c r="E712" t="s">
        <v>2878</v>
      </c>
      <c r="F712" t="s">
        <v>121</v>
      </c>
      <c r="G712" s="4" t="s">
        <v>5428</v>
      </c>
      <c r="H712" t="s">
        <v>180</v>
      </c>
      <c r="I712" t="s">
        <v>93</v>
      </c>
      <c r="J712" s="4" t="s">
        <v>68</v>
      </c>
      <c r="K712" t="s">
        <v>2879</v>
      </c>
      <c r="L712">
        <v>4</v>
      </c>
      <c r="M712" t="s">
        <v>296</v>
      </c>
      <c r="N712" t="s">
        <v>451</v>
      </c>
      <c r="O712" t="s">
        <v>290</v>
      </c>
      <c r="P712" s="2" t="str">
        <f t="shared" si="33"/>
        <v>14/05/2025 to 19/05/2025</v>
      </c>
      <c r="Q712" s="3">
        <v>45790</v>
      </c>
      <c r="R712" t="str">
        <f t="shared" si="34"/>
        <v>Late</v>
      </c>
      <c r="S712" t="s">
        <v>456</v>
      </c>
      <c r="T712">
        <v>38</v>
      </c>
      <c r="U712" t="s">
        <v>65</v>
      </c>
      <c r="V712" t="s">
        <v>66</v>
      </c>
      <c r="W712" t="str">
        <f t="shared" ca="1" si="35"/>
        <v>Dormant</v>
      </c>
    </row>
    <row r="713" spans="1:23" x14ac:dyDescent="0.2">
      <c r="A713">
        <v>1527</v>
      </c>
      <c r="B713" t="s">
        <v>4340</v>
      </c>
      <c r="C713" t="s">
        <v>4341</v>
      </c>
      <c r="D713" s="1" t="s">
        <v>713</v>
      </c>
      <c r="E713" t="s">
        <v>4342</v>
      </c>
      <c r="F713" t="s">
        <v>110</v>
      </c>
      <c r="G713" s="4" t="s">
        <v>5423</v>
      </c>
      <c r="H713" t="s">
        <v>4343</v>
      </c>
      <c r="I713" t="s">
        <v>59</v>
      </c>
      <c r="J713" s="4" t="s">
        <v>5417</v>
      </c>
      <c r="K713" t="s">
        <v>894</v>
      </c>
      <c r="L713">
        <v>2</v>
      </c>
      <c r="M713" t="s">
        <v>293</v>
      </c>
      <c r="N713" t="s">
        <v>296</v>
      </c>
      <c r="O713" t="s">
        <v>293</v>
      </c>
      <c r="P713" s="2" t="str">
        <f t="shared" si="33"/>
        <v>13/05/2025 to 16/05/2025</v>
      </c>
      <c r="Q713" s="3">
        <v>45789</v>
      </c>
      <c r="R713" t="str">
        <f t="shared" si="34"/>
        <v>Late</v>
      </c>
      <c r="S713" t="s">
        <v>170</v>
      </c>
      <c r="T713">
        <v>18</v>
      </c>
      <c r="U713" t="s">
        <v>79</v>
      </c>
      <c r="V713" t="s">
        <v>66</v>
      </c>
      <c r="W713" t="str">
        <f t="shared" ca="1" si="35"/>
        <v>Dormant</v>
      </c>
    </row>
    <row r="714" spans="1:23" x14ac:dyDescent="0.2">
      <c r="A714">
        <v>1528</v>
      </c>
      <c r="B714" t="s">
        <v>4340</v>
      </c>
      <c r="C714" t="s">
        <v>4344</v>
      </c>
      <c r="D714" s="1" t="s">
        <v>713</v>
      </c>
      <c r="E714" t="s">
        <v>4342</v>
      </c>
      <c r="F714" t="s">
        <v>110</v>
      </c>
      <c r="G714" s="4" t="s">
        <v>5427</v>
      </c>
      <c r="H714" t="s">
        <v>4343</v>
      </c>
      <c r="I714" t="s">
        <v>59</v>
      </c>
      <c r="J714" s="4" t="s">
        <v>74</v>
      </c>
      <c r="K714" t="s">
        <v>4345</v>
      </c>
      <c r="L714">
        <v>4</v>
      </c>
      <c r="M714" t="s">
        <v>296</v>
      </c>
      <c r="N714" t="s">
        <v>290</v>
      </c>
      <c r="O714" t="s">
        <v>290</v>
      </c>
      <c r="P714" s="2" t="str">
        <f t="shared" si="33"/>
        <v>14/05/2025 to 19/05/2025</v>
      </c>
      <c r="Q714" s="3">
        <v>45791</v>
      </c>
      <c r="R714" t="str">
        <f t="shared" si="34"/>
        <v>On-Time</v>
      </c>
      <c r="S714" t="s">
        <v>1672</v>
      </c>
      <c r="T714">
        <v>37</v>
      </c>
      <c r="U714" t="s">
        <v>65</v>
      </c>
      <c r="V714" t="s">
        <v>66</v>
      </c>
      <c r="W714" t="str">
        <f t="shared" ca="1" si="35"/>
        <v>Dormant</v>
      </c>
    </row>
    <row r="715" spans="1:23" x14ac:dyDescent="0.2">
      <c r="A715">
        <v>1529</v>
      </c>
      <c r="B715" t="s">
        <v>4340</v>
      </c>
      <c r="C715" t="s">
        <v>4346</v>
      </c>
      <c r="D715" s="1" t="s">
        <v>713</v>
      </c>
      <c r="E715" t="s">
        <v>4342</v>
      </c>
      <c r="F715" t="s">
        <v>110</v>
      </c>
      <c r="G715" s="4" t="s">
        <v>5427</v>
      </c>
      <c r="H715" t="s">
        <v>4343</v>
      </c>
      <c r="I715" t="s">
        <v>59</v>
      </c>
      <c r="J715" s="4" t="s">
        <v>74</v>
      </c>
      <c r="K715" t="s">
        <v>4347</v>
      </c>
      <c r="L715">
        <v>4</v>
      </c>
      <c r="M715" t="s">
        <v>713</v>
      </c>
      <c r="N715" t="s">
        <v>713</v>
      </c>
      <c r="O715" t="s">
        <v>293</v>
      </c>
      <c r="P715" s="2" t="str">
        <f t="shared" si="33"/>
        <v>13/05/2025 to 16/05/2025</v>
      </c>
      <c r="Q715" s="3">
        <v>45791</v>
      </c>
      <c r="R715" t="str">
        <f t="shared" si="34"/>
        <v>On-Time</v>
      </c>
      <c r="S715" t="s">
        <v>1322</v>
      </c>
      <c r="T715">
        <v>45</v>
      </c>
      <c r="U715" t="s">
        <v>79</v>
      </c>
      <c r="V715" t="s">
        <v>66</v>
      </c>
      <c r="W715" t="str">
        <f t="shared" ca="1" si="35"/>
        <v>Dormant</v>
      </c>
    </row>
    <row r="716" spans="1:23" x14ac:dyDescent="0.2">
      <c r="A716">
        <v>1530</v>
      </c>
      <c r="B716" t="s">
        <v>4340</v>
      </c>
      <c r="C716" t="s">
        <v>4348</v>
      </c>
      <c r="D716" s="1" t="s">
        <v>713</v>
      </c>
      <c r="E716" t="s">
        <v>4342</v>
      </c>
      <c r="F716" t="s">
        <v>110</v>
      </c>
      <c r="G716" s="4" t="s">
        <v>5419</v>
      </c>
      <c r="H716" t="s">
        <v>4343</v>
      </c>
      <c r="I716" t="s">
        <v>59</v>
      </c>
      <c r="J716" s="4" t="s">
        <v>74</v>
      </c>
      <c r="K716" t="s">
        <v>4349</v>
      </c>
      <c r="L716">
        <v>3</v>
      </c>
      <c r="M716" t="s">
        <v>713</v>
      </c>
      <c r="N716" t="s">
        <v>293</v>
      </c>
      <c r="O716" t="s">
        <v>713</v>
      </c>
      <c r="P716" s="2" t="str">
        <f t="shared" si="33"/>
        <v>13/05/2025 to 16/05/2025</v>
      </c>
      <c r="Q716" s="3">
        <v>45789</v>
      </c>
      <c r="R716" t="str">
        <f t="shared" si="34"/>
        <v>Late</v>
      </c>
      <c r="S716" t="s">
        <v>456</v>
      </c>
      <c r="T716">
        <v>25.5</v>
      </c>
      <c r="U716" t="s">
        <v>65</v>
      </c>
      <c r="V716" t="s">
        <v>66</v>
      </c>
      <c r="W716" t="str">
        <f t="shared" ca="1" si="35"/>
        <v>Dormant</v>
      </c>
    </row>
    <row r="717" spans="1:23" x14ac:dyDescent="0.2">
      <c r="A717">
        <v>1822</v>
      </c>
      <c r="B717" t="s">
        <v>5008</v>
      </c>
      <c r="C717" t="s">
        <v>5009</v>
      </c>
      <c r="D717" s="1" t="s">
        <v>713</v>
      </c>
      <c r="E717" t="s">
        <v>5010</v>
      </c>
      <c r="F717" t="s">
        <v>1036</v>
      </c>
      <c r="G717" s="4" t="s">
        <v>5425</v>
      </c>
      <c r="H717" t="s">
        <v>3912</v>
      </c>
      <c r="I717" t="s">
        <v>201</v>
      </c>
      <c r="J717" s="4" t="s">
        <v>68</v>
      </c>
      <c r="K717" t="s">
        <v>5011</v>
      </c>
      <c r="L717">
        <v>3</v>
      </c>
      <c r="M717" t="s">
        <v>293</v>
      </c>
      <c r="N717" t="s">
        <v>293</v>
      </c>
      <c r="O717" t="s">
        <v>290</v>
      </c>
      <c r="P717" s="2" t="str">
        <f t="shared" si="33"/>
        <v>13/05/2025 to 16/05/2025</v>
      </c>
      <c r="Q717" s="3">
        <v>45790</v>
      </c>
      <c r="R717" t="str">
        <f t="shared" si="34"/>
        <v>On-Time</v>
      </c>
      <c r="S717" t="s">
        <v>163</v>
      </c>
      <c r="T717">
        <v>27</v>
      </c>
      <c r="U717" t="s">
        <v>79</v>
      </c>
      <c r="V717" t="s">
        <v>66</v>
      </c>
      <c r="W717" t="str">
        <f t="shared" ca="1" si="35"/>
        <v>Dormant</v>
      </c>
    </row>
    <row r="718" spans="1:23" x14ac:dyDescent="0.2">
      <c r="A718">
        <v>1823</v>
      </c>
      <c r="B718" t="s">
        <v>5008</v>
      </c>
      <c r="C718" t="s">
        <v>5012</v>
      </c>
      <c r="D718" s="1" t="s">
        <v>713</v>
      </c>
      <c r="E718" t="s">
        <v>5010</v>
      </c>
      <c r="F718" t="s">
        <v>1036</v>
      </c>
      <c r="G718" s="4" t="s">
        <v>38</v>
      </c>
      <c r="H718" t="s">
        <v>3912</v>
      </c>
      <c r="I718" t="s">
        <v>201</v>
      </c>
      <c r="J718" s="4" t="s">
        <v>74</v>
      </c>
      <c r="K718" t="s">
        <v>5013</v>
      </c>
      <c r="L718">
        <v>3</v>
      </c>
      <c r="M718" t="s">
        <v>293</v>
      </c>
      <c r="N718" t="s">
        <v>290</v>
      </c>
      <c r="O718" t="s">
        <v>296</v>
      </c>
      <c r="P718" s="2" t="str">
        <f t="shared" si="33"/>
        <v>13/05/2025 to 16/05/2025</v>
      </c>
      <c r="Q718" s="3">
        <v>45789</v>
      </c>
      <c r="R718" t="str">
        <f t="shared" si="34"/>
        <v>Late</v>
      </c>
      <c r="S718" t="s">
        <v>163</v>
      </c>
      <c r="T718">
        <v>31</v>
      </c>
      <c r="U718" t="s">
        <v>79</v>
      </c>
      <c r="V718" t="s">
        <v>80</v>
      </c>
      <c r="W718" t="str">
        <f t="shared" ca="1" si="35"/>
        <v>Dormant</v>
      </c>
    </row>
    <row r="719" spans="1:23" x14ac:dyDescent="0.2">
      <c r="A719">
        <v>1824</v>
      </c>
      <c r="B719" t="s">
        <v>5008</v>
      </c>
      <c r="C719" t="s">
        <v>5014</v>
      </c>
      <c r="D719" s="1" t="s">
        <v>713</v>
      </c>
      <c r="E719" t="s">
        <v>5010</v>
      </c>
      <c r="F719" t="s">
        <v>1036</v>
      </c>
      <c r="G719" s="4" t="s">
        <v>5420</v>
      </c>
      <c r="H719" t="s">
        <v>3912</v>
      </c>
      <c r="I719" t="s">
        <v>201</v>
      </c>
      <c r="J719" s="4" t="s">
        <v>68</v>
      </c>
      <c r="K719" t="s">
        <v>1916</v>
      </c>
      <c r="L719">
        <v>2</v>
      </c>
      <c r="M719" t="s">
        <v>713</v>
      </c>
      <c r="N719" t="s">
        <v>296</v>
      </c>
      <c r="O719" t="s">
        <v>296</v>
      </c>
      <c r="P719" s="2" t="str">
        <f t="shared" si="33"/>
        <v>13/05/2025 to 16/05/2025</v>
      </c>
      <c r="Q719" s="3">
        <v>45792</v>
      </c>
      <c r="R719" t="str">
        <f t="shared" si="34"/>
        <v>On-Time</v>
      </c>
      <c r="S719" t="s">
        <v>1332</v>
      </c>
      <c r="T719">
        <v>17</v>
      </c>
      <c r="U719" t="s">
        <v>65</v>
      </c>
      <c r="V719" t="s">
        <v>80</v>
      </c>
      <c r="W719" t="str">
        <f t="shared" ca="1" si="35"/>
        <v>Dormant</v>
      </c>
    </row>
    <row r="720" spans="1:23" x14ac:dyDescent="0.2">
      <c r="A720">
        <v>319</v>
      </c>
      <c r="B720" t="s">
        <v>1313</v>
      </c>
      <c r="C720" t="s">
        <v>1314</v>
      </c>
      <c r="D720" s="1" t="s">
        <v>293</v>
      </c>
      <c r="E720" t="s">
        <v>1315</v>
      </c>
      <c r="F720" t="s">
        <v>1204</v>
      </c>
      <c r="G720" s="4" t="s">
        <v>5423</v>
      </c>
      <c r="H720" t="s">
        <v>1316</v>
      </c>
      <c r="I720" t="s">
        <v>136</v>
      </c>
      <c r="J720" s="4" t="s">
        <v>60</v>
      </c>
      <c r="K720" t="s">
        <v>1317</v>
      </c>
      <c r="L720">
        <v>3</v>
      </c>
      <c r="M720" t="s">
        <v>293</v>
      </c>
      <c r="N720" t="s">
        <v>296</v>
      </c>
      <c r="O720" t="s">
        <v>293</v>
      </c>
      <c r="P720" s="2" t="str">
        <f t="shared" si="33"/>
        <v>13/05/2025 to 16/05/2025</v>
      </c>
      <c r="Q720" s="3">
        <v>45791</v>
      </c>
      <c r="R720" t="str">
        <f t="shared" si="34"/>
        <v>On-Time</v>
      </c>
      <c r="S720" t="s">
        <v>456</v>
      </c>
      <c r="T720">
        <v>27</v>
      </c>
      <c r="U720" t="s">
        <v>65</v>
      </c>
      <c r="V720" t="s">
        <v>80</v>
      </c>
      <c r="W720" t="str">
        <f t="shared" ca="1" si="35"/>
        <v>Dormant</v>
      </c>
    </row>
    <row r="721" spans="1:23" x14ac:dyDescent="0.2">
      <c r="A721">
        <v>320</v>
      </c>
      <c r="B721" t="s">
        <v>1313</v>
      </c>
      <c r="C721" t="s">
        <v>1318</v>
      </c>
      <c r="D721" s="1" t="s">
        <v>293</v>
      </c>
      <c r="E721" t="s">
        <v>1315</v>
      </c>
      <c r="F721" t="s">
        <v>1204</v>
      </c>
      <c r="G721" s="4" t="s">
        <v>5424</v>
      </c>
      <c r="H721" t="s">
        <v>1316</v>
      </c>
      <c r="I721" t="s">
        <v>136</v>
      </c>
      <c r="J721" s="4" t="s">
        <v>5417</v>
      </c>
      <c r="K721" t="s">
        <v>22</v>
      </c>
      <c r="L721">
        <v>1</v>
      </c>
      <c r="M721" t="s">
        <v>290</v>
      </c>
      <c r="N721" t="s">
        <v>290</v>
      </c>
      <c r="O721" t="s">
        <v>451</v>
      </c>
      <c r="P721" s="2" t="str">
        <f t="shared" si="33"/>
        <v>15/05/2025 to 20/05/2025</v>
      </c>
      <c r="Q721" s="3">
        <v>45795</v>
      </c>
      <c r="R721" t="str">
        <f t="shared" si="34"/>
        <v>On-Time</v>
      </c>
      <c r="S721" t="s">
        <v>1319</v>
      </c>
      <c r="T721">
        <v>8</v>
      </c>
      <c r="U721" t="s">
        <v>79</v>
      </c>
      <c r="V721" t="s">
        <v>72</v>
      </c>
      <c r="W721" t="str">
        <f t="shared" ca="1" si="35"/>
        <v>Dormant</v>
      </c>
    </row>
    <row r="722" spans="1:23" x14ac:dyDescent="0.2">
      <c r="A722">
        <v>321</v>
      </c>
      <c r="B722" t="s">
        <v>1313</v>
      </c>
      <c r="C722" t="s">
        <v>1320</v>
      </c>
      <c r="D722" s="1" t="s">
        <v>293</v>
      </c>
      <c r="E722" t="s">
        <v>1315</v>
      </c>
      <c r="F722" t="s">
        <v>1204</v>
      </c>
      <c r="G722" s="4" t="s">
        <v>5425</v>
      </c>
      <c r="H722" t="s">
        <v>1316</v>
      </c>
      <c r="I722" t="s">
        <v>136</v>
      </c>
      <c r="J722" s="4" t="s">
        <v>74</v>
      </c>
      <c r="K722" t="s">
        <v>1321</v>
      </c>
      <c r="L722">
        <v>3</v>
      </c>
      <c r="M722" t="s">
        <v>293</v>
      </c>
      <c r="N722" t="s">
        <v>293</v>
      </c>
      <c r="O722" t="s">
        <v>290</v>
      </c>
      <c r="P722" s="2" t="str">
        <f t="shared" si="33"/>
        <v>13/05/2025 to 16/05/2025</v>
      </c>
      <c r="Q722" s="3">
        <v>45791</v>
      </c>
      <c r="R722" t="str">
        <f t="shared" si="34"/>
        <v>On-Time</v>
      </c>
      <c r="S722" t="s">
        <v>1322</v>
      </c>
      <c r="T722">
        <v>28.5</v>
      </c>
      <c r="U722" t="s">
        <v>65</v>
      </c>
      <c r="V722" t="s">
        <v>72</v>
      </c>
      <c r="W722" t="str">
        <f t="shared" ca="1" si="35"/>
        <v>Dormant</v>
      </c>
    </row>
    <row r="723" spans="1:23" x14ac:dyDescent="0.2">
      <c r="A723">
        <v>322</v>
      </c>
      <c r="B723" t="s">
        <v>1313</v>
      </c>
      <c r="C723" t="s">
        <v>1323</v>
      </c>
      <c r="D723" s="1" t="s">
        <v>293</v>
      </c>
      <c r="E723" t="s">
        <v>1315</v>
      </c>
      <c r="F723" t="s">
        <v>1204</v>
      </c>
      <c r="G723" s="4" t="s">
        <v>5420</v>
      </c>
      <c r="H723" t="s">
        <v>1316</v>
      </c>
      <c r="I723" t="s">
        <v>136</v>
      </c>
      <c r="J723" s="4" t="s">
        <v>60</v>
      </c>
      <c r="K723" t="s">
        <v>1324</v>
      </c>
      <c r="L723">
        <v>4</v>
      </c>
      <c r="M723" t="s">
        <v>296</v>
      </c>
      <c r="N723" t="s">
        <v>290</v>
      </c>
      <c r="O723" t="s">
        <v>296</v>
      </c>
      <c r="P723" s="2" t="str">
        <f t="shared" si="33"/>
        <v>14/05/2025 to 19/05/2025</v>
      </c>
      <c r="Q723" s="3">
        <v>45791</v>
      </c>
      <c r="R723" t="str">
        <f t="shared" si="34"/>
        <v>On-Time</v>
      </c>
      <c r="S723" t="s">
        <v>456</v>
      </c>
      <c r="T723">
        <v>38</v>
      </c>
      <c r="U723" t="s">
        <v>79</v>
      </c>
      <c r="V723" t="s">
        <v>72</v>
      </c>
      <c r="W723" t="str">
        <f t="shared" ca="1" si="35"/>
        <v>Dormant</v>
      </c>
    </row>
    <row r="724" spans="1:23" x14ac:dyDescent="0.2">
      <c r="A724">
        <v>323</v>
      </c>
      <c r="B724" t="s">
        <v>1313</v>
      </c>
      <c r="C724" t="s">
        <v>1325</v>
      </c>
      <c r="D724" s="1" t="s">
        <v>293</v>
      </c>
      <c r="E724" t="s">
        <v>1315</v>
      </c>
      <c r="F724" t="s">
        <v>1204</v>
      </c>
      <c r="G724" s="4" t="s">
        <v>5426</v>
      </c>
      <c r="H724" t="s">
        <v>1316</v>
      </c>
      <c r="I724" t="s">
        <v>136</v>
      </c>
      <c r="J724" s="4" t="s">
        <v>74</v>
      </c>
      <c r="K724" t="s">
        <v>1326</v>
      </c>
      <c r="L724">
        <v>4</v>
      </c>
      <c r="M724" t="s">
        <v>290</v>
      </c>
      <c r="N724" t="s">
        <v>452</v>
      </c>
      <c r="O724" t="s">
        <v>451</v>
      </c>
      <c r="P724" s="2" t="str">
        <f t="shared" si="33"/>
        <v>15/05/2025 to 20/05/2025</v>
      </c>
      <c r="Q724" s="3">
        <v>45795</v>
      </c>
      <c r="R724" t="str">
        <f t="shared" si="34"/>
        <v>On-Time</v>
      </c>
      <c r="S724" t="s">
        <v>791</v>
      </c>
      <c r="T724">
        <v>36.5</v>
      </c>
      <c r="U724" t="s">
        <v>65</v>
      </c>
      <c r="V724" t="s">
        <v>72</v>
      </c>
      <c r="W724" t="str">
        <f t="shared" ca="1" si="35"/>
        <v>Dormant</v>
      </c>
    </row>
    <row r="725" spans="1:23" x14ac:dyDescent="0.2">
      <c r="A725">
        <v>948</v>
      </c>
      <c r="B725" t="s">
        <v>2937</v>
      </c>
      <c r="C725" t="s">
        <v>2938</v>
      </c>
      <c r="D725" s="1" t="s">
        <v>293</v>
      </c>
      <c r="E725" t="s">
        <v>2939</v>
      </c>
      <c r="F725" t="s">
        <v>741</v>
      </c>
      <c r="G725" s="4" t="s">
        <v>5428</v>
      </c>
      <c r="H725" t="s">
        <v>2940</v>
      </c>
      <c r="I725" t="s">
        <v>136</v>
      </c>
      <c r="J725" s="4" t="s">
        <v>74</v>
      </c>
      <c r="K725" t="s">
        <v>2941</v>
      </c>
      <c r="L725">
        <v>2</v>
      </c>
      <c r="M725" t="s">
        <v>290</v>
      </c>
      <c r="N725" t="s">
        <v>452</v>
      </c>
      <c r="O725" t="s">
        <v>451</v>
      </c>
      <c r="P725" s="2" t="str">
        <f t="shared" si="33"/>
        <v>15/05/2025 to 20/05/2025</v>
      </c>
      <c r="Q725" s="3">
        <v>45793</v>
      </c>
      <c r="R725" t="str">
        <f t="shared" si="34"/>
        <v>On-Time</v>
      </c>
      <c r="S725" t="s">
        <v>791</v>
      </c>
      <c r="T725">
        <v>23</v>
      </c>
      <c r="U725" t="s">
        <v>79</v>
      </c>
      <c r="V725" t="s">
        <v>66</v>
      </c>
      <c r="W725" t="str">
        <f t="shared" ca="1" si="35"/>
        <v>Dormant</v>
      </c>
    </row>
    <row r="726" spans="1:23" x14ac:dyDescent="0.2">
      <c r="A726">
        <v>949</v>
      </c>
      <c r="B726" t="s">
        <v>2937</v>
      </c>
      <c r="C726" t="s">
        <v>2942</v>
      </c>
      <c r="D726" s="1" t="s">
        <v>293</v>
      </c>
      <c r="E726" t="s">
        <v>2939</v>
      </c>
      <c r="F726" t="s">
        <v>741</v>
      </c>
      <c r="G726" s="4" t="s">
        <v>5420</v>
      </c>
      <c r="H726" t="s">
        <v>2940</v>
      </c>
      <c r="I726" t="s">
        <v>136</v>
      </c>
      <c r="J726" s="4" t="s">
        <v>68</v>
      </c>
      <c r="K726" t="s">
        <v>2943</v>
      </c>
      <c r="L726">
        <v>4</v>
      </c>
      <c r="M726" t="s">
        <v>293</v>
      </c>
      <c r="N726" t="s">
        <v>290</v>
      </c>
      <c r="O726" t="s">
        <v>293</v>
      </c>
      <c r="P726" s="2" t="str">
        <f t="shared" si="33"/>
        <v>13/05/2025 to 16/05/2025</v>
      </c>
      <c r="Q726" s="3">
        <v>45791</v>
      </c>
      <c r="R726" t="str">
        <f t="shared" si="34"/>
        <v>On-Time</v>
      </c>
      <c r="S726" t="s">
        <v>456</v>
      </c>
      <c r="T726">
        <v>39.5</v>
      </c>
      <c r="U726" t="s">
        <v>79</v>
      </c>
      <c r="V726" t="s">
        <v>80</v>
      </c>
      <c r="W726" t="str">
        <f t="shared" ca="1" si="35"/>
        <v>Dormant</v>
      </c>
    </row>
    <row r="727" spans="1:23" x14ac:dyDescent="0.2">
      <c r="A727">
        <v>950</v>
      </c>
      <c r="B727" t="s">
        <v>2937</v>
      </c>
      <c r="C727" t="s">
        <v>2944</v>
      </c>
      <c r="D727" s="1" t="s">
        <v>293</v>
      </c>
      <c r="E727" t="s">
        <v>2939</v>
      </c>
      <c r="F727" t="s">
        <v>741</v>
      </c>
      <c r="G727" s="4" t="s">
        <v>5419</v>
      </c>
      <c r="H727" t="s">
        <v>2940</v>
      </c>
      <c r="I727" t="s">
        <v>136</v>
      </c>
      <c r="J727" s="4" t="s">
        <v>74</v>
      </c>
      <c r="K727" t="s">
        <v>2945</v>
      </c>
      <c r="L727">
        <v>3</v>
      </c>
      <c r="M727" t="s">
        <v>293</v>
      </c>
      <c r="N727" t="s">
        <v>296</v>
      </c>
      <c r="O727" t="s">
        <v>293</v>
      </c>
      <c r="P727" s="2" t="str">
        <f t="shared" si="33"/>
        <v>13/05/2025 to 16/05/2025</v>
      </c>
      <c r="Q727" s="3">
        <v>45793</v>
      </c>
      <c r="R727" t="str">
        <f t="shared" si="34"/>
        <v>On-Time</v>
      </c>
      <c r="S727" t="s">
        <v>1322</v>
      </c>
      <c r="T727">
        <v>25.5</v>
      </c>
      <c r="U727" t="s">
        <v>79</v>
      </c>
      <c r="V727" t="s">
        <v>66</v>
      </c>
      <c r="W727" t="str">
        <f t="shared" ca="1" si="35"/>
        <v>Dormant</v>
      </c>
    </row>
    <row r="728" spans="1:23" x14ac:dyDescent="0.2">
      <c r="A728">
        <v>951</v>
      </c>
      <c r="B728" t="s">
        <v>2937</v>
      </c>
      <c r="C728" t="s">
        <v>2946</v>
      </c>
      <c r="D728" s="1" t="s">
        <v>293</v>
      </c>
      <c r="E728" t="s">
        <v>2939</v>
      </c>
      <c r="F728" t="s">
        <v>741</v>
      </c>
      <c r="G728" s="4" t="s">
        <v>38</v>
      </c>
      <c r="H728" t="s">
        <v>2940</v>
      </c>
      <c r="I728" t="s">
        <v>136</v>
      </c>
      <c r="J728" s="4" t="s">
        <v>74</v>
      </c>
      <c r="K728" t="s">
        <v>2947</v>
      </c>
      <c r="L728">
        <v>3</v>
      </c>
      <c r="M728" t="s">
        <v>293</v>
      </c>
      <c r="N728" t="s">
        <v>296</v>
      </c>
      <c r="O728" t="s">
        <v>296</v>
      </c>
      <c r="P728" s="2" t="str">
        <f t="shared" si="33"/>
        <v>13/05/2025 to 16/05/2025</v>
      </c>
      <c r="Q728" s="3">
        <v>45789</v>
      </c>
      <c r="R728" t="str">
        <f t="shared" si="34"/>
        <v>Late</v>
      </c>
      <c r="S728" t="s">
        <v>163</v>
      </c>
      <c r="T728">
        <v>31.5</v>
      </c>
      <c r="U728" t="s">
        <v>65</v>
      </c>
      <c r="V728" t="s">
        <v>72</v>
      </c>
      <c r="W728" t="str">
        <f t="shared" ca="1" si="35"/>
        <v>Dormant</v>
      </c>
    </row>
    <row r="729" spans="1:23" x14ac:dyDescent="0.2">
      <c r="A729">
        <v>952</v>
      </c>
      <c r="B729" t="s">
        <v>2937</v>
      </c>
      <c r="C729" t="s">
        <v>2948</v>
      </c>
      <c r="D729" s="1" t="s">
        <v>293</v>
      </c>
      <c r="E729" t="s">
        <v>2939</v>
      </c>
      <c r="F729" t="s">
        <v>741</v>
      </c>
      <c r="G729" s="4" t="s">
        <v>5420</v>
      </c>
      <c r="H729" t="s">
        <v>2940</v>
      </c>
      <c r="I729" t="s">
        <v>136</v>
      </c>
      <c r="J729" s="4" t="s">
        <v>74</v>
      </c>
      <c r="K729" t="s">
        <v>2716</v>
      </c>
      <c r="L729">
        <v>2</v>
      </c>
      <c r="M729" t="s">
        <v>293</v>
      </c>
      <c r="N729" t="s">
        <v>296</v>
      </c>
      <c r="O729" t="s">
        <v>296</v>
      </c>
      <c r="P729" s="2" t="str">
        <f t="shared" si="33"/>
        <v>13/05/2025 to 16/05/2025</v>
      </c>
      <c r="Q729" s="3">
        <v>45789</v>
      </c>
      <c r="R729" t="str">
        <f t="shared" si="34"/>
        <v>Late</v>
      </c>
      <c r="S729" t="s">
        <v>163</v>
      </c>
      <c r="T729">
        <v>16</v>
      </c>
      <c r="U729" t="s">
        <v>65</v>
      </c>
      <c r="V729" t="s">
        <v>72</v>
      </c>
      <c r="W729" t="str">
        <f t="shared" ca="1" si="35"/>
        <v>Dormant</v>
      </c>
    </row>
    <row r="730" spans="1:23" x14ac:dyDescent="0.2">
      <c r="A730">
        <v>1127</v>
      </c>
      <c r="B730" t="s">
        <v>3372</v>
      </c>
      <c r="C730" t="s">
        <v>3373</v>
      </c>
      <c r="D730" s="1" t="s">
        <v>293</v>
      </c>
      <c r="E730" t="s">
        <v>3374</v>
      </c>
      <c r="F730" t="s">
        <v>803</v>
      </c>
      <c r="G730" s="4" t="s">
        <v>5422</v>
      </c>
      <c r="H730" t="s">
        <v>3375</v>
      </c>
      <c r="I730" t="s">
        <v>93</v>
      </c>
      <c r="J730" s="4" t="s">
        <v>5417</v>
      </c>
      <c r="K730" t="s">
        <v>4</v>
      </c>
      <c r="L730">
        <v>1</v>
      </c>
      <c r="M730" t="s">
        <v>296</v>
      </c>
      <c r="N730" t="s">
        <v>296</v>
      </c>
      <c r="O730" t="s">
        <v>290</v>
      </c>
      <c r="P730" s="2" t="str">
        <f t="shared" si="33"/>
        <v>14/05/2025 to 19/05/2025</v>
      </c>
      <c r="Q730" s="3">
        <v>45795</v>
      </c>
      <c r="R730" t="str">
        <f t="shared" si="34"/>
        <v>On-Time</v>
      </c>
      <c r="S730" t="s">
        <v>1335</v>
      </c>
      <c r="T730">
        <v>8</v>
      </c>
      <c r="U730" t="s">
        <v>65</v>
      </c>
      <c r="V730" t="s">
        <v>66</v>
      </c>
      <c r="W730" t="str">
        <f t="shared" ca="1" si="35"/>
        <v>Dormant</v>
      </c>
    </row>
    <row r="731" spans="1:23" x14ac:dyDescent="0.2">
      <c r="A731">
        <v>831</v>
      </c>
      <c r="B731" t="s">
        <v>2650</v>
      </c>
      <c r="C731" t="s">
        <v>2651</v>
      </c>
      <c r="D731" s="1" t="s">
        <v>296</v>
      </c>
      <c r="E731" t="s">
        <v>2652</v>
      </c>
      <c r="F731" t="s">
        <v>286</v>
      </c>
      <c r="G731" s="4" t="s">
        <v>38</v>
      </c>
      <c r="H731" t="s">
        <v>2653</v>
      </c>
      <c r="I731" t="s">
        <v>59</v>
      </c>
      <c r="J731" s="4" t="s">
        <v>5417</v>
      </c>
      <c r="K731" t="s">
        <v>2654</v>
      </c>
      <c r="L731">
        <v>3</v>
      </c>
      <c r="M731" t="s">
        <v>451</v>
      </c>
      <c r="N731" t="s">
        <v>451</v>
      </c>
      <c r="O731" t="s">
        <v>157</v>
      </c>
      <c r="P731" s="2" t="str">
        <f t="shared" si="33"/>
        <v>16/05/2025 to 21/05/2025</v>
      </c>
      <c r="Q731" s="3">
        <v>45797</v>
      </c>
      <c r="R731" t="str">
        <f t="shared" si="34"/>
        <v>On-Time</v>
      </c>
      <c r="S731" t="s">
        <v>167</v>
      </c>
      <c r="T731">
        <v>25</v>
      </c>
      <c r="U731" t="s">
        <v>79</v>
      </c>
      <c r="V731" t="s">
        <v>80</v>
      </c>
      <c r="W731" t="str">
        <f t="shared" ca="1" si="35"/>
        <v>Dormant</v>
      </c>
    </row>
    <row r="732" spans="1:23" x14ac:dyDescent="0.2">
      <c r="A732">
        <v>832</v>
      </c>
      <c r="B732" t="s">
        <v>2650</v>
      </c>
      <c r="C732" t="s">
        <v>2655</v>
      </c>
      <c r="D732" s="1" t="s">
        <v>296</v>
      </c>
      <c r="E732" t="s">
        <v>2652</v>
      </c>
      <c r="F732" t="s">
        <v>286</v>
      </c>
      <c r="G732" s="4" t="s">
        <v>5420</v>
      </c>
      <c r="H732" t="s">
        <v>2653</v>
      </c>
      <c r="I732" t="s">
        <v>59</v>
      </c>
      <c r="J732" s="4" t="s">
        <v>60</v>
      </c>
      <c r="K732" t="s">
        <v>2656</v>
      </c>
      <c r="L732">
        <v>3</v>
      </c>
      <c r="M732" t="s">
        <v>290</v>
      </c>
      <c r="N732" t="s">
        <v>451</v>
      </c>
      <c r="O732" t="s">
        <v>452</v>
      </c>
      <c r="P732" s="2" t="str">
        <f t="shared" si="33"/>
        <v>15/05/2025 to 20/05/2025</v>
      </c>
      <c r="Q732" s="3">
        <v>45792</v>
      </c>
      <c r="R732" t="str">
        <f t="shared" si="34"/>
        <v>On-Time</v>
      </c>
      <c r="S732" t="s">
        <v>1332</v>
      </c>
      <c r="T732">
        <v>34</v>
      </c>
      <c r="U732" t="s">
        <v>79</v>
      </c>
      <c r="V732" t="s">
        <v>72</v>
      </c>
      <c r="W732" t="str">
        <f t="shared" ca="1" si="35"/>
        <v>Dormant</v>
      </c>
    </row>
    <row r="733" spans="1:23" x14ac:dyDescent="0.2">
      <c r="A733">
        <v>833</v>
      </c>
      <c r="B733" t="s">
        <v>2650</v>
      </c>
      <c r="C733" t="s">
        <v>2657</v>
      </c>
      <c r="D733" s="1" t="s">
        <v>296</v>
      </c>
      <c r="E733" t="s">
        <v>2652</v>
      </c>
      <c r="F733" t="s">
        <v>286</v>
      </c>
      <c r="G733" s="4" t="s">
        <v>5423</v>
      </c>
      <c r="H733" t="s">
        <v>2653</v>
      </c>
      <c r="I733" t="s">
        <v>59</v>
      </c>
      <c r="J733" s="4" t="s">
        <v>74</v>
      </c>
      <c r="K733" t="s">
        <v>480</v>
      </c>
      <c r="L733">
        <v>2</v>
      </c>
      <c r="M733" t="s">
        <v>451</v>
      </c>
      <c r="N733" t="s">
        <v>451</v>
      </c>
      <c r="O733" t="s">
        <v>451</v>
      </c>
      <c r="P733" s="2" t="str">
        <f t="shared" si="33"/>
        <v>16/05/2025 to 21/05/2025</v>
      </c>
      <c r="Q733" s="3">
        <v>45793</v>
      </c>
      <c r="R733" t="str">
        <f t="shared" si="34"/>
        <v>On-Time</v>
      </c>
      <c r="S733" t="s">
        <v>1332</v>
      </c>
      <c r="T733">
        <v>21</v>
      </c>
      <c r="U733" t="s">
        <v>79</v>
      </c>
      <c r="V733" t="s">
        <v>66</v>
      </c>
      <c r="W733" t="str">
        <f t="shared" ca="1" si="35"/>
        <v>Dormant</v>
      </c>
    </row>
    <row r="734" spans="1:23" x14ac:dyDescent="0.2">
      <c r="A734">
        <v>834</v>
      </c>
      <c r="B734" t="s">
        <v>2650</v>
      </c>
      <c r="C734" t="s">
        <v>2658</v>
      </c>
      <c r="D734" s="1" t="s">
        <v>296</v>
      </c>
      <c r="E734" t="s">
        <v>2652</v>
      </c>
      <c r="F734" t="s">
        <v>286</v>
      </c>
      <c r="G734" s="4" t="s">
        <v>5426</v>
      </c>
      <c r="H734" t="s">
        <v>2653</v>
      </c>
      <c r="I734" t="s">
        <v>59</v>
      </c>
      <c r="J734" s="4" t="s">
        <v>68</v>
      </c>
      <c r="K734" t="s">
        <v>2659</v>
      </c>
      <c r="L734">
        <v>4</v>
      </c>
      <c r="M734" t="s">
        <v>296</v>
      </c>
      <c r="N734" t="s">
        <v>451</v>
      </c>
      <c r="O734" t="s">
        <v>290</v>
      </c>
      <c r="P734" s="2" t="str">
        <f t="shared" si="33"/>
        <v>14/05/2025 to 19/05/2025</v>
      </c>
      <c r="Q734" s="3">
        <v>45791</v>
      </c>
      <c r="R734" t="str">
        <f t="shared" si="34"/>
        <v>On-Time</v>
      </c>
      <c r="S734" t="s">
        <v>456</v>
      </c>
      <c r="T734">
        <v>37.5</v>
      </c>
      <c r="U734" t="s">
        <v>79</v>
      </c>
      <c r="V734" t="s">
        <v>72</v>
      </c>
      <c r="W734" t="str">
        <f t="shared" ca="1" si="35"/>
        <v>Dormant</v>
      </c>
    </row>
    <row r="735" spans="1:23" x14ac:dyDescent="0.2">
      <c r="A735">
        <v>1296</v>
      </c>
      <c r="B735" t="s">
        <v>3770</v>
      </c>
      <c r="C735" t="s">
        <v>3771</v>
      </c>
      <c r="D735" s="1" t="s">
        <v>296</v>
      </c>
      <c r="E735" t="s">
        <v>3772</v>
      </c>
      <c r="F735" t="s">
        <v>91</v>
      </c>
      <c r="G735" s="4" t="s">
        <v>5420</v>
      </c>
      <c r="H735" t="s">
        <v>3773</v>
      </c>
      <c r="I735" t="s">
        <v>112</v>
      </c>
      <c r="J735" s="4" t="s">
        <v>68</v>
      </c>
      <c r="K735" t="s">
        <v>20</v>
      </c>
      <c r="L735">
        <v>1</v>
      </c>
      <c r="M735" t="s">
        <v>290</v>
      </c>
      <c r="N735" t="s">
        <v>452</v>
      </c>
      <c r="O735" t="s">
        <v>290</v>
      </c>
      <c r="P735" s="2" t="str">
        <f t="shared" si="33"/>
        <v>15/05/2025 to 20/05/2025</v>
      </c>
      <c r="Q735" s="3">
        <v>45790</v>
      </c>
      <c r="R735" t="str">
        <f t="shared" si="34"/>
        <v>Late</v>
      </c>
      <c r="S735" t="s">
        <v>1672</v>
      </c>
      <c r="T735">
        <v>10.5</v>
      </c>
      <c r="U735" t="s">
        <v>65</v>
      </c>
      <c r="V735" t="s">
        <v>80</v>
      </c>
      <c r="W735" t="str">
        <f t="shared" ca="1" si="35"/>
        <v>Dormant</v>
      </c>
    </row>
    <row r="736" spans="1:23" x14ac:dyDescent="0.2">
      <c r="A736">
        <v>1297</v>
      </c>
      <c r="B736" t="s">
        <v>3770</v>
      </c>
      <c r="C736" t="s">
        <v>3774</v>
      </c>
      <c r="D736" s="1" t="s">
        <v>296</v>
      </c>
      <c r="E736" t="s">
        <v>3772</v>
      </c>
      <c r="F736" t="s">
        <v>91</v>
      </c>
      <c r="G736" s="4" t="s">
        <v>5425</v>
      </c>
      <c r="H736" t="s">
        <v>3773</v>
      </c>
      <c r="I736" t="s">
        <v>112</v>
      </c>
      <c r="J736" s="4" t="s">
        <v>5417</v>
      </c>
      <c r="K736" t="s">
        <v>3775</v>
      </c>
      <c r="L736">
        <v>4</v>
      </c>
      <c r="M736" t="s">
        <v>290</v>
      </c>
      <c r="N736" t="s">
        <v>290</v>
      </c>
      <c r="O736" t="s">
        <v>290</v>
      </c>
      <c r="P736" s="2" t="str">
        <f t="shared" si="33"/>
        <v>15/05/2025 to 20/05/2025</v>
      </c>
      <c r="Q736" s="3">
        <v>45793</v>
      </c>
      <c r="R736" t="str">
        <f t="shared" si="34"/>
        <v>On-Time</v>
      </c>
      <c r="S736" t="s">
        <v>791</v>
      </c>
      <c r="T736">
        <v>35</v>
      </c>
      <c r="U736" t="s">
        <v>65</v>
      </c>
      <c r="V736" t="s">
        <v>66</v>
      </c>
      <c r="W736" t="str">
        <f t="shared" ca="1" si="35"/>
        <v>Dormant</v>
      </c>
    </row>
    <row r="737" spans="1:23" x14ac:dyDescent="0.2">
      <c r="A737">
        <v>1298</v>
      </c>
      <c r="B737" t="s">
        <v>3770</v>
      </c>
      <c r="C737" t="s">
        <v>3776</v>
      </c>
      <c r="D737" s="1" t="s">
        <v>296</v>
      </c>
      <c r="E737" t="s">
        <v>3772</v>
      </c>
      <c r="F737" t="s">
        <v>91</v>
      </c>
      <c r="G737" s="4" t="s">
        <v>5426</v>
      </c>
      <c r="H737" t="s">
        <v>3773</v>
      </c>
      <c r="I737" t="s">
        <v>112</v>
      </c>
      <c r="J737" s="4" t="s">
        <v>68</v>
      </c>
      <c r="K737" t="s">
        <v>3777</v>
      </c>
      <c r="L737">
        <v>3</v>
      </c>
      <c r="M737" t="s">
        <v>290</v>
      </c>
      <c r="N737" t="s">
        <v>290</v>
      </c>
      <c r="O737" t="s">
        <v>451</v>
      </c>
      <c r="P737" s="2" t="str">
        <f t="shared" si="33"/>
        <v>15/05/2025 to 20/05/2025</v>
      </c>
      <c r="Q737" s="3">
        <v>45794</v>
      </c>
      <c r="R737" t="str">
        <f t="shared" si="34"/>
        <v>On-Time</v>
      </c>
      <c r="S737" t="s">
        <v>1332</v>
      </c>
      <c r="T737">
        <v>26</v>
      </c>
      <c r="U737" t="s">
        <v>79</v>
      </c>
      <c r="V737" t="s">
        <v>72</v>
      </c>
      <c r="W737" t="str">
        <f t="shared" ca="1" si="35"/>
        <v>Dormant</v>
      </c>
    </row>
    <row r="738" spans="1:23" x14ac:dyDescent="0.2">
      <c r="A738">
        <v>1299</v>
      </c>
      <c r="B738" t="s">
        <v>3770</v>
      </c>
      <c r="C738" t="s">
        <v>3778</v>
      </c>
      <c r="D738" s="1" t="s">
        <v>296</v>
      </c>
      <c r="E738" t="s">
        <v>3772</v>
      </c>
      <c r="F738" t="s">
        <v>91</v>
      </c>
      <c r="G738" s="4" t="s">
        <v>5423</v>
      </c>
      <c r="H738" t="s">
        <v>3773</v>
      </c>
      <c r="I738" t="s">
        <v>112</v>
      </c>
      <c r="J738" s="4" t="s">
        <v>74</v>
      </c>
      <c r="K738" t="s">
        <v>14</v>
      </c>
      <c r="L738">
        <v>1</v>
      </c>
      <c r="M738" t="s">
        <v>290</v>
      </c>
      <c r="N738" t="s">
        <v>452</v>
      </c>
      <c r="O738" t="s">
        <v>452</v>
      </c>
      <c r="P738" s="2" t="str">
        <f t="shared" si="33"/>
        <v>15/05/2025 to 20/05/2025</v>
      </c>
      <c r="Q738" s="3">
        <v>45794</v>
      </c>
      <c r="R738" t="str">
        <f t="shared" si="34"/>
        <v>On-Time</v>
      </c>
      <c r="S738" t="s">
        <v>1335</v>
      </c>
      <c r="T738">
        <v>9.5</v>
      </c>
      <c r="U738" t="s">
        <v>65</v>
      </c>
      <c r="V738" t="s">
        <v>80</v>
      </c>
      <c r="W738" t="str">
        <f t="shared" ca="1" si="35"/>
        <v>Dormant</v>
      </c>
    </row>
    <row r="739" spans="1:23" x14ac:dyDescent="0.2">
      <c r="A739">
        <v>1494</v>
      </c>
      <c r="B739" t="s">
        <v>4253</v>
      </c>
      <c r="C739" t="s">
        <v>4254</v>
      </c>
      <c r="D739" s="1" t="s">
        <v>296</v>
      </c>
      <c r="E739" t="s">
        <v>4255</v>
      </c>
      <c r="F739" t="s">
        <v>121</v>
      </c>
      <c r="G739" s="4" t="s">
        <v>5422</v>
      </c>
      <c r="H739" t="s">
        <v>4256</v>
      </c>
      <c r="I739" t="s">
        <v>93</v>
      </c>
      <c r="J739" s="4" t="s">
        <v>74</v>
      </c>
      <c r="K739" t="s">
        <v>16</v>
      </c>
      <c r="L739">
        <v>1</v>
      </c>
      <c r="M739" t="s">
        <v>290</v>
      </c>
      <c r="N739" t="s">
        <v>451</v>
      </c>
      <c r="O739" t="s">
        <v>452</v>
      </c>
      <c r="P739" s="2" t="str">
        <f t="shared" si="33"/>
        <v>15/05/2025 to 20/05/2025</v>
      </c>
      <c r="Q739" s="3">
        <v>45794</v>
      </c>
      <c r="R739" t="str">
        <f t="shared" si="34"/>
        <v>On-Time</v>
      </c>
      <c r="S739" t="s">
        <v>1332</v>
      </c>
      <c r="T739">
        <v>11</v>
      </c>
      <c r="U739" t="s">
        <v>79</v>
      </c>
      <c r="V739" t="s">
        <v>66</v>
      </c>
      <c r="W739" t="str">
        <f t="shared" ca="1" si="35"/>
        <v>Dormant</v>
      </c>
    </row>
    <row r="740" spans="1:23" x14ac:dyDescent="0.2">
      <c r="A740">
        <v>1495</v>
      </c>
      <c r="B740" t="s">
        <v>4253</v>
      </c>
      <c r="C740" t="s">
        <v>4257</v>
      </c>
      <c r="D740" s="1" t="s">
        <v>296</v>
      </c>
      <c r="E740" t="s">
        <v>4255</v>
      </c>
      <c r="F740" t="s">
        <v>121</v>
      </c>
      <c r="G740" s="4" t="s">
        <v>38</v>
      </c>
      <c r="H740" t="s">
        <v>4256</v>
      </c>
      <c r="I740" t="s">
        <v>93</v>
      </c>
      <c r="J740" s="4" t="s">
        <v>68</v>
      </c>
      <c r="K740" t="s">
        <v>16</v>
      </c>
      <c r="L740">
        <v>1</v>
      </c>
      <c r="M740" t="s">
        <v>296</v>
      </c>
      <c r="N740" t="s">
        <v>451</v>
      </c>
      <c r="O740" t="s">
        <v>296</v>
      </c>
      <c r="P740" s="2" t="str">
        <f t="shared" si="33"/>
        <v>14/05/2025 to 19/05/2025</v>
      </c>
      <c r="Q740" s="3">
        <v>45791</v>
      </c>
      <c r="R740" t="str">
        <f t="shared" si="34"/>
        <v>On-Time</v>
      </c>
      <c r="S740" t="s">
        <v>1322</v>
      </c>
      <c r="T740">
        <v>11</v>
      </c>
      <c r="U740" t="s">
        <v>65</v>
      </c>
      <c r="V740" t="s">
        <v>80</v>
      </c>
      <c r="W740" t="str">
        <f t="shared" ca="1" si="35"/>
        <v>Dormant</v>
      </c>
    </row>
    <row r="741" spans="1:23" x14ac:dyDescent="0.2">
      <c r="A741">
        <v>1496</v>
      </c>
      <c r="B741" t="s">
        <v>4253</v>
      </c>
      <c r="C741" t="s">
        <v>4258</v>
      </c>
      <c r="D741" s="1" t="s">
        <v>296</v>
      </c>
      <c r="E741" t="s">
        <v>4255</v>
      </c>
      <c r="F741" t="s">
        <v>121</v>
      </c>
      <c r="G741" s="4" t="s">
        <v>5426</v>
      </c>
      <c r="H741" t="s">
        <v>4256</v>
      </c>
      <c r="I741" t="s">
        <v>93</v>
      </c>
      <c r="J741" s="4" t="s">
        <v>68</v>
      </c>
      <c r="K741" t="s">
        <v>4259</v>
      </c>
      <c r="L741">
        <v>4</v>
      </c>
      <c r="M741" t="s">
        <v>290</v>
      </c>
      <c r="N741" t="s">
        <v>451</v>
      </c>
      <c r="O741" t="s">
        <v>452</v>
      </c>
      <c r="P741" s="2" t="str">
        <f t="shared" si="33"/>
        <v>15/05/2025 to 20/05/2025</v>
      </c>
      <c r="Q741" s="3">
        <v>45792</v>
      </c>
      <c r="R741" t="str">
        <f t="shared" si="34"/>
        <v>On-Time</v>
      </c>
      <c r="S741" t="s">
        <v>1332</v>
      </c>
      <c r="T741">
        <v>46</v>
      </c>
      <c r="U741" t="s">
        <v>79</v>
      </c>
      <c r="V741" t="s">
        <v>66</v>
      </c>
      <c r="W741" t="str">
        <f t="shared" ca="1" si="35"/>
        <v>Dormant</v>
      </c>
    </row>
    <row r="742" spans="1:23" x14ac:dyDescent="0.2">
      <c r="A742">
        <v>324</v>
      </c>
      <c r="B742" t="s">
        <v>1327</v>
      </c>
      <c r="C742" t="s">
        <v>1328</v>
      </c>
      <c r="D742" s="1" t="s">
        <v>290</v>
      </c>
      <c r="E742" t="s">
        <v>1329</v>
      </c>
      <c r="F742" t="s">
        <v>881</v>
      </c>
      <c r="G742" s="4" t="s">
        <v>5421</v>
      </c>
      <c r="H742" t="s">
        <v>1330</v>
      </c>
      <c r="I742" t="s">
        <v>59</v>
      </c>
      <c r="J742" s="4" t="s">
        <v>68</v>
      </c>
      <c r="K742" t="s">
        <v>1331</v>
      </c>
      <c r="L742">
        <v>3</v>
      </c>
      <c r="M742" t="s">
        <v>451</v>
      </c>
      <c r="N742" t="s">
        <v>452</v>
      </c>
      <c r="O742" t="s">
        <v>157</v>
      </c>
      <c r="P742" s="2" t="str">
        <f t="shared" si="33"/>
        <v>16/05/2025 to 21/05/2025</v>
      </c>
      <c r="Q742" s="3">
        <v>45793</v>
      </c>
      <c r="R742" t="str">
        <f t="shared" si="34"/>
        <v>On-Time</v>
      </c>
      <c r="S742" t="s">
        <v>1332</v>
      </c>
      <c r="T742">
        <v>28</v>
      </c>
      <c r="U742" t="s">
        <v>79</v>
      </c>
      <c r="V742" t="s">
        <v>66</v>
      </c>
      <c r="W742" t="str">
        <f t="shared" ca="1" si="35"/>
        <v>Dormant</v>
      </c>
    </row>
    <row r="743" spans="1:23" x14ac:dyDescent="0.2">
      <c r="A743">
        <v>325</v>
      </c>
      <c r="B743" t="s">
        <v>1327</v>
      </c>
      <c r="C743" t="s">
        <v>1333</v>
      </c>
      <c r="D743" s="1" t="s">
        <v>290</v>
      </c>
      <c r="E743" t="s">
        <v>1329</v>
      </c>
      <c r="F743" t="s">
        <v>881</v>
      </c>
      <c r="G743" s="4" t="s">
        <v>5426</v>
      </c>
      <c r="H743" t="s">
        <v>1330</v>
      </c>
      <c r="I743" t="s">
        <v>59</v>
      </c>
      <c r="J743" s="4" t="s">
        <v>74</v>
      </c>
      <c r="K743" t="s">
        <v>20</v>
      </c>
      <c r="L743">
        <v>1</v>
      </c>
      <c r="M743" t="s">
        <v>452</v>
      </c>
      <c r="N743" t="s">
        <v>174</v>
      </c>
      <c r="O743" t="s">
        <v>157</v>
      </c>
      <c r="P743" s="2" t="str">
        <f t="shared" si="33"/>
        <v>19/05/2025 to 22/05/2025</v>
      </c>
      <c r="Q743" s="3">
        <v>45793</v>
      </c>
      <c r="R743" t="str">
        <f t="shared" si="34"/>
        <v>Late</v>
      </c>
      <c r="S743" t="s">
        <v>791</v>
      </c>
      <c r="T743">
        <v>10.5</v>
      </c>
      <c r="U743" t="s">
        <v>65</v>
      </c>
      <c r="V743" t="s">
        <v>80</v>
      </c>
      <c r="W743" t="str">
        <f t="shared" ca="1" si="35"/>
        <v>Dormant</v>
      </c>
    </row>
    <row r="744" spans="1:23" x14ac:dyDescent="0.2">
      <c r="A744">
        <v>326</v>
      </c>
      <c r="B744" t="s">
        <v>1327</v>
      </c>
      <c r="C744" t="s">
        <v>1334</v>
      </c>
      <c r="D744" s="1" t="s">
        <v>290</v>
      </c>
      <c r="E744" t="s">
        <v>1329</v>
      </c>
      <c r="F744" t="s">
        <v>881</v>
      </c>
      <c r="G744" s="4" t="s">
        <v>5425</v>
      </c>
      <c r="H744" t="s">
        <v>1330</v>
      </c>
      <c r="I744" t="s">
        <v>59</v>
      </c>
      <c r="J744" s="4" t="s">
        <v>60</v>
      </c>
      <c r="K744" t="s">
        <v>18</v>
      </c>
      <c r="L744">
        <v>1</v>
      </c>
      <c r="M744" t="s">
        <v>451</v>
      </c>
      <c r="N744" t="s">
        <v>452</v>
      </c>
      <c r="O744" t="s">
        <v>451</v>
      </c>
      <c r="P744" s="2" t="str">
        <f t="shared" si="33"/>
        <v>16/05/2025 to 21/05/2025</v>
      </c>
      <c r="Q744" s="3">
        <v>45795</v>
      </c>
      <c r="R744" t="str">
        <f t="shared" si="34"/>
        <v>On-Time</v>
      </c>
      <c r="S744" t="s">
        <v>1335</v>
      </c>
      <c r="T744">
        <v>8.5</v>
      </c>
      <c r="U744" t="s">
        <v>79</v>
      </c>
      <c r="V744" t="s">
        <v>72</v>
      </c>
      <c r="W744" t="str">
        <f t="shared" ca="1" si="35"/>
        <v>Dormant</v>
      </c>
    </row>
    <row r="745" spans="1:23" x14ac:dyDescent="0.2">
      <c r="A745">
        <v>1116</v>
      </c>
      <c r="B745" t="s">
        <v>3339</v>
      </c>
      <c r="C745" t="s">
        <v>3340</v>
      </c>
      <c r="D745" s="1" t="s">
        <v>290</v>
      </c>
      <c r="E745" t="s">
        <v>3341</v>
      </c>
      <c r="F745" t="s">
        <v>1154</v>
      </c>
      <c r="G745" s="4" t="s">
        <v>5419</v>
      </c>
      <c r="H745" t="s">
        <v>3342</v>
      </c>
      <c r="I745" t="s">
        <v>201</v>
      </c>
      <c r="J745" s="4" t="s">
        <v>74</v>
      </c>
      <c r="K745" t="s">
        <v>14</v>
      </c>
      <c r="L745">
        <v>1</v>
      </c>
      <c r="M745" t="s">
        <v>452</v>
      </c>
      <c r="N745" t="s">
        <v>157</v>
      </c>
      <c r="O745" t="s">
        <v>157</v>
      </c>
      <c r="P745" s="2" t="str">
        <f t="shared" si="33"/>
        <v>19/05/2025 to 22/05/2025</v>
      </c>
      <c r="Q745" s="3">
        <v>45795</v>
      </c>
      <c r="R745" t="str">
        <f t="shared" si="34"/>
        <v>Late</v>
      </c>
      <c r="S745" t="s">
        <v>1319</v>
      </c>
      <c r="T745">
        <v>9.5</v>
      </c>
      <c r="U745" t="s">
        <v>65</v>
      </c>
      <c r="V745" t="s">
        <v>80</v>
      </c>
      <c r="W745" t="str">
        <f t="shared" ca="1" si="35"/>
        <v>Dormant</v>
      </c>
    </row>
    <row r="746" spans="1:23" x14ac:dyDescent="0.2">
      <c r="A746">
        <v>1394</v>
      </c>
      <c r="B746" t="s">
        <v>4011</v>
      </c>
      <c r="C746" t="s">
        <v>4012</v>
      </c>
      <c r="D746" s="1" t="s">
        <v>290</v>
      </c>
      <c r="E746" t="s">
        <v>4013</v>
      </c>
      <c r="F746" t="s">
        <v>1204</v>
      </c>
      <c r="G746" s="4" t="s">
        <v>5428</v>
      </c>
      <c r="H746" t="s">
        <v>1218</v>
      </c>
      <c r="I746" t="s">
        <v>136</v>
      </c>
      <c r="J746" s="4" t="s">
        <v>74</v>
      </c>
      <c r="K746" t="s">
        <v>14</v>
      </c>
      <c r="L746">
        <v>1</v>
      </c>
      <c r="M746" t="s">
        <v>290</v>
      </c>
      <c r="N746" t="s">
        <v>290</v>
      </c>
      <c r="O746" t="s">
        <v>452</v>
      </c>
      <c r="P746" s="2" t="str">
        <f t="shared" si="33"/>
        <v>15/05/2025 to 20/05/2025</v>
      </c>
      <c r="Q746" s="3">
        <v>45793</v>
      </c>
      <c r="R746" t="str">
        <f t="shared" si="34"/>
        <v>On-Time</v>
      </c>
      <c r="S746" t="s">
        <v>1332</v>
      </c>
      <c r="T746">
        <v>9.5</v>
      </c>
      <c r="U746" t="s">
        <v>79</v>
      </c>
      <c r="V746" t="s">
        <v>66</v>
      </c>
      <c r="W746" t="str">
        <f t="shared" ca="1" si="35"/>
        <v>Dormant</v>
      </c>
    </row>
    <row r="747" spans="1:23" x14ac:dyDescent="0.2">
      <c r="A747">
        <v>1395</v>
      </c>
      <c r="B747" t="s">
        <v>4011</v>
      </c>
      <c r="C747" t="s">
        <v>4014</v>
      </c>
      <c r="D747" s="1" t="s">
        <v>290</v>
      </c>
      <c r="E747" t="s">
        <v>4013</v>
      </c>
      <c r="F747" t="s">
        <v>1204</v>
      </c>
      <c r="G747" s="4" t="s">
        <v>5425</v>
      </c>
      <c r="H747" t="s">
        <v>1218</v>
      </c>
      <c r="I747" t="s">
        <v>136</v>
      </c>
      <c r="J747" s="4" t="s">
        <v>68</v>
      </c>
      <c r="K747" t="s">
        <v>2955</v>
      </c>
      <c r="L747">
        <v>2</v>
      </c>
      <c r="M747" t="s">
        <v>452</v>
      </c>
      <c r="N747" t="s">
        <v>452</v>
      </c>
      <c r="O747" t="s">
        <v>452</v>
      </c>
      <c r="P747" s="2" t="str">
        <f t="shared" si="33"/>
        <v>19/05/2025 to 22/05/2025</v>
      </c>
      <c r="Q747" s="3">
        <v>45792</v>
      </c>
      <c r="R747" t="str">
        <f t="shared" si="34"/>
        <v>Late</v>
      </c>
      <c r="S747" t="s">
        <v>1322</v>
      </c>
      <c r="T747">
        <v>17.5</v>
      </c>
      <c r="U747" t="s">
        <v>79</v>
      </c>
      <c r="V747" t="s">
        <v>72</v>
      </c>
      <c r="W747" t="str">
        <f t="shared" ca="1" si="35"/>
        <v>Dormant</v>
      </c>
    </row>
    <row r="748" spans="1:23" x14ac:dyDescent="0.2">
      <c r="A748">
        <v>1396</v>
      </c>
      <c r="B748" t="s">
        <v>4011</v>
      </c>
      <c r="C748" t="s">
        <v>4015</v>
      </c>
      <c r="D748" s="1" t="s">
        <v>290</v>
      </c>
      <c r="E748" t="s">
        <v>4013</v>
      </c>
      <c r="F748" t="s">
        <v>1204</v>
      </c>
      <c r="G748" s="4" t="s">
        <v>5418</v>
      </c>
      <c r="H748" t="s">
        <v>1218</v>
      </c>
      <c r="I748" t="s">
        <v>136</v>
      </c>
      <c r="J748" s="4" t="s">
        <v>60</v>
      </c>
      <c r="K748" t="s">
        <v>4016</v>
      </c>
      <c r="L748">
        <v>4</v>
      </c>
      <c r="M748" t="s">
        <v>290</v>
      </c>
      <c r="N748" t="s">
        <v>452</v>
      </c>
      <c r="O748" t="s">
        <v>451</v>
      </c>
      <c r="P748" s="2" t="str">
        <f t="shared" si="33"/>
        <v>15/05/2025 to 20/05/2025</v>
      </c>
      <c r="Q748" s="3">
        <v>45797</v>
      </c>
      <c r="R748" t="str">
        <f t="shared" si="34"/>
        <v>On-Time</v>
      </c>
      <c r="S748" t="s">
        <v>1319</v>
      </c>
      <c r="T748">
        <v>38</v>
      </c>
      <c r="U748" t="s">
        <v>65</v>
      </c>
      <c r="V748" t="s">
        <v>80</v>
      </c>
      <c r="W748" t="str">
        <f t="shared" ca="1" si="35"/>
        <v>Dormant</v>
      </c>
    </row>
    <row r="749" spans="1:23" x14ac:dyDescent="0.2">
      <c r="A749">
        <v>1397</v>
      </c>
      <c r="B749" t="s">
        <v>4011</v>
      </c>
      <c r="C749" t="s">
        <v>4017</v>
      </c>
      <c r="D749" s="1" t="s">
        <v>290</v>
      </c>
      <c r="E749" t="s">
        <v>4013</v>
      </c>
      <c r="F749" t="s">
        <v>1204</v>
      </c>
      <c r="G749" s="4" t="s">
        <v>38</v>
      </c>
      <c r="H749" t="s">
        <v>1218</v>
      </c>
      <c r="I749" t="s">
        <v>136</v>
      </c>
      <c r="J749" s="4" t="s">
        <v>68</v>
      </c>
      <c r="K749" t="s">
        <v>4018</v>
      </c>
      <c r="L749">
        <v>4</v>
      </c>
      <c r="M749" t="s">
        <v>452</v>
      </c>
      <c r="N749" t="s">
        <v>157</v>
      </c>
      <c r="O749" t="s">
        <v>174</v>
      </c>
      <c r="P749" s="2" t="str">
        <f t="shared" si="33"/>
        <v>19/05/2025 to 22/05/2025</v>
      </c>
      <c r="Q749" s="3">
        <v>45795</v>
      </c>
      <c r="R749" t="str">
        <f t="shared" si="34"/>
        <v>Late</v>
      </c>
      <c r="S749" t="s">
        <v>1335</v>
      </c>
      <c r="T749">
        <v>39.5</v>
      </c>
      <c r="U749" t="s">
        <v>65</v>
      </c>
      <c r="V749" t="s">
        <v>80</v>
      </c>
      <c r="W749" t="str">
        <f t="shared" ca="1" si="35"/>
        <v>Dormant</v>
      </c>
    </row>
    <row r="750" spans="1:23" x14ac:dyDescent="0.2">
      <c r="A750">
        <v>1398</v>
      </c>
      <c r="B750" t="s">
        <v>4011</v>
      </c>
      <c r="C750" t="s">
        <v>4019</v>
      </c>
      <c r="D750" s="1" t="s">
        <v>290</v>
      </c>
      <c r="E750" t="s">
        <v>4013</v>
      </c>
      <c r="F750" t="s">
        <v>1204</v>
      </c>
      <c r="G750" s="4" t="s">
        <v>5428</v>
      </c>
      <c r="H750" t="s">
        <v>1218</v>
      </c>
      <c r="I750" t="s">
        <v>136</v>
      </c>
      <c r="J750" s="4" t="s">
        <v>68</v>
      </c>
      <c r="K750" t="s">
        <v>2910</v>
      </c>
      <c r="L750">
        <v>2</v>
      </c>
      <c r="M750" t="s">
        <v>451</v>
      </c>
      <c r="N750" t="s">
        <v>451</v>
      </c>
      <c r="O750" t="s">
        <v>451</v>
      </c>
      <c r="P750" s="2" t="str">
        <f t="shared" si="33"/>
        <v>16/05/2025 to 21/05/2025</v>
      </c>
      <c r="Q750" s="3">
        <v>45796</v>
      </c>
      <c r="R750" t="str">
        <f t="shared" si="34"/>
        <v>On-Time</v>
      </c>
      <c r="S750" t="s">
        <v>1335</v>
      </c>
      <c r="T750">
        <v>22</v>
      </c>
      <c r="U750" t="s">
        <v>65</v>
      </c>
      <c r="V750" t="s">
        <v>66</v>
      </c>
      <c r="W750" t="str">
        <f t="shared" ca="1" si="35"/>
        <v>Dormant</v>
      </c>
    </row>
    <row r="751" spans="1:23" x14ac:dyDescent="0.2">
      <c r="A751">
        <v>155</v>
      </c>
      <c r="B751" t="s">
        <v>784</v>
      </c>
      <c r="C751" t="s">
        <v>785</v>
      </c>
      <c r="D751" s="1" t="s">
        <v>451</v>
      </c>
      <c r="E751" t="s">
        <v>786</v>
      </c>
      <c r="F751" t="s">
        <v>553</v>
      </c>
      <c r="G751" s="4" t="s">
        <v>5428</v>
      </c>
      <c r="H751" t="s">
        <v>787</v>
      </c>
      <c r="I751" t="s">
        <v>112</v>
      </c>
      <c r="J751" s="4" t="s">
        <v>74</v>
      </c>
      <c r="K751" t="s">
        <v>788</v>
      </c>
      <c r="L751">
        <v>2</v>
      </c>
      <c r="M751" t="s">
        <v>157</v>
      </c>
      <c r="N751" t="s">
        <v>174</v>
      </c>
      <c r="O751" t="s">
        <v>174</v>
      </c>
      <c r="P751" s="2" t="str">
        <f t="shared" si="33"/>
        <v>20/05/2025 to 23/05/2025</v>
      </c>
      <c r="Q751" s="3">
        <v>45800</v>
      </c>
      <c r="R751" t="str">
        <f t="shared" si="34"/>
        <v>On-Time</v>
      </c>
      <c r="S751" t="s">
        <v>105</v>
      </c>
      <c r="T751">
        <v>18.5</v>
      </c>
      <c r="U751" t="s">
        <v>65</v>
      </c>
      <c r="V751" t="s">
        <v>80</v>
      </c>
      <c r="W751" t="str">
        <f t="shared" ca="1" si="35"/>
        <v>Dormant</v>
      </c>
    </row>
    <row r="752" spans="1:23" x14ac:dyDescent="0.2">
      <c r="A752">
        <v>156</v>
      </c>
      <c r="B752" t="s">
        <v>784</v>
      </c>
      <c r="C752" t="s">
        <v>789</v>
      </c>
      <c r="D752" s="1" t="s">
        <v>451</v>
      </c>
      <c r="E752" t="s">
        <v>786</v>
      </c>
      <c r="F752" t="s">
        <v>553</v>
      </c>
      <c r="G752" s="4" t="s">
        <v>5427</v>
      </c>
      <c r="H752" t="s">
        <v>787</v>
      </c>
      <c r="I752" t="s">
        <v>112</v>
      </c>
      <c r="J752" s="4" t="s">
        <v>60</v>
      </c>
      <c r="K752" t="s">
        <v>790</v>
      </c>
      <c r="L752">
        <v>4</v>
      </c>
      <c r="M752" t="s">
        <v>451</v>
      </c>
      <c r="N752" t="s">
        <v>452</v>
      </c>
      <c r="O752" t="s">
        <v>157</v>
      </c>
      <c r="P752" s="2" t="str">
        <f t="shared" si="33"/>
        <v>16/05/2025 to 21/05/2025</v>
      </c>
      <c r="Q752" s="3">
        <v>45795</v>
      </c>
      <c r="R752" t="str">
        <f t="shared" si="34"/>
        <v>On-Time</v>
      </c>
      <c r="S752" t="s">
        <v>791</v>
      </c>
      <c r="T752">
        <v>38</v>
      </c>
      <c r="U752" t="s">
        <v>65</v>
      </c>
      <c r="V752" t="s">
        <v>80</v>
      </c>
      <c r="W752" t="str">
        <f t="shared" ca="1" si="35"/>
        <v>Dormant</v>
      </c>
    </row>
    <row r="753" spans="1:23" x14ac:dyDescent="0.2">
      <c r="A753">
        <v>99</v>
      </c>
      <c r="B753" t="s">
        <v>543</v>
      </c>
      <c r="C753" t="s">
        <v>544</v>
      </c>
      <c r="D753" s="1" t="s">
        <v>452</v>
      </c>
      <c r="E753" t="s">
        <v>545</v>
      </c>
      <c r="F753" t="s">
        <v>546</v>
      </c>
      <c r="G753" s="4" t="s">
        <v>5421</v>
      </c>
      <c r="H753" t="s">
        <v>547</v>
      </c>
      <c r="I753" t="s">
        <v>201</v>
      </c>
      <c r="J753" s="4" t="s">
        <v>60</v>
      </c>
      <c r="K753" t="s">
        <v>548</v>
      </c>
      <c r="L753">
        <v>2</v>
      </c>
      <c r="M753" t="s">
        <v>452</v>
      </c>
      <c r="N753" t="s">
        <v>174</v>
      </c>
      <c r="O753" t="s">
        <v>157</v>
      </c>
      <c r="P753" s="2" t="str">
        <f t="shared" si="33"/>
        <v>19/05/2025 to 22/05/2025</v>
      </c>
      <c r="Q753" s="3">
        <v>45799</v>
      </c>
      <c r="R753" t="str">
        <f t="shared" si="34"/>
        <v>On-Time</v>
      </c>
      <c r="S753" t="s">
        <v>89</v>
      </c>
      <c r="T753">
        <v>16.5</v>
      </c>
      <c r="U753" t="s">
        <v>65</v>
      </c>
      <c r="V753" t="s">
        <v>72</v>
      </c>
      <c r="W753" t="str">
        <f t="shared" ca="1" si="35"/>
        <v>Dormant</v>
      </c>
    </row>
    <row r="754" spans="1:23" x14ac:dyDescent="0.2">
      <c r="A754">
        <v>17</v>
      </c>
      <c r="B754" t="s">
        <v>155</v>
      </c>
      <c r="C754" t="s">
        <v>156</v>
      </c>
      <c r="D754" s="1" t="s">
        <v>157</v>
      </c>
      <c r="E754" t="s">
        <v>158</v>
      </c>
      <c r="F754" t="s">
        <v>159</v>
      </c>
      <c r="G754" s="4" t="s">
        <v>5418</v>
      </c>
      <c r="H754" t="s">
        <v>160</v>
      </c>
      <c r="I754" t="s">
        <v>112</v>
      </c>
      <c r="J754" s="4" t="s">
        <v>60</v>
      </c>
      <c r="K754" t="s">
        <v>161</v>
      </c>
      <c r="L754">
        <v>3</v>
      </c>
      <c r="M754" t="s">
        <v>162</v>
      </c>
      <c r="N754" t="s">
        <v>163</v>
      </c>
      <c r="O754" t="s">
        <v>162</v>
      </c>
      <c r="P754" s="2" t="str">
        <f t="shared" si="33"/>
        <v>20/05/2025 to 23/05/2025</v>
      </c>
      <c r="Q754" s="3">
        <v>45800</v>
      </c>
      <c r="R754" t="str">
        <f t="shared" si="34"/>
        <v>On-Time</v>
      </c>
      <c r="S754" t="s">
        <v>164</v>
      </c>
      <c r="T754">
        <v>30.5</v>
      </c>
      <c r="U754" t="s">
        <v>65</v>
      </c>
      <c r="V754" t="s">
        <v>66</v>
      </c>
      <c r="W754" t="str">
        <f t="shared" ca="1" si="35"/>
        <v>Dormant</v>
      </c>
    </row>
    <row r="755" spans="1:23" x14ac:dyDescent="0.2">
      <c r="A755">
        <v>18</v>
      </c>
      <c r="B755" t="s">
        <v>155</v>
      </c>
      <c r="C755" t="s">
        <v>165</v>
      </c>
      <c r="D755" s="1" t="s">
        <v>157</v>
      </c>
      <c r="E755" t="s">
        <v>158</v>
      </c>
      <c r="F755" t="s">
        <v>159</v>
      </c>
      <c r="G755" s="4" t="s">
        <v>5421</v>
      </c>
      <c r="H755" t="s">
        <v>160</v>
      </c>
      <c r="I755" t="s">
        <v>112</v>
      </c>
      <c r="J755" s="4" t="s">
        <v>74</v>
      </c>
      <c r="K755" t="s">
        <v>166</v>
      </c>
      <c r="L755">
        <v>3</v>
      </c>
      <c r="M755" t="s">
        <v>162</v>
      </c>
      <c r="N755" t="s">
        <v>162</v>
      </c>
      <c r="O755" t="s">
        <v>163</v>
      </c>
      <c r="P755" s="2" t="str">
        <f t="shared" si="33"/>
        <v>20/05/2025 to 23/05/2025</v>
      </c>
      <c r="Q755" s="3">
        <v>45798</v>
      </c>
      <c r="R755" t="str">
        <f t="shared" si="34"/>
        <v>On-Time</v>
      </c>
      <c r="S755" t="s">
        <v>167</v>
      </c>
      <c r="T755">
        <v>29.5</v>
      </c>
      <c r="U755" t="s">
        <v>79</v>
      </c>
      <c r="V755" t="s">
        <v>66</v>
      </c>
      <c r="W755" t="str">
        <f t="shared" ca="1" si="35"/>
        <v>Dormant</v>
      </c>
    </row>
    <row r="756" spans="1:23" x14ac:dyDescent="0.2">
      <c r="A756">
        <v>19</v>
      </c>
      <c r="B756" t="s">
        <v>155</v>
      </c>
      <c r="C756" t="s">
        <v>168</v>
      </c>
      <c r="D756" s="1" t="s">
        <v>157</v>
      </c>
      <c r="E756" t="s">
        <v>158</v>
      </c>
      <c r="F756" t="s">
        <v>159</v>
      </c>
      <c r="G756" s="4" t="s">
        <v>5424</v>
      </c>
      <c r="H756" t="s">
        <v>160</v>
      </c>
      <c r="I756" t="s">
        <v>112</v>
      </c>
      <c r="J756" s="4" t="s">
        <v>5417</v>
      </c>
      <c r="K756" t="s">
        <v>169</v>
      </c>
      <c r="L756">
        <v>3</v>
      </c>
      <c r="M756" t="s">
        <v>162</v>
      </c>
      <c r="N756" t="s">
        <v>163</v>
      </c>
      <c r="O756" t="s">
        <v>170</v>
      </c>
      <c r="P756" s="2" t="str">
        <f t="shared" si="33"/>
        <v>20/05/2025 to 23/05/2025</v>
      </c>
      <c r="Q756" s="3">
        <v>45798</v>
      </c>
      <c r="R756" t="str">
        <f t="shared" si="34"/>
        <v>On-Time</v>
      </c>
      <c r="S756" t="s">
        <v>167</v>
      </c>
      <c r="T756">
        <v>30</v>
      </c>
      <c r="U756" t="s">
        <v>79</v>
      </c>
      <c r="V756" t="s">
        <v>72</v>
      </c>
      <c r="W756" t="str">
        <f t="shared" ca="1" si="35"/>
        <v>Dormant</v>
      </c>
    </row>
    <row r="757" spans="1:23" x14ac:dyDescent="0.2">
      <c r="A757">
        <v>20</v>
      </c>
      <c r="B757" t="s">
        <v>155</v>
      </c>
      <c r="C757" t="s">
        <v>171</v>
      </c>
      <c r="D757" s="1" t="s">
        <v>157</v>
      </c>
      <c r="E757" t="s">
        <v>158</v>
      </c>
      <c r="F757" t="s">
        <v>159</v>
      </c>
      <c r="G757" s="4" t="s">
        <v>5426</v>
      </c>
      <c r="H757" t="s">
        <v>160</v>
      </c>
      <c r="I757" t="s">
        <v>112</v>
      </c>
      <c r="J757" s="4" t="s">
        <v>68</v>
      </c>
      <c r="K757" t="s">
        <v>172</v>
      </c>
      <c r="L757">
        <v>4</v>
      </c>
      <c r="M757" t="s">
        <v>162</v>
      </c>
      <c r="N757" t="s">
        <v>170</v>
      </c>
      <c r="O757" t="s">
        <v>170</v>
      </c>
      <c r="P757" s="2" t="str">
        <f t="shared" si="33"/>
        <v>20/05/2025 to 23/05/2025</v>
      </c>
      <c r="Q757" s="3">
        <v>45801</v>
      </c>
      <c r="R757" t="str">
        <f t="shared" si="34"/>
        <v>Late</v>
      </c>
      <c r="S757" t="s">
        <v>105</v>
      </c>
      <c r="T757">
        <v>35.5</v>
      </c>
      <c r="U757" t="s">
        <v>79</v>
      </c>
      <c r="V757" t="s">
        <v>66</v>
      </c>
      <c r="W757" t="str">
        <f t="shared" ca="1" si="35"/>
        <v>Dormant</v>
      </c>
    </row>
    <row r="758" spans="1:23" x14ac:dyDescent="0.2">
      <c r="A758">
        <v>21</v>
      </c>
      <c r="B758" t="s">
        <v>155</v>
      </c>
      <c r="C758" t="s">
        <v>173</v>
      </c>
      <c r="D758" s="1" t="s">
        <v>157</v>
      </c>
      <c r="E758" t="s">
        <v>158</v>
      </c>
      <c r="F758" t="s">
        <v>159</v>
      </c>
      <c r="G758" s="4" t="s">
        <v>5424</v>
      </c>
      <c r="H758" t="s">
        <v>160</v>
      </c>
      <c r="I758" t="s">
        <v>112</v>
      </c>
      <c r="J758" s="4" t="s">
        <v>5417</v>
      </c>
      <c r="K758" t="s">
        <v>22</v>
      </c>
      <c r="L758">
        <v>1</v>
      </c>
      <c r="M758" t="s">
        <v>157</v>
      </c>
      <c r="N758" t="s">
        <v>174</v>
      </c>
      <c r="O758" t="s">
        <v>162</v>
      </c>
      <c r="P758" s="2" t="str">
        <f t="shared" si="33"/>
        <v>20/05/2025 to 23/05/2025</v>
      </c>
      <c r="Q758" s="3">
        <v>45798</v>
      </c>
      <c r="R758" t="str">
        <f t="shared" si="34"/>
        <v>On-Time</v>
      </c>
      <c r="S758" t="s">
        <v>164</v>
      </c>
      <c r="T758">
        <v>8</v>
      </c>
      <c r="U758" t="s">
        <v>79</v>
      </c>
      <c r="V758" t="s">
        <v>72</v>
      </c>
      <c r="W758" t="str">
        <f t="shared" ca="1" si="35"/>
        <v>Dormant</v>
      </c>
    </row>
    <row r="759" spans="1:23" x14ac:dyDescent="0.2">
      <c r="A759">
        <v>1938</v>
      </c>
      <c r="B759" t="s">
        <v>5266</v>
      </c>
      <c r="C759" t="s">
        <v>5267</v>
      </c>
      <c r="D759" s="1" t="s">
        <v>174</v>
      </c>
      <c r="E759" t="s">
        <v>5268</v>
      </c>
      <c r="F759" t="s">
        <v>1036</v>
      </c>
      <c r="G759" s="4" t="s">
        <v>5422</v>
      </c>
      <c r="H759" t="s">
        <v>5269</v>
      </c>
      <c r="I759" t="s">
        <v>201</v>
      </c>
      <c r="J759" s="4" t="s">
        <v>74</v>
      </c>
      <c r="K759" t="s">
        <v>1269</v>
      </c>
      <c r="L759">
        <v>2</v>
      </c>
      <c r="M759" t="s">
        <v>170</v>
      </c>
      <c r="N759" t="s">
        <v>456</v>
      </c>
      <c r="O759" t="s">
        <v>456</v>
      </c>
      <c r="P759" s="2" t="str">
        <f t="shared" si="33"/>
        <v>21/05/2025 to 26/05/2025</v>
      </c>
      <c r="Q759" s="3">
        <v>45800</v>
      </c>
      <c r="R759" t="str">
        <f t="shared" si="34"/>
        <v>On-Time</v>
      </c>
      <c r="S759" t="s">
        <v>105</v>
      </c>
      <c r="T759">
        <v>17</v>
      </c>
      <c r="U759" t="s">
        <v>79</v>
      </c>
      <c r="V759" t="s">
        <v>80</v>
      </c>
      <c r="W759" t="str">
        <f t="shared" ca="1" si="35"/>
        <v>Dormant</v>
      </c>
    </row>
    <row r="760" spans="1:23" x14ac:dyDescent="0.2">
      <c r="A760">
        <v>1939</v>
      </c>
      <c r="B760" t="s">
        <v>5266</v>
      </c>
      <c r="C760" t="s">
        <v>5270</v>
      </c>
      <c r="D760" s="1" t="s">
        <v>174</v>
      </c>
      <c r="E760" t="s">
        <v>5268</v>
      </c>
      <c r="F760" t="s">
        <v>1036</v>
      </c>
      <c r="G760" s="4" t="s">
        <v>38</v>
      </c>
      <c r="H760" t="s">
        <v>5269</v>
      </c>
      <c r="I760" t="s">
        <v>201</v>
      </c>
      <c r="J760" s="4" t="s">
        <v>5417</v>
      </c>
      <c r="K760" t="s">
        <v>4</v>
      </c>
      <c r="L760">
        <v>1</v>
      </c>
      <c r="M760" t="s">
        <v>170</v>
      </c>
      <c r="N760" t="s">
        <v>163</v>
      </c>
      <c r="O760" t="s">
        <v>456</v>
      </c>
      <c r="P760" s="2" t="str">
        <f t="shared" si="33"/>
        <v>21/05/2025 to 26/05/2025</v>
      </c>
      <c r="Q760" s="3">
        <v>45802</v>
      </c>
      <c r="R760" t="str">
        <f t="shared" si="34"/>
        <v>On-Time</v>
      </c>
      <c r="S760" t="s">
        <v>96</v>
      </c>
      <c r="T760">
        <v>8</v>
      </c>
      <c r="U760" t="s">
        <v>65</v>
      </c>
      <c r="V760" t="s">
        <v>72</v>
      </c>
      <c r="W760" t="str">
        <f t="shared" ca="1" si="35"/>
        <v>Dormant</v>
      </c>
    </row>
    <row r="761" spans="1:23" x14ac:dyDescent="0.2">
      <c r="A761">
        <v>1940</v>
      </c>
      <c r="B761" t="s">
        <v>5266</v>
      </c>
      <c r="C761" t="s">
        <v>5271</v>
      </c>
      <c r="D761" s="1" t="s">
        <v>174</v>
      </c>
      <c r="E761" t="s">
        <v>5268</v>
      </c>
      <c r="F761" t="s">
        <v>1036</v>
      </c>
      <c r="G761" s="4" t="s">
        <v>5424</v>
      </c>
      <c r="H761" t="s">
        <v>5269</v>
      </c>
      <c r="I761" t="s">
        <v>201</v>
      </c>
      <c r="J761" s="4" t="s">
        <v>60</v>
      </c>
      <c r="K761" t="s">
        <v>5272</v>
      </c>
      <c r="L761">
        <v>3</v>
      </c>
      <c r="M761" t="s">
        <v>170</v>
      </c>
      <c r="N761" t="s">
        <v>170</v>
      </c>
      <c r="O761" t="s">
        <v>456</v>
      </c>
      <c r="P761" s="2" t="str">
        <f t="shared" si="33"/>
        <v>21/05/2025 to 26/05/2025</v>
      </c>
      <c r="Q761" s="3">
        <v>45801</v>
      </c>
      <c r="R761" t="str">
        <f t="shared" si="34"/>
        <v>On-Time</v>
      </c>
      <c r="S761" t="s">
        <v>95</v>
      </c>
      <c r="T761">
        <v>31.5</v>
      </c>
      <c r="U761" t="s">
        <v>79</v>
      </c>
      <c r="V761" t="s">
        <v>66</v>
      </c>
      <c r="W761" t="str">
        <f t="shared" ca="1" si="35"/>
        <v>Dormant</v>
      </c>
    </row>
    <row r="762" spans="1:23" x14ac:dyDescent="0.2">
      <c r="A762">
        <v>446</v>
      </c>
      <c r="B762" t="s">
        <v>1664</v>
      </c>
      <c r="C762" t="s">
        <v>1665</v>
      </c>
      <c r="D762" s="1" t="s">
        <v>162</v>
      </c>
      <c r="E762" t="s">
        <v>1666</v>
      </c>
      <c r="F762" t="s">
        <v>179</v>
      </c>
      <c r="G762" s="4" t="s">
        <v>5419</v>
      </c>
      <c r="H762" t="s">
        <v>1667</v>
      </c>
      <c r="I762" t="s">
        <v>201</v>
      </c>
      <c r="J762" s="4" t="s">
        <v>60</v>
      </c>
      <c r="K762" t="s">
        <v>1668</v>
      </c>
      <c r="L762">
        <v>3</v>
      </c>
      <c r="M762" t="s">
        <v>162</v>
      </c>
      <c r="N762" t="s">
        <v>162</v>
      </c>
      <c r="O762" t="s">
        <v>163</v>
      </c>
      <c r="P762" s="2" t="str">
        <f t="shared" si="33"/>
        <v>20/05/2025 to 23/05/2025</v>
      </c>
      <c r="Q762" s="3">
        <v>45803</v>
      </c>
      <c r="R762" t="str">
        <f t="shared" si="34"/>
        <v>Late</v>
      </c>
      <c r="S762" t="s">
        <v>100</v>
      </c>
      <c r="T762">
        <v>26.5</v>
      </c>
      <c r="U762" t="s">
        <v>79</v>
      </c>
      <c r="V762" t="s">
        <v>66</v>
      </c>
      <c r="W762" t="str">
        <f t="shared" ca="1" si="35"/>
        <v>Dormant</v>
      </c>
    </row>
    <row r="763" spans="1:23" x14ac:dyDescent="0.2">
      <c r="A763">
        <v>447</v>
      </c>
      <c r="B763" t="s">
        <v>1664</v>
      </c>
      <c r="C763" t="s">
        <v>1669</v>
      </c>
      <c r="D763" s="1" t="s">
        <v>162</v>
      </c>
      <c r="E763" t="s">
        <v>1666</v>
      </c>
      <c r="F763" t="s">
        <v>179</v>
      </c>
      <c r="G763" s="4" t="s">
        <v>5423</v>
      </c>
      <c r="H763" t="s">
        <v>1667</v>
      </c>
      <c r="I763" t="s">
        <v>201</v>
      </c>
      <c r="J763" s="4" t="s">
        <v>68</v>
      </c>
      <c r="K763" t="s">
        <v>382</v>
      </c>
      <c r="L763">
        <v>2</v>
      </c>
      <c r="M763" t="s">
        <v>170</v>
      </c>
      <c r="N763" t="s">
        <v>456</v>
      </c>
      <c r="O763" t="s">
        <v>170</v>
      </c>
      <c r="P763" s="2" t="str">
        <f t="shared" si="33"/>
        <v>21/05/2025 to 26/05/2025</v>
      </c>
      <c r="Q763" s="3">
        <v>45799</v>
      </c>
      <c r="R763" t="str">
        <f t="shared" si="34"/>
        <v>On-Time</v>
      </c>
      <c r="S763" t="s">
        <v>164</v>
      </c>
      <c r="T763">
        <v>19</v>
      </c>
      <c r="U763" t="s">
        <v>65</v>
      </c>
      <c r="V763" t="s">
        <v>66</v>
      </c>
      <c r="W763" t="str">
        <f t="shared" ca="1" si="35"/>
        <v>Dormant</v>
      </c>
    </row>
    <row r="764" spans="1:23" x14ac:dyDescent="0.2">
      <c r="A764">
        <v>448</v>
      </c>
      <c r="B764" t="s">
        <v>1664</v>
      </c>
      <c r="C764" t="s">
        <v>1670</v>
      </c>
      <c r="D764" s="1" t="s">
        <v>162</v>
      </c>
      <c r="E764" t="s">
        <v>1666</v>
      </c>
      <c r="F764" t="s">
        <v>179</v>
      </c>
      <c r="G764" s="4" t="s">
        <v>5421</v>
      </c>
      <c r="H764" t="s">
        <v>1667</v>
      </c>
      <c r="I764" t="s">
        <v>201</v>
      </c>
      <c r="J764" s="4" t="s">
        <v>5417</v>
      </c>
      <c r="K764" t="s">
        <v>1671</v>
      </c>
      <c r="L764">
        <v>3</v>
      </c>
      <c r="M764" t="s">
        <v>163</v>
      </c>
      <c r="N764" t="s">
        <v>1672</v>
      </c>
      <c r="O764" t="s">
        <v>456</v>
      </c>
      <c r="P764" s="2" t="str">
        <f t="shared" si="33"/>
        <v>22/05/2025 to 27/05/2025</v>
      </c>
      <c r="Q764" s="3">
        <v>45803</v>
      </c>
      <c r="R764" t="str">
        <f t="shared" si="34"/>
        <v>On-Time</v>
      </c>
      <c r="S764" t="s">
        <v>95</v>
      </c>
      <c r="T764">
        <v>28</v>
      </c>
      <c r="U764" t="s">
        <v>65</v>
      </c>
      <c r="V764" t="s">
        <v>66</v>
      </c>
      <c r="W764" t="str">
        <f t="shared" ca="1" si="35"/>
        <v>Dormant</v>
      </c>
    </row>
    <row r="765" spans="1:23" x14ac:dyDescent="0.2">
      <c r="A765">
        <v>449</v>
      </c>
      <c r="B765" t="s">
        <v>1664</v>
      </c>
      <c r="C765" t="s">
        <v>1673</v>
      </c>
      <c r="D765" s="1" t="s">
        <v>162</v>
      </c>
      <c r="E765" t="s">
        <v>1666</v>
      </c>
      <c r="F765" t="s">
        <v>179</v>
      </c>
      <c r="G765" s="4" t="s">
        <v>5418</v>
      </c>
      <c r="H765" t="s">
        <v>1667</v>
      </c>
      <c r="I765" t="s">
        <v>201</v>
      </c>
      <c r="J765" s="4" t="s">
        <v>60</v>
      </c>
      <c r="K765" t="s">
        <v>1674</v>
      </c>
      <c r="L765">
        <v>2</v>
      </c>
      <c r="M765" t="s">
        <v>162</v>
      </c>
      <c r="N765" t="s">
        <v>163</v>
      </c>
      <c r="O765" t="s">
        <v>170</v>
      </c>
      <c r="P765" s="2" t="str">
        <f t="shared" si="33"/>
        <v>20/05/2025 to 23/05/2025</v>
      </c>
      <c r="Q765" s="3">
        <v>45802</v>
      </c>
      <c r="R765" t="str">
        <f t="shared" si="34"/>
        <v>Late</v>
      </c>
      <c r="S765" t="s">
        <v>105</v>
      </c>
      <c r="T765">
        <v>21.5</v>
      </c>
      <c r="U765" t="s">
        <v>65</v>
      </c>
      <c r="V765" t="s">
        <v>80</v>
      </c>
      <c r="W765" t="str">
        <f t="shared" ca="1" si="35"/>
        <v>Dormant</v>
      </c>
    </row>
    <row r="766" spans="1:23" x14ac:dyDescent="0.2">
      <c r="A766">
        <v>1691</v>
      </c>
      <c r="B766" t="s">
        <v>4711</v>
      </c>
      <c r="C766" t="s">
        <v>4712</v>
      </c>
      <c r="D766" s="1" t="s">
        <v>162</v>
      </c>
      <c r="E766" t="s">
        <v>4713</v>
      </c>
      <c r="F766" t="s">
        <v>910</v>
      </c>
      <c r="G766" s="4" t="s">
        <v>5419</v>
      </c>
      <c r="H766" t="s">
        <v>4714</v>
      </c>
      <c r="I766" t="s">
        <v>136</v>
      </c>
      <c r="J766" s="4" t="s">
        <v>5417</v>
      </c>
      <c r="K766" t="s">
        <v>4715</v>
      </c>
      <c r="L766">
        <v>3</v>
      </c>
      <c r="M766" t="s">
        <v>163</v>
      </c>
      <c r="N766" t="s">
        <v>456</v>
      </c>
      <c r="O766" t="s">
        <v>163</v>
      </c>
      <c r="P766" s="2" t="str">
        <f t="shared" si="33"/>
        <v>22/05/2025 to 27/05/2025</v>
      </c>
      <c r="Q766" s="3">
        <v>45802</v>
      </c>
      <c r="R766" t="str">
        <f t="shared" si="34"/>
        <v>On-Time</v>
      </c>
      <c r="S766" t="s">
        <v>105</v>
      </c>
      <c r="T766">
        <v>27.5</v>
      </c>
      <c r="U766" t="s">
        <v>65</v>
      </c>
      <c r="V766" t="s">
        <v>72</v>
      </c>
      <c r="W766" t="str">
        <f t="shared" ca="1" si="35"/>
        <v>Dormant</v>
      </c>
    </row>
    <row r="767" spans="1:23" x14ac:dyDescent="0.2">
      <c r="A767">
        <v>1692</v>
      </c>
      <c r="B767" t="s">
        <v>4711</v>
      </c>
      <c r="C767" t="s">
        <v>4716</v>
      </c>
      <c r="D767" s="1" t="s">
        <v>162</v>
      </c>
      <c r="E767" t="s">
        <v>4713</v>
      </c>
      <c r="F767" t="s">
        <v>910</v>
      </c>
      <c r="G767" s="4" t="s">
        <v>5424</v>
      </c>
      <c r="H767" t="s">
        <v>4714</v>
      </c>
      <c r="I767" t="s">
        <v>136</v>
      </c>
      <c r="J767" s="4" t="s">
        <v>74</v>
      </c>
      <c r="K767" t="s">
        <v>4717</v>
      </c>
      <c r="L767">
        <v>4</v>
      </c>
      <c r="M767" t="s">
        <v>162</v>
      </c>
      <c r="N767" t="s">
        <v>163</v>
      </c>
      <c r="O767" t="s">
        <v>163</v>
      </c>
      <c r="P767" s="2" t="str">
        <f t="shared" si="33"/>
        <v>20/05/2025 to 23/05/2025</v>
      </c>
      <c r="Q767" s="3">
        <v>45800</v>
      </c>
      <c r="R767" t="str">
        <f t="shared" si="34"/>
        <v>On-Time</v>
      </c>
      <c r="S767" t="s">
        <v>164</v>
      </c>
      <c r="T767">
        <v>36.5</v>
      </c>
      <c r="U767" t="s">
        <v>79</v>
      </c>
      <c r="V767" t="s">
        <v>80</v>
      </c>
      <c r="W767" t="str">
        <f t="shared" ca="1" si="35"/>
        <v>Dormant</v>
      </c>
    </row>
    <row r="768" spans="1:23" x14ac:dyDescent="0.2">
      <c r="A768">
        <v>1693</v>
      </c>
      <c r="B768" t="s">
        <v>4711</v>
      </c>
      <c r="C768" t="s">
        <v>4718</v>
      </c>
      <c r="D768" s="1" t="s">
        <v>162</v>
      </c>
      <c r="E768" t="s">
        <v>4713</v>
      </c>
      <c r="F768" t="s">
        <v>910</v>
      </c>
      <c r="G768" s="4" t="s">
        <v>5426</v>
      </c>
      <c r="H768" t="s">
        <v>4714</v>
      </c>
      <c r="I768" t="s">
        <v>136</v>
      </c>
      <c r="J768" s="4" t="s">
        <v>68</v>
      </c>
      <c r="K768" t="s">
        <v>4719</v>
      </c>
      <c r="L768">
        <v>3</v>
      </c>
      <c r="M768" t="s">
        <v>163</v>
      </c>
      <c r="N768" t="s">
        <v>456</v>
      </c>
      <c r="O768" t="s">
        <v>456</v>
      </c>
      <c r="P768" s="2" t="str">
        <f t="shared" si="33"/>
        <v>22/05/2025 to 27/05/2025</v>
      </c>
      <c r="Q768" s="3">
        <v>45804</v>
      </c>
      <c r="R768" t="str">
        <f t="shared" si="34"/>
        <v>On-Time</v>
      </c>
      <c r="S768" t="s">
        <v>96</v>
      </c>
      <c r="T768">
        <v>37</v>
      </c>
      <c r="U768" t="s">
        <v>65</v>
      </c>
      <c r="V768" t="s">
        <v>72</v>
      </c>
      <c r="W768" t="str">
        <f t="shared" ca="1" si="35"/>
        <v>Dormant</v>
      </c>
    </row>
    <row r="769" spans="1:23" x14ac:dyDescent="0.2">
      <c r="A769">
        <v>1694</v>
      </c>
      <c r="B769" t="s">
        <v>4711</v>
      </c>
      <c r="C769" t="s">
        <v>4720</v>
      </c>
      <c r="D769" s="1" t="s">
        <v>162</v>
      </c>
      <c r="E769" t="s">
        <v>4713</v>
      </c>
      <c r="F769" t="s">
        <v>910</v>
      </c>
      <c r="G769" s="4" t="s">
        <v>5419</v>
      </c>
      <c r="H769" t="s">
        <v>4714</v>
      </c>
      <c r="I769" t="s">
        <v>136</v>
      </c>
      <c r="J769" s="4" t="s">
        <v>5417</v>
      </c>
      <c r="K769" t="s">
        <v>1825</v>
      </c>
      <c r="L769">
        <v>2</v>
      </c>
      <c r="M769" t="s">
        <v>162</v>
      </c>
      <c r="N769" t="s">
        <v>162</v>
      </c>
      <c r="O769" t="s">
        <v>170</v>
      </c>
      <c r="P769" s="2" t="str">
        <f t="shared" si="33"/>
        <v>20/05/2025 to 23/05/2025</v>
      </c>
      <c r="Q769" s="3">
        <v>45799</v>
      </c>
      <c r="R769" t="str">
        <f t="shared" si="34"/>
        <v>On-Time</v>
      </c>
      <c r="S769" t="s">
        <v>549</v>
      </c>
      <c r="T769">
        <v>22</v>
      </c>
      <c r="U769" t="s">
        <v>65</v>
      </c>
      <c r="V769" t="s">
        <v>66</v>
      </c>
      <c r="W769" t="str">
        <f t="shared" ca="1" si="35"/>
        <v>Dormant</v>
      </c>
    </row>
    <row r="770" spans="1:23" x14ac:dyDescent="0.2">
      <c r="A770">
        <v>1695</v>
      </c>
      <c r="B770" t="s">
        <v>4711</v>
      </c>
      <c r="C770" t="s">
        <v>4721</v>
      </c>
      <c r="D770" s="1" t="s">
        <v>162</v>
      </c>
      <c r="E770" t="s">
        <v>4713</v>
      </c>
      <c r="F770" t="s">
        <v>910</v>
      </c>
      <c r="G770" s="4" t="s">
        <v>5425</v>
      </c>
      <c r="H770" t="s">
        <v>4714</v>
      </c>
      <c r="I770" t="s">
        <v>136</v>
      </c>
      <c r="J770" s="4" t="s">
        <v>74</v>
      </c>
      <c r="K770" t="s">
        <v>4722</v>
      </c>
      <c r="L770">
        <v>3</v>
      </c>
      <c r="M770" t="s">
        <v>170</v>
      </c>
      <c r="N770" t="s">
        <v>163</v>
      </c>
      <c r="O770" t="s">
        <v>456</v>
      </c>
      <c r="P770" s="2" t="str">
        <f t="shared" ref="P770:P833" si="36">IF(ISBLANK(M770), "", TEXT(WORKDAY(M770, 7), "dd/mm/yyyy") &amp; " to " &amp; TEXT(WORKDAY(M770, 10), "dd/mm/yyyy"))</f>
        <v>21/05/2025 to 26/05/2025</v>
      </c>
      <c r="Q770" s="3">
        <v>45801</v>
      </c>
      <c r="R770" t="str">
        <f t="shared" ref="R770:R833" si="37">IF(Q770="","In Progress",
IF(AND(--Q770&gt;=DATEVALUE(LEFT(P770,10)),
       --Q770&lt;=DATEVALUE(TRIM(MID(P770,FIND("to",P770)+3,10)))),
   "On-Time","Late"))</f>
        <v>On-Time</v>
      </c>
      <c r="S770" t="s">
        <v>89</v>
      </c>
      <c r="T770">
        <v>28</v>
      </c>
      <c r="U770" t="s">
        <v>79</v>
      </c>
      <c r="V770" t="s">
        <v>72</v>
      </c>
      <c r="W770" t="str">
        <f t="shared" ca="1" si="35"/>
        <v>Dormant</v>
      </c>
    </row>
    <row r="771" spans="1:23" x14ac:dyDescent="0.2">
      <c r="A771">
        <v>1758</v>
      </c>
      <c r="B771" t="s">
        <v>4867</v>
      </c>
      <c r="C771" t="s">
        <v>4868</v>
      </c>
      <c r="D771" s="1" t="s">
        <v>162</v>
      </c>
      <c r="E771" t="s">
        <v>4869</v>
      </c>
      <c r="F771" t="s">
        <v>1154</v>
      </c>
      <c r="G771" s="4" t="s">
        <v>5422</v>
      </c>
      <c r="H771" t="s">
        <v>2080</v>
      </c>
      <c r="I771" t="s">
        <v>59</v>
      </c>
      <c r="J771" s="4" t="s">
        <v>5417</v>
      </c>
      <c r="K771" t="s">
        <v>4870</v>
      </c>
      <c r="L771">
        <v>4</v>
      </c>
      <c r="M771" t="s">
        <v>162</v>
      </c>
      <c r="N771" t="s">
        <v>170</v>
      </c>
      <c r="O771" t="s">
        <v>162</v>
      </c>
      <c r="P771" s="2" t="str">
        <f t="shared" si="36"/>
        <v>20/05/2025 to 23/05/2025</v>
      </c>
      <c r="Q771" s="3">
        <v>45796</v>
      </c>
      <c r="R771" t="str">
        <f t="shared" si="37"/>
        <v>Late</v>
      </c>
      <c r="S771" t="s">
        <v>1335</v>
      </c>
      <c r="T771">
        <v>37.5</v>
      </c>
      <c r="U771" t="s">
        <v>65</v>
      </c>
      <c r="V771" t="s">
        <v>66</v>
      </c>
      <c r="W771" t="str">
        <f t="shared" ref="W771:W834" ca="1" si="38">IF(D771="","",
IF(TODAY()-D771&lt;=120,"Active",
IF(TODAY()-D771&lt;=210,"At Risk",
IF(TODAY()-D771&lt;=395,"Dormant",
IF(TODAY()-D771&lt;=730,"Inactive","Archived")))))</f>
        <v>Dormant</v>
      </c>
    </row>
    <row r="772" spans="1:23" x14ac:dyDescent="0.2">
      <c r="A772">
        <v>1759</v>
      </c>
      <c r="B772" t="s">
        <v>4867</v>
      </c>
      <c r="C772" t="s">
        <v>4871</v>
      </c>
      <c r="D772" s="1" t="s">
        <v>162</v>
      </c>
      <c r="E772" t="s">
        <v>4869</v>
      </c>
      <c r="F772" t="s">
        <v>1154</v>
      </c>
      <c r="G772" s="4" t="s">
        <v>5425</v>
      </c>
      <c r="H772" t="s">
        <v>2080</v>
      </c>
      <c r="I772" t="s">
        <v>59</v>
      </c>
      <c r="J772" s="4" t="s">
        <v>5417</v>
      </c>
      <c r="K772" t="s">
        <v>10</v>
      </c>
      <c r="L772">
        <v>1</v>
      </c>
      <c r="M772" t="s">
        <v>163</v>
      </c>
      <c r="N772" t="s">
        <v>163</v>
      </c>
      <c r="O772" t="s">
        <v>163</v>
      </c>
      <c r="P772" s="2" t="str">
        <f t="shared" si="36"/>
        <v>22/05/2025 to 27/05/2025</v>
      </c>
      <c r="Q772" s="3">
        <v>45800</v>
      </c>
      <c r="R772" t="str">
        <f t="shared" si="37"/>
        <v>On-Time</v>
      </c>
      <c r="S772" t="s">
        <v>89</v>
      </c>
      <c r="T772">
        <v>10</v>
      </c>
      <c r="U772" t="s">
        <v>65</v>
      </c>
      <c r="V772" t="s">
        <v>72</v>
      </c>
      <c r="W772" t="str">
        <f t="shared" ca="1" si="38"/>
        <v>Dormant</v>
      </c>
    </row>
    <row r="773" spans="1:23" x14ac:dyDescent="0.2">
      <c r="A773">
        <v>1760</v>
      </c>
      <c r="B773" t="s">
        <v>4867</v>
      </c>
      <c r="C773" t="s">
        <v>4872</v>
      </c>
      <c r="D773" s="1" t="s">
        <v>162</v>
      </c>
      <c r="E773" t="s">
        <v>4869</v>
      </c>
      <c r="F773" t="s">
        <v>1154</v>
      </c>
      <c r="G773" s="4" t="s">
        <v>38</v>
      </c>
      <c r="H773" t="s">
        <v>2080</v>
      </c>
      <c r="I773" t="s">
        <v>59</v>
      </c>
      <c r="J773" s="4" t="s">
        <v>74</v>
      </c>
      <c r="K773" t="s">
        <v>2892</v>
      </c>
      <c r="L773">
        <v>2</v>
      </c>
      <c r="M773" t="s">
        <v>162</v>
      </c>
      <c r="N773" t="s">
        <v>170</v>
      </c>
      <c r="O773" t="s">
        <v>170</v>
      </c>
      <c r="P773" s="2" t="str">
        <f t="shared" si="36"/>
        <v>20/05/2025 to 23/05/2025</v>
      </c>
      <c r="Q773" s="3">
        <v>45801</v>
      </c>
      <c r="R773" t="str">
        <f t="shared" si="37"/>
        <v>Late</v>
      </c>
      <c r="S773" t="s">
        <v>105</v>
      </c>
      <c r="T773">
        <v>16.5</v>
      </c>
      <c r="U773" t="s">
        <v>79</v>
      </c>
      <c r="V773" t="s">
        <v>80</v>
      </c>
      <c r="W773" t="str">
        <f t="shared" ca="1" si="38"/>
        <v>Dormant</v>
      </c>
    </row>
    <row r="774" spans="1:23" x14ac:dyDescent="0.2">
      <c r="A774">
        <v>1761</v>
      </c>
      <c r="B774" t="s">
        <v>4867</v>
      </c>
      <c r="C774" t="s">
        <v>4873</v>
      </c>
      <c r="D774" s="1" t="s">
        <v>162</v>
      </c>
      <c r="E774" t="s">
        <v>4869</v>
      </c>
      <c r="F774" t="s">
        <v>1154</v>
      </c>
      <c r="G774" s="4" t="s">
        <v>5425</v>
      </c>
      <c r="H774" t="s">
        <v>2080</v>
      </c>
      <c r="I774" t="s">
        <v>59</v>
      </c>
      <c r="J774" s="4" t="s">
        <v>68</v>
      </c>
      <c r="K774" t="s">
        <v>14</v>
      </c>
      <c r="L774">
        <v>1</v>
      </c>
      <c r="M774" t="s">
        <v>170</v>
      </c>
      <c r="N774" t="s">
        <v>163</v>
      </c>
      <c r="O774" t="s">
        <v>170</v>
      </c>
      <c r="P774" s="2" t="str">
        <f t="shared" si="36"/>
        <v>21/05/2025 to 26/05/2025</v>
      </c>
      <c r="Q774" s="3">
        <v>45800</v>
      </c>
      <c r="R774" t="str">
        <f t="shared" si="37"/>
        <v>On-Time</v>
      </c>
      <c r="S774" t="s">
        <v>89</v>
      </c>
      <c r="T774">
        <v>9.5</v>
      </c>
      <c r="U774" t="s">
        <v>79</v>
      </c>
      <c r="V774" t="s">
        <v>72</v>
      </c>
      <c r="W774" t="str">
        <f t="shared" ca="1" si="38"/>
        <v>Dormant</v>
      </c>
    </row>
    <row r="775" spans="1:23" x14ac:dyDescent="0.2">
      <c r="A775">
        <v>1791</v>
      </c>
      <c r="B775" t="s">
        <v>4934</v>
      </c>
      <c r="C775" t="s">
        <v>4935</v>
      </c>
      <c r="D775" s="1" t="s">
        <v>162</v>
      </c>
      <c r="E775" t="s">
        <v>4936</v>
      </c>
      <c r="F775" t="s">
        <v>668</v>
      </c>
      <c r="G775" s="4" t="s">
        <v>5426</v>
      </c>
      <c r="H775" t="s">
        <v>4937</v>
      </c>
      <c r="I775" t="s">
        <v>112</v>
      </c>
      <c r="J775" s="4" t="s">
        <v>68</v>
      </c>
      <c r="K775" t="s">
        <v>14</v>
      </c>
      <c r="L775">
        <v>1</v>
      </c>
      <c r="M775" t="s">
        <v>170</v>
      </c>
      <c r="N775" t="s">
        <v>170</v>
      </c>
      <c r="O775" t="s">
        <v>163</v>
      </c>
      <c r="P775" s="2" t="str">
        <f t="shared" si="36"/>
        <v>21/05/2025 to 26/05/2025</v>
      </c>
      <c r="Q775" s="3">
        <v>45799</v>
      </c>
      <c r="R775" t="str">
        <f t="shared" si="37"/>
        <v>On-Time</v>
      </c>
      <c r="S775" t="s">
        <v>89</v>
      </c>
      <c r="T775">
        <v>9.5</v>
      </c>
      <c r="U775" t="s">
        <v>79</v>
      </c>
      <c r="V775" t="s">
        <v>80</v>
      </c>
      <c r="W775" t="str">
        <f t="shared" ca="1" si="38"/>
        <v>Dormant</v>
      </c>
    </row>
    <row r="776" spans="1:23" x14ac:dyDescent="0.2">
      <c r="A776">
        <v>1792</v>
      </c>
      <c r="B776" t="s">
        <v>4934</v>
      </c>
      <c r="C776" t="s">
        <v>4938</v>
      </c>
      <c r="D776" s="1" t="s">
        <v>162</v>
      </c>
      <c r="E776" t="s">
        <v>4936</v>
      </c>
      <c r="F776" t="s">
        <v>668</v>
      </c>
      <c r="G776" s="4" t="s">
        <v>5422</v>
      </c>
      <c r="H776" t="s">
        <v>4937</v>
      </c>
      <c r="I776" t="s">
        <v>112</v>
      </c>
      <c r="J776" s="4" t="s">
        <v>5417</v>
      </c>
      <c r="K776" t="s">
        <v>3122</v>
      </c>
      <c r="L776">
        <v>2</v>
      </c>
      <c r="M776" t="s">
        <v>170</v>
      </c>
      <c r="N776" t="s">
        <v>163</v>
      </c>
      <c r="O776" t="s">
        <v>170</v>
      </c>
      <c r="P776" s="2" t="str">
        <f t="shared" si="36"/>
        <v>21/05/2025 to 26/05/2025</v>
      </c>
      <c r="Q776" s="3">
        <v>45797</v>
      </c>
      <c r="R776" t="str">
        <f t="shared" si="37"/>
        <v>Late</v>
      </c>
      <c r="S776" t="s">
        <v>167</v>
      </c>
      <c r="T776">
        <v>18</v>
      </c>
      <c r="U776" t="s">
        <v>65</v>
      </c>
      <c r="V776" t="s">
        <v>72</v>
      </c>
      <c r="W776" t="str">
        <f t="shared" ca="1" si="38"/>
        <v>Dormant</v>
      </c>
    </row>
    <row r="777" spans="1:23" x14ac:dyDescent="0.2">
      <c r="A777">
        <v>1793</v>
      </c>
      <c r="B777" t="s">
        <v>4934</v>
      </c>
      <c r="C777" t="s">
        <v>4939</v>
      </c>
      <c r="D777" s="1" t="s">
        <v>162</v>
      </c>
      <c r="E777" t="s">
        <v>4936</v>
      </c>
      <c r="F777" t="s">
        <v>668</v>
      </c>
      <c r="G777" s="4" t="s">
        <v>5427</v>
      </c>
      <c r="H777" t="s">
        <v>4937</v>
      </c>
      <c r="I777" t="s">
        <v>112</v>
      </c>
      <c r="J777" s="4" t="s">
        <v>5417</v>
      </c>
      <c r="K777" t="s">
        <v>4940</v>
      </c>
      <c r="L777">
        <v>4</v>
      </c>
      <c r="M777" t="s">
        <v>163</v>
      </c>
      <c r="N777" t="s">
        <v>1672</v>
      </c>
      <c r="O777" t="s">
        <v>163</v>
      </c>
      <c r="P777" s="2" t="str">
        <f t="shared" si="36"/>
        <v>22/05/2025 to 27/05/2025</v>
      </c>
      <c r="Q777" s="3">
        <v>45798</v>
      </c>
      <c r="R777" t="str">
        <f t="shared" si="37"/>
        <v>Late</v>
      </c>
      <c r="S777" t="s">
        <v>164</v>
      </c>
      <c r="T777">
        <v>33.5</v>
      </c>
      <c r="U777" t="s">
        <v>79</v>
      </c>
      <c r="V777" t="s">
        <v>80</v>
      </c>
      <c r="W777" t="str">
        <f t="shared" ca="1" si="38"/>
        <v>Dormant</v>
      </c>
    </row>
    <row r="778" spans="1:23" x14ac:dyDescent="0.2">
      <c r="A778">
        <v>1794</v>
      </c>
      <c r="B778" t="s">
        <v>4934</v>
      </c>
      <c r="C778" t="s">
        <v>4941</v>
      </c>
      <c r="D778" s="1" t="s">
        <v>162</v>
      </c>
      <c r="E778" t="s">
        <v>4936</v>
      </c>
      <c r="F778" t="s">
        <v>668</v>
      </c>
      <c r="G778" s="4" t="s">
        <v>5428</v>
      </c>
      <c r="H778" t="s">
        <v>4937</v>
      </c>
      <c r="I778" t="s">
        <v>112</v>
      </c>
      <c r="J778" s="4" t="s">
        <v>68</v>
      </c>
      <c r="K778" t="s">
        <v>4942</v>
      </c>
      <c r="L778">
        <v>4</v>
      </c>
      <c r="M778" t="s">
        <v>163</v>
      </c>
      <c r="N778" t="s">
        <v>456</v>
      </c>
      <c r="O778" t="s">
        <v>1672</v>
      </c>
      <c r="P778" s="2" t="str">
        <f t="shared" si="36"/>
        <v>22/05/2025 to 27/05/2025</v>
      </c>
      <c r="Q778" s="3">
        <v>45803</v>
      </c>
      <c r="R778" t="str">
        <f t="shared" si="37"/>
        <v>On-Time</v>
      </c>
      <c r="S778" t="s">
        <v>100</v>
      </c>
      <c r="T778">
        <v>40.5</v>
      </c>
      <c r="U778" t="s">
        <v>65</v>
      </c>
      <c r="V778" t="s">
        <v>80</v>
      </c>
      <c r="W778" t="str">
        <f t="shared" ca="1" si="38"/>
        <v>Dormant</v>
      </c>
    </row>
    <row r="779" spans="1:23" x14ac:dyDescent="0.2">
      <c r="A779">
        <v>1605</v>
      </c>
      <c r="B779" t="s">
        <v>4522</v>
      </c>
      <c r="C779" t="s">
        <v>4523</v>
      </c>
      <c r="D779" s="1" t="s">
        <v>170</v>
      </c>
      <c r="E779" t="s">
        <v>4524</v>
      </c>
      <c r="F779" t="s">
        <v>553</v>
      </c>
      <c r="G779" s="4" t="s">
        <v>5424</v>
      </c>
      <c r="H779" t="s">
        <v>4525</v>
      </c>
      <c r="I779" t="s">
        <v>59</v>
      </c>
      <c r="J779" s="4" t="s">
        <v>74</v>
      </c>
      <c r="K779" t="s">
        <v>16</v>
      </c>
      <c r="L779">
        <v>1</v>
      </c>
      <c r="M779" t="s">
        <v>163</v>
      </c>
      <c r="N779" t="s">
        <v>456</v>
      </c>
      <c r="O779" t="s">
        <v>456</v>
      </c>
      <c r="P779" s="2" t="str">
        <f t="shared" si="36"/>
        <v>22/05/2025 to 27/05/2025</v>
      </c>
      <c r="Q779" s="3">
        <v>45800</v>
      </c>
      <c r="R779" t="str">
        <f t="shared" si="37"/>
        <v>On-Time</v>
      </c>
      <c r="S779" t="s">
        <v>105</v>
      </c>
      <c r="T779">
        <v>11</v>
      </c>
      <c r="U779" t="s">
        <v>65</v>
      </c>
      <c r="V779" t="s">
        <v>80</v>
      </c>
      <c r="W779" t="str">
        <f t="shared" ca="1" si="38"/>
        <v>Dormant</v>
      </c>
    </row>
    <row r="780" spans="1:23" x14ac:dyDescent="0.2">
      <c r="A780">
        <v>1199</v>
      </c>
      <c r="B780" t="s">
        <v>3543</v>
      </c>
      <c r="C780" t="s">
        <v>3544</v>
      </c>
      <c r="D780" s="1" t="s">
        <v>163</v>
      </c>
      <c r="E780" t="s">
        <v>3545</v>
      </c>
      <c r="F780" t="s">
        <v>371</v>
      </c>
      <c r="G780" s="4" t="s">
        <v>5425</v>
      </c>
      <c r="H780" t="s">
        <v>3546</v>
      </c>
      <c r="I780" t="s">
        <v>112</v>
      </c>
      <c r="J780" s="4" t="s">
        <v>5417</v>
      </c>
      <c r="K780" t="s">
        <v>1412</v>
      </c>
      <c r="L780">
        <v>2</v>
      </c>
      <c r="M780" t="s">
        <v>456</v>
      </c>
      <c r="N780" t="s">
        <v>1672</v>
      </c>
      <c r="O780" t="s">
        <v>456</v>
      </c>
      <c r="P780" s="2" t="str">
        <f t="shared" si="36"/>
        <v>23/05/2025 to 28/05/2025</v>
      </c>
      <c r="Q780" s="3">
        <v>45800</v>
      </c>
      <c r="R780" t="str">
        <f t="shared" si="37"/>
        <v>On-Time</v>
      </c>
      <c r="S780" t="s">
        <v>164</v>
      </c>
      <c r="T780">
        <v>18</v>
      </c>
      <c r="U780" t="s">
        <v>65</v>
      </c>
      <c r="V780" t="s">
        <v>72</v>
      </c>
      <c r="W780" t="str">
        <f t="shared" ca="1" si="38"/>
        <v>Dormant</v>
      </c>
    </row>
    <row r="781" spans="1:23" x14ac:dyDescent="0.2">
      <c r="A781">
        <v>1302</v>
      </c>
      <c r="B781" t="s">
        <v>3784</v>
      </c>
      <c r="C781" t="s">
        <v>3785</v>
      </c>
      <c r="D781" s="1" t="s">
        <v>163</v>
      </c>
      <c r="E781" t="s">
        <v>3786</v>
      </c>
      <c r="F781" t="s">
        <v>199</v>
      </c>
      <c r="G781" s="4" t="s">
        <v>5428</v>
      </c>
      <c r="H781" t="s">
        <v>1975</v>
      </c>
      <c r="I781" t="s">
        <v>136</v>
      </c>
      <c r="J781" s="4" t="s">
        <v>74</v>
      </c>
      <c r="K781" t="s">
        <v>3787</v>
      </c>
      <c r="L781">
        <v>3</v>
      </c>
      <c r="M781" t="s">
        <v>456</v>
      </c>
      <c r="N781" t="s">
        <v>456</v>
      </c>
      <c r="O781" t="s">
        <v>456</v>
      </c>
      <c r="P781" s="2" t="str">
        <f t="shared" si="36"/>
        <v>23/05/2025 to 28/05/2025</v>
      </c>
      <c r="Q781" s="3">
        <v>45801</v>
      </c>
      <c r="R781" t="str">
        <f t="shared" si="37"/>
        <v>On-Time</v>
      </c>
      <c r="S781" t="s">
        <v>89</v>
      </c>
      <c r="T781">
        <v>29</v>
      </c>
      <c r="U781" t="s">
        <v>79</v>
      </c>
      <c r="V781" t="s">
        <v>66</v>
      </c>
      <c r="W781" t="str">
        <f t="shared" ca="1" si="38"/>
        <v>Dormant</v>
      </c>
    </row>
    <row r="782" spans="1:23" x14ac:dyDescent="0.2">
      <c r="A782">
        <v>1303</v>
      </c>
      <c r="B782" t="s">
        <v>3784</v>
      </c>
      <c r="C782" t="s">
        <v>3788</v>
      </c>
      <c r="D782" s="1" t="s">
        <v>163</v>
      </c>
      <c r="E782" t="s">
        <v>3786</v>
      </c>
      <c r="F782" t="s">
        <v>199</v>
      </c>
      <c r="G782" s="4" t="s">
        <v>5418</v>
      </c>
      <c r="H782" t="s">
        <v>1975</v>
      </c>
      <c r="I782" t="s">
        <v>136</v>
      </c>
      <c r="J782" s="4" t="s">
        <v>5417</v>
      </c>
      <c r="K782" t="s">
        <v>3789</v>
      </c>
      <c r="L782">
        <v>3</v>
      </c>
      <c r="M782" t="s">
        <v>163</v>
      </c>
      <c r="N782" t="s">
        <v>456</v>
      </c>
      <c r="O782" t="s">
        <v>163</v>
      </c>
      <c r="P782" s="2" t="str">
        <f t="shared" si="36"/>
        <v>22/05/2025 to 27/05/2025</v>
      </c>
      <c r="Q782" s="3">
        <v>45800</v>
      </c>
      <c r="R782" t="str">
        <f t="shared" si="37"/>
        <v>On-Time</v>
      </c>
      <c r="S782" t="s">
        <v>105</v>
      </c>
      <c r="T782">
        <v>30</v>
      </c>
      <c r="U782" t="s">
        <v>65</v>
      </c>
      <c r="V782" t="s">
        <v>72</v>
      </c>
      <c r="W782" t="str">
        <f t="shared" ca="1" si="38"/>
        <v>Dormant</v>
      </c>
    </row>
    <row r="783" spans="1:23" x14ac:dyDescent="0.2">
      <c r="A783">
        <v>1304</v>
      </c>
      <c r="B783" t="s">
        <v>3784</v>
      </c>
      <c r="C783" t="s">
        <v>3790</v>
      </c>
      <c r="D783" s="1" t="s">
        <v>163</v>
      </c>
      <c r="E783" t="s">
        <v>3786</v>
      </c>
      <c r="F783" t="s">
        <v>199</v>
      </c>
      <c r="G783" s="4" t="s">
        <v>5418</v>
      </c>
      <c r="H783" t="s">
        <v>1975</v>
      </c>
      <c r="I783" t="s">
        <v>136</v>
      </c>
      <c r="J783" s="4" t="s">
        <v>68</v>
      </c>
      <c r="K783" t="s">
        <v>24</v>
      </c>
      <c r="L783">
        <v>1</v>
      </c>
      <c r="M783" t="s">
        <v>456</v>
      </c>
      <c r="N783" t="s">
        <v>1672</v>
      </c>
      <c r="O783" t="s">
        <v>456</v>
      </c>
      <c r="P783" s="2" t="str">
        <f t="shared" si="36"/>
        <v>23/05/2025 to 28/05/2025</v>
      </c>
      <c r="Q783" s="3">
        <v>45799</v>
      </c>
      <c r="R783" t="str">
        <f t="shared" si="37"/>
        <v>Late</v>
      </c>
      <c r="S783" t="s">
        <v>549</v>
      </c>
      <c r="T783">
        <v>8</v>
      </c>
      <c r="U783" t="s">
        <v>79</v>
      </c>
      <c r="V783" t="s">
        <v>66</v>
      </c>
      <c r="W783" t="str">
        <f t="shared" ca="1" si="38"/>
        <v>Dormant</v>
      </c>
    </row>
    <row r="784" spans="1:23" x14ac:dyDescent="0.2">
      <c r="A784">
        <v>1305</v>
      </c>
      <c r="B784" t="s">
        <v>3784</v>
      </c>
      <c r="C784" t="s">
        <v>3791</v>
      </c>
      <c r="D784" s="1" t="s">
        <v>163</v>
      </c>
      <c r="E784" t="s">
        <v>3786</v>
      </c>
      <c r="F784" t="s">
        <v>199</v>
      </c>
      <c r="G784" s="4" t="s">
        <v>5418</v>
      </c>
      <c r="H784" t="s">
        <v>1975</v>
      </c>
      <c r="I784" t="s">
        <v>136</v>
      </c>
      <c r="J784" s="4" t="s">
        <v>68</v>
      </c>
      <c r="K784" t="s">
        <v>2793</v>
      </c>
      <c r="L784">
        <v>2</v>
      </c>
      <c r="M784" t="s">
        <v>1672</v>
      </c>
      <c r="N784" t="s">
        <v>1332</v>
      </c>
      <c r="O784" t="s">
        <v>1332</v>
      </c>
      <c r="P784" s="2" t="str">
        <f t="shared" si="36"/>
        <v>26/05/2025 to 29/05/2025</v>
      </c>
      <c r="Q784" s="3">
        <v>45801</v>
      </c>
      <c r="R784" t="str">
        <f t="shared" si="37"/>
        <v>Late</v>
      </c>
      <c r="S784" t="s">
        <v>105</v>
      </c>
      <c r="T784">
        <v>15.5</v>
      </c>
      <c r="U784" t="s">
        <v>65</v>
      </c>
      <c r="V784" t="s">
        <v>80</v>
      </c>
      <c r="W784" t="str">
        <f t="shared" ca="1" si="38"/>
        <v>Dormant</v>
      </c>
    </row>
    <row r="785" spans="1:23" x14ac:dyDescent="0.2">
      <c r="A785">
        <v>1597</v>
      </c>
      <c r="B785" t="s">
        <v>4500</v>
      </c>
      <c r="C785" t="s">
        <v>4501</v>
      </c>
      <c r="D785" s="1" t="s">
        <v>163</v>
      </c>
      <c r="E785" t="s">
        <v>4502</v>
      </c>
      <c r="F785" t="s">
        <v>1204</v>
      </c>
      <c r="G785" s="4" t="s">
        <v>5424</v>
      </c>
      <c r="H785" t="s">
        <v>1718</v>
      </c>
      <c r="I785" t="s">
        <v>201</v>
      </c>
      <c r="J785" s="4" t="s">
        <v>68</v>
      </c>
      <c r="K785" t="s">
        <v>4503</v>
      </c>
      <c r="L785">
        <v>4</v>
      </c>
      <c r="M785" t="s">
        <v>163</v>
      </c>
      <c r="N785" t="s">
        <v>456</v>
      </c>
      <c r="O785" t="s">
        <v>163</v>
      </c>
      <c r="P785" s="2" t="str">
        <f t="shared" si="36"/>
        <v>22/05/2025 to 27/05/2025</v>
      </c>
      <c r="Q785" s="3">
        <v>45798</v>
      </c>
      <c r="R785" t="str">
        <f t="shared" si="37"/>
        <v>Late</v>
      </c>
      <c r="S785" t="s">
        <v>167</v>
      </c>
      <c r="T785">
        <v>43</v>
      </c>
      <c r="U785" t="s">
        <v>79</v>
      </c>
      <c r="V785" t="s">
        <v>66</v>
      </c>
      <c r="W785" t="str">
        <f t="shared" ca="1" si="38"/>
        <v>Dormant</v>
      </c>
    </row>
    <row r="786" spans="1:23" x14ac:dyDescent="0.2">
      <c r="A786">
        <v>1598</v>
      </c>
      <c r="B786" t="s">
        <v>4500</v>
      </c>
      <c r="C786" t="s">
        <v>4504</v>
      </c>
      <c r="D786" s="1" t="s">
        <v>163</v>
      </c>
      <c r="E786" t="s">
        <v>4502</v>
      </c>
      <c r="F786" t="s">
        <v>1204</v>
      </c>
      <c r="G786" s="4" t="s">
        <v>5428</v>
      </c>
      <c r="H786" t="s">
        <v>1718</v>
      </c>
      <c r="I786" t="s">
        <v>201</v>
      </c>
      <c r="J786" s="4" t="s">
        <v>74</v>
      </c>
      <c r="K786" t="s">
        <v>4505</v>
      </c>
      <c r="L786">
        <v>4</v>
      </c>
      <c r="M786" t="s">
        <v>1672</v>
      </c>
      <c r="N786" t="s">
        <v>1332</v>
      </c>
      <c r="O786" t="s">
        <v>1332</v>
      </c>
      <c r="P786" s="2" t="str">
        <f t="shared" si="36"/>
        <v>26/05/2025 to 29/05/2025</v>
      </c>
      <c r="Q786" s="3">
        <v>45803</v>
      </c>
      <c r="R786" t="str">
        <f t="shared" si="37"/>
        <v>On-Time</v>
      </c>
      <c r="S786" t="s">
        <v>96</v>
      </c>
      <c r="T786">
        <v>34</v>
      </c>
      <c r="U786" t="s">
        <v>65</v>
      </c>
      <c r="V786" t="s">
        <v>66</v>
      </c>
      <c r="W786" t="str">
        <f t="shared" ca="1" si="38"/>
        <v>Dormant</v>
      </c>
    </row>
    <row r="787" spans="1:23" x14ac:dyDescent="0.2">
      <c r="A787">
        <v>1705</v>
      </c>
      <c r="B787" t="s">
        <v>4745</v>
      </c>
      <c r="C787" t="s">
        <v>4746</v>
      </c>
      <c r="D787" s="1" t="s">
        <v>163</v>
      </c>
      <c r="E787" t="s">
        <v>4747</v>
      </c>
      <c r="F787" t="s">
        <v>1829</v>
      </c>
      <c r="G787" s="4" t="s">
        <v>5419</v>
      </c>
      <c r="H787" t="s">
        <v>4748</v>
      </c>
      <c r="I787" t="s">
        <v>136</v>
      </c>
      <c r="J787" s="4" t="s">
        <v>60</v>
      </c>
      <c r="K787" t="s">
        <v>4749</v>
      </c>
      <c r="L787">
        <v>3</v>
      </c>
      <c r="M787" t="s">
        <v>456</v>
      </c>
      <c r="N787" t="s">
        <v>1322</v>
      </c>
      <c r="O787" t="s">
        <v>1322</v>
      </c>
      <c r="P787" s="2" t="str">
        <f t="shared" si="36"/>
        <v>23/05/2025 to 28/05/2025</v>
      </c>
      <c r="Q787" s="3">
        <v>45805</v>
      </c>
      <c r="R787" t="str">
        <f t="shared" si="37"/>
        <v>On-Time</v>
      </c>
      <c r="S787" t="s">
        <v>986</v>
      </c>
      <c r="T787">
        <v>27</v>
      </c>
      <c r="U787" t="s">
        <v>79</v>
      </c>
      <c r="V787" t="s">
        <v>72</v>
      </c>
      <c r="W787" t="str">
        <f t="shared" ca="1" si="38"/>
        <v>Dormant</v>
      </c>
    </row>
    <row r="788" spans="1:23" x14ac:dyDescent="0.2">
      <c r="A788">
        <v>614</v>
      </c>
      <c r="B788" t="s">
        <v>2118</v>
      </c>
      <c r="C788" t="s">
        <v>2119</v>
      </c>
      <c r="D788" s="1" t="s">
        <v>1672</v>
      </c>
      <c r="E788" t="s">
        <v>2120</v>
      </c>
      <c r="F788" t="s">
        <v>741</v>
      </c>
      <c r="G788" s="4" t="s">
        <v>5422</v>
      </c>
      <c r="H788" t="s">
        <v>2121</v>
      </c>
      <c r="I788" t="s">
        <v>112</v>
      </c>
      <c r="J788" s="4" t="s">
        <v>74</v>
      </c>
      <c r="K788" t="s">
        <v>1070</v>
      </c>
      <c r="L788">
        <v>2</v>
      </c>
      <c r="M788" t="s">
        <v>1332</v>
      </c>
      <c r="N788" t="s">
        <v>1335</v>
      </c>
      <c r="O788" t="s">
        <v>1332</v>
      </c>
      <c r="P788" s="2" t="str">
        <f t="shared" si="36"/>
        <v>27/05/2025 to 30/05/2025</v>
      </c>
      <c r="Q788" s="3">
        <v>45805</v>
      </c>
      <c r="R788" t="str">
        <f t="shared" si="37"/>
        <v>On-Time</v>
      </c>
      <c r="S788" t="s">
        <v>986</v>
      </c>
      <c r="T788">
        <v>16</v>
      </c>
      <c r="U788" t="s">
        <v>79</v>
      </c>
      <c r="V788" t="s">
        <v>66</v>
      </c>
      <c r="W788" t="str">
        <f t="shared" ca="1" si="38"/>
        <v>Dormant</v>
      </c>
    </row>
    <row r="789" spans="1:23" x14ac:dyDescent="0.2">
      <c r="A789">
        <v>615</v>
      </c>
      <c r="B789" t="s">
        <v>2118</v>
      </c>
      <c r="C789" t="s">
        <v>2122</v>
      </c>
      <c r="D789" s="1" t="s">
        <v>1672</v>
      </c>
      <c r="E789" t="s">
        <v>2120</v>
      </c>
      <c r="F789" t="s">
        <v>741</v>
      </c>
      <c r="G789" s="4" t="s">
        <v>5425</v>
      </c>
      <c r="H789" t="s">
        <v>2121</v>
      </c>
      <c r="I789" t="s">
        <v>112</v>
      </c>
      <c r="J789" s="4" t="s">
        <v>5417</v>
      </c>
      <c r="K789" t="s">
        <v>2123</v>
      </c>
      <c r="L789">
        <v>2</v>
      </c>
      <c r="M789" t="s">
        <v>1322</v>
      </c>
      <c r="N789" t="s">
        <v>791</v>
      </c>
      <c r="O789" t="s">
        <v>1322</v>
      </c>
      <c r="P789" s="2" t="str">
        <f t="shared" si="36"/>
        <v>27/05/2025 to 30/05/2025</v>
      </c>
      <c r="Q789" s="3">
        <v>45806</v>
      </c>
      <c r="R789" t="str">
        <f t="shared" si="37"/>
        <v>On-Time</v>
      </c>
      <c r="S789" t="s">
        <v>986</v>
      </c>
      <c r="T789">
        <v>20</v>
      </c>
      <c r="U789" t="s">
        <v>79</v>
      </c>
      <c r="V789" t="s">
        <v>66</v>
      </c>
      <c r="W789" t="str">
        <f t="shared" ca="1" si="38"/>
        <v>Dormant</v>
      </c>
    </row>
    <row r="790" spans="1:23" x14ac:dyDescent="0.2">
      <c r="A790">
        <v>1531</v>
      </c>
      <c r="B790" t="s">
        <v>4350</v>
      </c>
      <c r="C790" t="s">
        <v>4351</v>
      </c>
      <c r="D790" s="1" t="s">
        <v>1672</v>
      </c>
      <c r="E790" t="s">
        <v>4352</v>
      </c>
      <c r="F790" t="s">
        <v>229</v>
      </c>
      <c r="G790" s="4" t="s">
        <v>5422</v>
      </c>
      <c r="H790" t="s">
        <v>3005</v>
      </c>
      <c r="I790" t="s">
        <v>112</v>
      </c>
      <c r="J790" s="4" t="s">
        <v>5417</v>
      </c>
      <c r="K790" t="s">
        <v>14</v>
      </c>
      <c r="L790">
        <v>1</v>
      </c>
      <c r="M790" t="s">
        <v>1672</v>
      </c>
      <c r="N790" t="s">
        <v>1332</v>
      </c>
      <c r="O790" t="s">
        <v>1332</v>
      </c>
      <c r="P790" s="2" t="str">
        <f t="shared" si="36"/>
        <v>26/05/2025 to 29/05/2025</v>
      </c>
      <c r="Q790" s="3">
        <v>45804</v>
      </c>
      <c r="R790" t="str">
        <f t="shared" si="37"/>
        <v>On-Time</v>
      </c>
      <c r="S790" t="s">
        <v>100</v>
      </c>
      <c r="T790">
        <v>9.5</v>
      </c>
      <c r="U790" t="s">
        <v>79</v>
      </c>
      <c r="V790" t="s">
        <v>72</v>
      </c>
      <c r="W790" t="str">
        <f t="shared" ca="1" si="38"/>
        <v>Dormant</v>
      </c>
    </row>
    <row r="791" spans="1:23" x14ac:dyDescent="0.2">
      <c r="A791">
        <v>1532</v>
      </c>
      <c r="B791" t="s">
        <v>4350</v>
      </c>
      <c r="C791" t="s">
        <v>4353</v>
      </c>
      <c r="D791" s="1" t="s">
        <v>1672</v>
      </c>
      <c r="E791" t="s">
        <v>4352</v>
      </c>
      <c r="F791" t="s">
        <v>229</v>
      </c>
      <c r="G791" s="4" t="s">
        <v>5428</v>
      </c>
      <c r="H791" t="s">
        <v>3005</v>
      </c>
      <c r="I791" t="s">
        <v>112</v>
      </c>
      <c r="J791" s="4" t="s">
        <v>5417</v>
      </c>
      <c r="K791" t="s">
        <v>10</v>
      </c>
      <c r="L791">
        <v>1</v>
      </c>
      <c r="M791" t="s">
        <v>1322</v>
      </c>
      <c r="N791" t="s">
        <v>791</v>
      </c>
      <c r="O791" t="s">
        <v>1332</v>
      </c>
      <c r="P791" s="2" t="str">
        <f t="shared" si="36"/>
        <v>27/05/2025 to 30/05/2025</v>
      </c>
      <c r="Q791" s="3">
        <v>45801</v>
      </c>
      <c r="R791" t="str">
        <f t="shared" si="37"/>
        <v>Late</v>
      </c>
      <c r="S791" t="s">
        <v>105</v>
      </c>
      <c r="T791">
        <v>10</v>
      </c>
      <c r="U791" t="s">
        <v>65</v>
      </c>
      <c r="V791" t="s">
        <v>66</v>
      </c>
      <c r="W791" t="str">
        <f t="shared" ca="1" si="38"/>
        <v>Dormant</v>
      </c>
    </row>
    <row r="792" spans="1:23" x14ac:dyDescent="0.2">
      <c r="A792">
        <v>1629</v>
      </c>
      <c r="B792" t="s">
        <v>4579</v>
      </c>
      <c r="C792" t="s">
        <v>4580</v>
      </c>
      <c r="D792" s="1" t="s">
        <v>1672</v>
      </c>
      <c r="E792" t="s">
        <v>4581</v>
      </c>
      <c r="F792" t="s">
        <v>872</v>
      </c>
      <c r="G792" s="4" t="s">
        <v>5428</v>
      </c>
      <c r="H792" t="s">
        <v>4582</v>
      </c>
      <c r="I792" t="s">
        <v>136</v>
      </c>
      <c r="J792" s="4" t="s">
        <v>74</v>
      </c>
      <c r="K792" t="s">
        <v>24</v>
      </c>
      <c r="L792">
        <v>1</v>
      </c>
      <c r="M792" t="s">
        <v>1672</v>
      </c>
      <c r="N792" t="s">
        <v>1322</v>
      </c>
      <c r="O792" t="s">
        <v>1672</v>
      </c>
      <c r="P792" s="2" t="str">
        <f t="shared" si="36"/>
        <v>26/05/2025 to 29/05/2025</v>
      </c>
      <c r="Q792" s="3">
        <v>45800</v>
      </c>
      <c r="R792" t="str">
        <f t="shared" si="37"/>
        <v>Late</v>
      </c>
      <c r="S792" t="s">
        <v>89</v>
      </c>
      <c r="T792">
        <v>8</v>
      </c>
      <c r="U792" t="s">
        <v>79</v>
      </c>
      <c r="V792" t="s">
        <v>80</v>
      </c>
      <c r="W792" t="str">
        <f t="shared" ca="1" si="38"/>
        <v>Dormant</v>
      </c>
    </row>
    <row r="793" spans="1:23" x14ac:dyDescent="0.2">
      <c r="A793">
        <v>1630</v>
      </c>
      <c r="B793" t="s">
        <v>4579</v>
      </c>
      <c r="C793" t="s">
        <v>4583</v>
      </c>
      <c r="D793" s="1" t="s">
        <v>1672</v>
      </c>
      <c r="E793" t="s">
        <v>4581</v>
      </c>
      <c r="F793" t="s">
        <v>872</v>
      </c>
      <c r="G793" s="4" t="s">
        <v>5424</v>
      </c>
      <c r="H793" t="s">
        <v>4582</v>
      </c>
      <c r="I793" t="s">
        <v>136</v>
      </c>
      <c r="J793" s="4" t="s">
        <v>74</v>
      </c>
      <c r="K793" t="s">
        <v>4584</v>
      </c>
      <c r="L793">
        <v>2</v>
      </c>
      <c r="M793" t="s">
        <v>1332</v>
      </c>
      <c r="N793" t="s">
        <v>1335</v>
      </c>
      <c r="O793" t="s">
        <v>1332</v>
      </c>
      <c r="P793" s="2" t="str">
        <f t="shared" si="36"/>
        <v>27/05/2025 to 30/05/2025</v>
      </c>
      <c r="Q793" s="3">
        <v>45806</v>
      </c>
      <c r="R793" t="str">
        <f t="shared" si="37"/>
        <v>On-Time</v>
      </c>
      <c r="S793" t="s">
        <v>986</v>
      </c>
      <c r="T793">
        <v>19</v>
      </c>
      <c r="U793" t="s">
        <v>65</v>
      </c>
      <c r="V793" t="s">
        <v>66</v>
      </c>
      <c r="W793" t="str">
        <f t="shared" ca="1" si="38"/>
        <v>Dormant</v>
      </c>
    </row>
    <row r="794" spans="1:23" x14ac:dyDescent="0.2">
      <c r="A794">
        <v>1631</v>
      </c>
      <c r="B794" t="s">
        <v>4579</v>
      </c>
      <c r="C794" t="s">
        <v>4585</v>
      </c>
      <c r="D794" s="1" t="s">
        <v>1672</v>
      </c>
      <c r="E794" t="s">
        <v>4581</v>
      </c>
      <c r="F794" t="s">
        <v>872</v>
      </c>
      <c r="G794" s="4" t="s">
        <v>5427</v>
      </c>
      <c r="H794" t="s">
        <v>4582</v>
      </c>
      <c r="I794" t="s">
        <v>136</v>
      </c>
      <c r="J794" s="4" t="s">
        <v>74</v>
      </c>
      <c r="K794" t="s">
        <v>4270</v>
      </c>
      <c r="L794">
        <v>2</v>
      </c>
      <c r="M794" t="s">
        <v>1672</v>
      </c>
      <c r="N794" t="s">
        <v>1322</v>
      </c>
      <c r="O794" t="s">
        <v>1672</v>
      </c>
      <c r="P794" s="2" t="str">
        <f t="shared" si="36"/>
        <v>26/05/2025 to 29/05/2025</v>
      </c>
      <c r="Q794" s="3">
        <v>45801</v>
      </c>
      <c r="R794" t="str">
        <f t="shared" si="37"/>
        <v>Late</v>
      </c>
      <c r="S794" t="s">
        <v>95</v>
      </c>
      <c r="T794">
        <v>16</v>
      </c>
      <c r="U794" t="s">
        <v>79</v>
      </c>
      <c r="V794" t="s">
        <v>80</v>
      </c>
      <c r="W794" t="str">
        <f t="shared" ca="1" si="38"/>
        <v>Dormant</v>
      </c>
    </row>
    <row r="795" spans="1:23" x14ac:dyDescent="0.2">
      <c r="A795">
        <v>1632</v>
      </c>
      <c r="B795" t="s">
        <v>4579</v>
      </c>
      <c r="C795" t="s">
        <v>4586</v>
      </c>
      <c r="D795" s="1" t="s">
        <v>1672</v>
      </c>
      <c r="E795" t="s">
        <v>4581</v>
      </c>
      <c r="F795" t="s">
        <v>872</v>
      </c>
      <c r="G795" s="4" t="s">
        <v>5422</v>
      </c>
      <c r="H795" t="s">
        <v>4582</v>
      </c>
      <c r="I795" t="s">
        <v>136</v>
      </c>
      <c r="J795" s="4" t="s">
        <v>74</v>
      </c>
      <c r="K795" t="s">
        <v>69</v>
      </c>
      <c r="L795">
        <v>2</v>
      </c>
      <c r="M795" t="s">
        <v>1672</v>
      </c>
      <c r="N795" t="s">
        <v>1672</v>
      </c>
      <c r="O795" t="s">
        <v>1322</v>
      </c>
      <c r="P795" s="2" t="str">
        <f t="shared" si="36"/>
        <v>26/05/2025 to 29/05/2025</v>
      </c>
      <c r="Q795" s="3">
        <v>45803</v>
      </c>
      <c r="R795" t="str">
        <f t="shared" si="37"/>
        <v>On-Time</v>
      </c>
      <c r="S795" t="s">
        <v>100</v>
      </c>
      <c r="T795">
        <v>20</v>
      </c>
      <c r="U795" t="s">
        <v>79</v>
      </c>
      <c r="V795" t="s">
        <v>66</v>
      </c>
      <c r="W795" t="str">
        <f t="shared" ca="1" si="38"/>
        <v>Dormant</v>
      </c>
    </row>
    <row r="796" spans="1:23" x14ac:dyDescent="0.2">
      <c r="A796">
        <v>1475</v>
      </c>
      <c r="B796" t="s">
        <v>4211</v>
      </c>
      <c r="C796" t="s">
        <v>4212</v>
      </c>
      <c r="D796" s="1" t="s">
        <v>1322</v>
      </c>
      <c r="E796" t="s">
        <v>4213</v>
      </c>
      <c r="F796" t="s">
        <v>2176</v>
      </c>
      <c r="G796" s="4" t="s">
        <v>5428</v>
      </c>
      <c r="H796" t="s">
        <v>4214</v>
      </c>
      <c r="I796" t="s">
        <v>201</v>
      </c>
      <c r="J796" s="4" t="s">
        <v>74</v>
      </c>
      <c r="K796" t="s">
        <v>4215</v>
      </c>
      <c r="L796">
        <v>3</v>
      </c>
      <c r="M796" t="s">
        <v>1332</v>
      </c>
      <c r="N796" t="s">
        <v>791</v>
      </c>
      <c r="O796" t="s">
        <v>791</v>
      </c>
      <c r="P796" s="2" t="str">
        <f t="shared" si="36"/>
        <v>27/05/2025 to 30/05/2025</v>
      </c>
      <c r="Q796" s="3">
        <v>45804</v>
      </c>
      <c r="R796" t="str">
        <f t="shared" si="37"/>
        <v>On-Time</v>
      </c>
      <c r="S796" t="s">
        <v>983</v>
      </c>
      <c r="T796">
        <v>28</v>
      </c>
      <c r="U796" t="s">
        <v>79</v>
      </c>
      <c r="V796" t="s">
        <v>80</v>
      </c>
      <c r="W796" t="str">
        <f t="shared" ca="1" si="38"/>
        <v>Dormant</v>
      </c>
    </row>
    <row r="797" spans="1:23" x14ac:dyDescent="0.2">
      <c r="A797">
        <v>1476</v>
      </c>
      <c r="B797" t="s">
        <v>4211</v>
      </c>
      <c r="C797" t="s">
        <v>4216</v>
      </c>
      <c r="D797" s="1" t="s">
        <v>1322</v>
      </c>
      <c r="E797" t="s">
        <v>4213</v>
      </c>
      <c r="F797" t="s">
        <v>2176</v>
      </c>
      <c r="G797" s="4" t="s">
        <v>5421</v>
      </c>
      <c r="H797" t="s">
        <v>4214</v>
      </c>
      <c r="I797" t="s">
        <v>201</v>
      </c>
      <c r="J797" s="4" t="s">
        <v>68</v>
      </c>
      <c r="K797" t="s">
        <v>20</v>
      </c>
      <c r="L797">
        <v>1</v>
      </c>
      <c r="M797" t="s">
        <v>1332</v>
      </c>
      <c r="N797" t="s">
        <v>791</v>
      </c>
      <c r="O797" t="s">
        <v>1332</v>
      </c>
      <c r="P797" s="2" t="str">
        <f t="shared" si="36"/>
        <v>27/05/2025 to 30/05/2025</v>
      </c>
      <c r="Q797" s="3">
        <v>45807</v>
      </c>
      <c r="R797" t="str">
        <f t="shared" si="37"/>
        <v>On-Time</v>
      </c>
      <c r="S797" t="s">
        <v>986</v>
      </c>
      <c r="T797">
        <v>10.5</v>
      </c>
      <c r="U797" t="s">
        <v>79</v>
      </c>
      <c r="V797" t="s">
        <v>72</v>
      </c>
      <c r="W797" t="str">
        <f t="shared" ca="1" si="38"/>
        <v>Dormant</v>
      </c>
    </row>
    <row r="798" spans="1:23" x14ac:dyDescent="0.2">
      <c r="A798">
        <v>1477</v>
      </c>
      <c r="B798" t="s">
        <v>4211</v>
      </c>
      <c r="C798" t="s">
        <v>4217</v>
      </c>
      <c r="D798" s="1" t="s">
        <v>1322</v>
      </c>
      <c r="E798" t="s">
        <v>4213</v>
      </c>
      <c r="F798" t="s">
        <v>2176</v>
      </c>
      <c r="G798" s="4" t="s">
        <v>5425</v>
      </c>
      <c r="H798" t="s">
        <v>4214</v>
      </c>
      <c r="I798" t="s">
        <v>201</v>
      </c>
      <c r="J798" s="4" t="s">
        <v>60</v>
      </c>
      <c r="K798" t="s">
        <v>24</v>
      </c>
      <c r="L798">
        <v>1</v>
      </c>
      <c r="M798" t="s">
        <v>791</v>
      </c>
      <c r="N798" t="s">
        <v>791</v>
      </c>
      <c r="O798" t="s">
        <v>1319</v>
      </c>
      <c r="P798" s="2" t="str">
        <f t="shared" si="36"/>
        <v>27/05/2025 to 30/05/2025</v>
      </c>
      <c r="Q798" s="3">
        <v>45806</v>
      </c>
      <c r="R798" t="str">
        <f t="shared" si="37"/>
        <v>On-Time</v>
      </c>
      <c r="S798" t="s">
        <v>983</v>
      </c>
      <c r="T798">
        <v>8</v>
      </c>
      <c r="U798" t="s">
        <v>79</v>
      </c>
      <c r="V798" t="s">
        <v>72</v>
      </c>
      <c r="W798" t="str">
        <f t="shared" ca="1" si="38"/>
        <v>Dormant</v>
      </c>
    </row>
    <row r="799" spans="1:23" x14ac:dyDescent="0.2">
      <c r="A799">
        <v>1478</v>
      </c>
      <c r="B799" t="s">
        <v>4211</v>
      </c>
      <c r="C799" t="s">
        <v>4218</v>
      </c>
      <c r="D799" s="1" t="s">
        <v>1322</v>
      </c>
      <c r="E799" t="s">
        <v>4213</v>
      </c>
      <c r="F799" t="s">
        <v>2176</v>
      </c>
      <c r="G799" s="4" t="s">
        <v>5425</v>
      </c>
      <c r="H799" t="s">
        <v>4214</v>
      </c>
      <c r="I799" t="s">
        <v>201</v>
      </c>
      <c r="J799" s="4" t="s">
        <v>5417</v>
      </c>
      <c r="K799" t="s">
        <v>28</v>
      </c>
      <c r="L799">
        <v>1</v>
      </c>
      <c r="M799" t="s">
        <v>791</v>
      </c>
      <c r="N799" t="s">
        <v>1335</v>
      </c>
      <c r="O799" t="s">
        <v>791</v>
      </c>
      <c r="P799" s="2" t="str">
        <f t="shared" si="36"/>
        <v>27/05/2025 to 30/05/2025</v>
      </c>
      <c r="Q799" s="3">
        <v>45803</v>
      </c>
      <c r="R799" t="str">
        <f t="shared" si="37"/>
        <v>Late</v>
      </c>
      <c r="S799" t="s">
        <v>95</v>
      </c>
      <c r="T799">
        <v>9</v>
      </c>
      <c r="U799" t="s">
        <v>65</v>
      </c>
      <c r="V799" t="s">
        <v>72</v>
      </c>
      <c r="W799" t="str">
        <f t="shared" ca="1" si="38"/>
        <v>Dormant</v>
      </c>
    </row>
    <row r="800" spans="1:23" x14ac:dyDescent="0.2">
      <c r="A800">
        <v>562</v>
      </c>
      <c r="B800" t="s">
        <v>1985</v>
      </c>
      <c r="C800" t="s">
        <v>1986</v>
      </c>
      <c r="D800" s="1" t="s">
        <v>1332</v>
      </c>
      <c r="E800" t="s">
        <v>1987</v>
      </c>
      <c r="F800" t="s">
        <v>741</v>
      </c>
      <c r="G800" s="4" t="s">
        <v>5427</v>
      </c>
      <c r="H800" t="s">
        <v>1988</v>
      </c>
      <c r="I800" t="s">
        <v>59</v>
      </c>
      <c r="J800" s="4" t="s">
        <v>5417</v>
      </c>
      <c r="K800" t="s">
        <v>1989</v>
      </c>
      <c r="L800">
        <v>4</v>
      </c>
      <c r="M800" t="s">
        <v>1332</v>
      </c>
      <c r="N800" t="s">
        <v>1335</v>
      </c>
      <c r="O800" t="s">
        <v>1335</v>
      </c>
      <c r="P800" s="2" t="str">
        <f t="shared" si="36"/>
        <v>27/05/2025 to 30/05/2025</v>
      </c>
      <c r="Q800" s="3">
        <v>45806</v>
      </c>
      <c r="R800" t="str">
        <f t="shared" si="37"/>
        <v>On-Time</v>
      </c>
      <c r="S800" t="s">
        <v>983</v>
      </c>
      <c r="T800">
        <v>37</v>
      </c>
      <c r="U800" t="s">
        <v>79</v>
      </c>
      <c r="V800" t="s">
        <v>66</v>
      </c>
      <c r="W800" t="str">
        <f t="shared" ca="1" si="38"/>
        <v>Dormant</v>
      </c>
    </row>
    <row r="801" spans="1:23" x14ac:dyDescent="0.2">
      <c r="A801">
        <v>563</v>
      </c>
      <c r="B801" t="s">
        <v>1985</v>
      </c>
      <c r="C801" t="s">
        <v>1990</v>
      </c>
      <c r="D801" s="1" t="s">
        <v>1332</v>
      </c>
      <c r="E801" t="s">
        <v>1987</v>
      </c>
      <c r="F801" t="s">
        <v>741</v>
      </c>
      <c r="G801" s="4" t="s">
        <v>38</v>
      </c>
      <c r="H801" t="s">
        <v>1988</v>
      </c>
      <c r="I801" t="s">
        <v>59</v>
      </c>
      <c r="J801" s="4" t="s">
        <v>5417</v>
      </c>
      <c r="K801" t="s">
        <v>1991</v>
      </c>
      <c r="L801">
        <v>3</v>
      </c>
      <c r="M801" t="s">
        <v>1335</v>
      </c>
      <c r="N801" t="s">
        <v>1319</v>
      </c>
      <c r="O801" t="s">
        <v>1335</v>
      </c>
      <c r="P801" s="2" t="str">
        <f t="shared" si="36"/>
        <v>28/05/2025 to 02/06/2025</v>
      </c>
      <c r="Q801" s="3">
        <v>45807</v>
      </c>
      <c r="R801" t="str">
        <f t="shared" si="37"/>
        <v>On-Time</v>
      </c>
      <c r="S801" t="s">
        <v>986</v>
      </c>
      <c r="T801">
        <v>32</v>
      </c>
      <c r="U801" t="s">
        <v>65</v>
      </c>
      <c r="V801" t="s">
        <v>72</v>
      </c>
      <c r="W801" t="str">
        <f t="shared" ca="1" si="38"/>
        <v>Dormant</v>
      </c>
    </row>
    <row r="802" spans="1:23" x14ac:dyDescent="0.2">
      <c r="A802">
        <v>564</v>
      </c>
      <c r="B802" t="s">
        <v>1985</v>
      </c>
      <c r="C802" t="s">
        <v>1992</v>
      </c>
      <c r="D802" s="1" t="s">
        <v>1332</v>
      </c>
      <c r="E802" t="s">
        <v>1987</v>
      </c>
      <c r="F802" t="s">
        <v>741</v>
      </c>
      <c r="G802" s="4" t="s">
        <v>5419</v>
      </c>
      <c r="H802" t="s">
        <v>1988</v>
      </c>
      <c r="I802" t="s">
        <v>59</v>
      </c>
      <c r="J802" s="4" t="s">
        <v>68</v>
      </c>
      <c r="K802" t="s">
        <v>1993</v>
      </c>
      <c r="L802">
        <v>4</v>
      </c>
      <c r="M802" t="s">
        <v>1335</v>
      </c>
      <c r="N802" t="s">
        <v>1335</v>
      </c>
      <c r="O802" t="s">
        <v>167</v>
      </c>
      <c r="P802" s="2" t="str">
        <f t="shared" si="36"/>
        <v>28/05/2025 to 02/06/2025</v>
      </c>
      <c r="Q802" s="3">
        <v>45808</v>
      </c>
      <c r="R802" t="str">
        <f t="shared" si="37"/>
        <v>On-Time</v>
      </c>
      <c r="S802" t="s">
        <v>85</v>
      </c>
      <c r="T802">
        <v>33.5</v>
      </c>
      <c r="U802" t="s">
        <v>79</v>
      </c>
      <c r="V802" t="s">
        <v>72</v>
      </c>
      <c r="W802" t="str">
        <f t="shared" ca="1" si="38"/>
        <v>Dormant</v>
      </c>
    </row>
    <row r="803" spans="1:23" x14ac:dyDescent="0.2">
      <c r="A803">
        <v>565</v>
      </c>
      <c r="B803" t="s">
        <v>1985</v>
      </c>
      <c r="C803" t="s">
        <v>1994</v>
      </c>
      <c r="D803" s="1" t="s">
        <v>1332</v>
      </c>
      <c r="E803" t="s">
        <v>1987</v>
      </c>
      <c r="F803" t="s">
        <v>741</v>
      </c>
      <c r="G803" s="4" t="s">
        <v>5422</v>
      </c>
      <c r="H803" t="s">
        <v>1988</v>
      </c>
      <c r="I803" t="s">
        <v>59</v>
      </c>
      <c r="J803" s="4" t="s">
        <v>68</v>
      </c>
      <c r="K803" t="s">
        <v>1995</v>
      </c>
      <c r="L803">
        <v>3</v>
      </c>
      <c r="M803" t="s">
        <v>791</v>
      </c>
      <c r="N803" t="s">
        <v>1335</v>
      </c>
      <c r="O803" t="s">
        <v>791</v>
      </c>
      <c r="P803" s="2" t="str">
        <f t="shared" si="36"/>
        <v>27/05/2025 to 30/05/2025</v>
      </c>
      <c r="Q803" s="3">
        <v>45808</v>
      </c>
      <c r="R803" t="str">
        <f t="shared" si="37"/>
        <v>Late</v>
      </c>
      <c r="S803" t="s">
        <v>55</v>
      </c>
      <c r="T803">
        <v>27</v>
      </c>
      <c r="U803" t="s">
        <v>65</v>
      </c>
      <c r="V803" t="s">
        <v>72</v>
      </c>
      <c r="W803" t="str">
        <f t="shared" ca="1" si="38"/>
        <v>Dormant</v>
      </c>
    </row>
    <row r="804" spans="1:23" x14ac:dyDescent="0.2">
      <c r="A804">
        <v>566</v>
      </c>
      <c r="B804" t="s">
        <v>1985</v>
      </c>
      <c r="C804" t="s">
        <v>1996</v>
      </c>
      <c r="D804" s="1" t="s">
        <v>1332</v>
      </c>
      <c r="E804" t="s">
        <v>1987</v>
      </c>
      <c r="F804" t="s">
        <v>741</v>
      </c>
      <c r="G804" s="4" t="s">
        <v>5425</v>
      </c>
      <c r="H804" t="s">
        <v>1988</v>
      </c>
      <c r="I804" t="s">
        <v>59</v>
      </c>
      <c r="J804" s="4" t="s">
        <v>68</v>
      </c>
      <c r="K804" t="s">
        <v>1997</v>
      </c>
      <c r="L804">
        <v>4</v>
      </c>
      <c r="M804" t="s">
        <v>1335</v>
      </c>
      <c r="N804" t="s">
        <v>1335</v>
      </c>
      <c r="O804" t="s">
        <v>1319</v>
      </c>
      <c r="P804" s="2" t="str">
        <f t="shared" si="36"/>
        <v>28/05/2025 to 02/06/2025</v>
      </c>
      <c r="Q804" s="3">
        <v>45804</v>
      </c>
      <c r="R804" t="str">
        <f t="shared" si="37"/>
        <v>Late</v>
      </c>
      <c r="S804" t="s">
        <v>983</v>
      </c>
      <c r="T804">
        <v>38</v>
      </c>
      <c r="U804" t="s">
        <v>65</v>
      </c>
      <c r="V804" t="s">
        <v>66</v>
      </c>
      <c r="W804" t="str">
        <f t="shared" ca="1" si="38"/>
        <v>Dormant</v>
      </c>
    </row>
    <row r="805" spans="1:23" x14ac:dyDescent="0.2">
      <c r="A805">
        <v>1050</v>
      </c>
      <c r="B805" t="s">
        <v>3183</v>
      </c>
      <c r="C805" t="s">
        <v>3184</v>
      </c>
      <c r="D805" s="1" t="s">
        <v>1332</v>
      </c>
      <c r="E805" t="s">
        <v>3185</v>
      </c>
      <c r="F805" t="s">
        <v>995</v>
      </c>
      <c r="G805" s="4" t="s">
        <v>5427</v>
      </c>
      <c r="H805" t="s">
        <v>3186</v>
      </c>
      <c r="I805" t="s">
        <v>136</v>
      </c>
      <c r="J805" s="4" t="s">
        <v>60</v>
      </c>
      <c r="K805" t="s">
        <v>22</v>
      </c>
      <c r="L805">
        <v>1</v>
      </c>
      <c r="M805" t="s">
        <v>1335</v>
      </c>
      <c r="N805" t="s">
        <v>1335</v>
      </c>
      <c r="O805" t="s">
        <v>1319</v>
      </c>
      <c r="P805" s="2" t="str">
        <f t="shared" si="36"/>
        <v>28/05/2025 to 02/06/2025</v>
      </c>
      <c r="Q805" s="3">
        <v>45808</v>
      </c>
      <c r="R805" t="str">
        <f t="shared" si="37"/>
        <v>On-Time</v>
      </c>
      <c r="S805" t="s">
        <v>62</v>
      </c>
      <c r="T805">
        <v>8</v>
      </c>
      <c r="U805" t="s">
        <v>79</v>
      </c>
      <c r="V805" t="s">
        <v>72</v>
      </c>
      <c r="W805" t="str">
        <f t="shared" ca="1" si="38"/>
        <v>Dormant</v>
      </c>
    </row>
    <row r="806" spans="1:23" x14ac:dyDescent="0.2">
      <c r="A806">
        <v>1051</v>
      </c>
      <c r="B806" t="s">
        <v>3183</v>
      </c>
      <c r="C806" t="s">
        <v>3187</v>
      </c>
      <c r="D806" s="1" t="s">
        <v>1332</v>
      </c>
      <c r="E806" t="s">
        <v>3185</v>
      </c>
      <c r="F806" t="s">
        <v>995</v>
      </c>
      <c r="G806" s="4" t="s">
        <v>5421</v>
      </c>
      <c r="H806" t="s">
        <v>3186</v>
      </c>
      <c r="I806" t="s">
        <v>136</v>
      </c>
      <c r="J806" s="4" t="s">
        <v>60</v>
      </c>
      <c r="K806" t="s">
        <v>6</v>
      </c>
      <c r="L806">
        <v>1</v>
      </c>
      <c r="M806" t="s">
        <v>1332</v>
      </c>
      <c r="N806" t="s">
        <v>791</v>
      </c>
      <c r="O806" t="s">
        <v>1332</v>
      </c>
      <c r="P806" s="2" t="str">
        <f t="shared" si="36"/>
        <v>27/05/2025 to 30/05/2025</v>
      </c>
      <c r="Q806" s="3">
        <v>45802</v>
      </c>
      <c r="R806" t="str">
        <f t="shared" si="37"/>
        <v>Late</v>
      </c>
      <c r="S806" t="s">
        <v>105</v>
      </c>
      <c r="T806">
        <v>7.5</v>
      </c>
      <c r="U806" t="s">
        <v>65</v>
      </c>
      <c r="V806" t="s">
        <v>72</v>
      </c>
      <c r="W806" t="str">
        <f t="shared" ca="1" si="38"/>
        <v>Dormant</v>
      </c>
    </row>
    <row r="807" spans="1:23" x14ac:dyDescent="0.2">
      <c r="A807">
        <v>1117</v>
      </c>
      <c r="B807" t="s">
        <v>3343</v>
      </c>
      <c r="C807" t="s">
        <v>3344</v>
      </c>
      <c r="D807" s="1" t="s">
        <v>791</v>
      </c>
      <c r="E807" t="s">
        <v>3345</v>
      </c>
      <c r="F807" t="s">
        <v>490</v>
      </c>
      <c r="G807" s="4" t="s">
        <v>5421</v>
      </c>
      <c r="H807" t="s">
        <v>1886</v>
      </c>
      <c r="I807" t="s">
        <v>201</v>
      </c>
      <c r="J807" s="4" t="s">
        <v>5417</v>
      </c>
      <c r="K807" t="s">
        <v>3346</v>
      </c>
      <c r="L807">
        <v>3</v>
      </c>
      <c r="M807" t="s">
        <v>1319</v>
      </c>
      <c r="N807" t="s">
        <v>549</v>
      </c>
      <c r="O807" t="s">
        <v>549</v>
      </c>
      <c r="P807" s="2" t="str">
        <f t="shared" si="36"/>
        <v>29/05/2025 to 03/06/2025</v>
      </c>
      <c r="Q807" s="3">
        <v>45809</v>
      </c>
      <c r="R807" t="str">
        <f t="shared" si="37"/>
        <v>On-Time</v>
      </c>
      <c r="S807" t="s">
        <v>62</v>
      </c>
      <c r="T807">
        <v>27.5</v>
      </c>
      <c r="U807" t="s">
        <v>65</v>
      </c>
      <c r="V807" t="s">
        <v>66</v>
      </c>
      <c r="W807" t="str">
        <f t="shared" ca="1" si="38"/>
        <v>Dormant</v>
      </c>
    </row>
    <row r="808" spans="1:23" x14ac:dyDescent="0.2">
      <c r="A808">
        <v>775</v>
      </c>
      <c r="B808" t="s">
        <v>2512</v>
      </c>
      <c r="C808" t="s">
        <v>2513</v>
      </c>
      <c r="D808" s="1" t="s">
        <v>1335</v>
      </c>
      <c r="E808" t="s">
        <v>2514</v>
      </c>
      <c r="F808" t="s">
        <v>872</v>
      </c>
      <c r="G808" s="4" t="s">
        <v>5428</v>
      </c>
      <c r="H808" t="s">
        <v>2515</v>
      </c>
      <c r="I808" t="s">
        <v>93</v>
      </c>
      <c r="J808" s="4" t="s">
        <v>74</v>
      </c>
      <c r="K808" t="s">
        <v>24</v>
      </c>
      <c r="L808">
        <v>1</v>
      </c>
      <c r="M808" t="s">
        <v>1335</v>
      </c>
      <c r="N808" t="s">
        <v>167</v>
      </c>
      <c r="O808" t="s">
        <v>1335</v>
      </c>
      <c r="P808" s="2" t="str">
        <f t="shared" si="36"/>
        <v>28/05/2025 to 02/06/2025</v>
      </c>
      <c r="Q808" s="3">
        <v>45806</v>
      </c>
      <c r="R808" t="str">
        <f t="shared" si="37"/>
        <v>On-Time</v>
      </c>
      <c r="S808" t="s">
        <v>55</v>
      </c>
      <c r="T808">
        <v>8</v>
      </c>
      <c r="U808" t="s">
        <v>65</v>
      </c>
      <c r="V808" t="s">
        <v>72</v>
      </c>
      <c r="W808" t="str">
        <f t="shared" ca="1" si="38"/>
        <v>Dormant</v>
      </c>
    </row>
    <row r="809" spans="1:23" x14ac:dyDescent="0.2">
      <c r="A809">
        <v>776</v>
      </c>
      <c r="B809" t="s">
        <v>2512</v>
      </c>
      <c r="C809" t="s">
        <v>2516</v>
      </c>
      <c r="D809" s="1" t="s">
        <v>1335</v>
      </c>
      <c r="E809" t="s">
        <v>2514</v>
      </c>
      <c r="F809" t="s">
        <v>872</v>
      </c>
      <c r="G809" s="4" t="s">
        <v>5426</v>
      </c>
      <c r="H809" t="s">
        <v>2515</v>
      </c>
      <c r="I809" t="s">
        <v>93</v>
      </c>
      <c r="J809" s="4" t="s">
        <v>5417</v>
      </c>
      <c r="K809" t="s">
        <v>2517</v>
      </c>
      <c r="L809">
        <v>4</v>
      </c>
      <c r="M809" t="s">
        <v>1319</v>
      </c>
      <c r="N809" t="s">
        <v>1319</v>
      </c>
      <c r="O809" t="s">
        <v>549</v>
      </c>
      <c r="P809" s="2" t="str">
        <f t="shared" si="36"/>
        <v>29/05/2025 to 03/06/2025</v>
      </c>
      <c r="Q809" s="3">
        <v>45808</v>
      </c>
      <c r="R809" t="str">
        <f t="shared" si="37"/>
        <v>On-Time</v>
      </c>
      <c r="S809" t="s">
        <v>55</v>
      </c>
      <c r="T809">
        <v>34</v>
      </c>
      <c r="U809" t="s">
        <v>79</v>
      </c>
      <c r="V809" t="s">
        <v>72</v>
      </c>
      <c r="W809" t="str">
        <f t="shared" ca="1" si="38"/>
        <v>Dormant</v>
      </c>
    </row>
    <row r="810" spans="1:23" x14ac:dyDescent="0.2">
      <c r="A810">
        <v>777</v>
      </c>
      <c r="B810" t="s">
        <v>2512</v>
      </c>
      <c r="C810" t="s">
        <v>2518</v>
      </c>
      <c r="D810" s="1" t="s">
        <v>1335</v>
      </c>
      <c r="E810" t="s">
        <v>2514</v>
      </c>
      <c r="F810" t="s">
        <v>872</v>
      </c>
      <c r="G810" s="4" t="s">
        <v>5422</v>
      </c>
      <c r="H810" t="s">
        <v>2515</v>
      </c>
      <c r="I810" t="s">
        <v>93</v>
      </c>
      <c r="J810" s="4" t="s">
        <v>74</v>
      </c>
      <c r="K810" t="s">
        <v>2519</v>
      </c>
      <c r="L810">
        <v>4</v>
      </c>
      <c r="M810" t="s">
        <v>1319</v>
      </c>
      <c r="N810" t="s">
        <v>549</v>
      </c>
      <c r="O810" t="s">
        <v>549</v>
      </c>
      <c r="P810" s="2" t="str">
        <f t="shared" si="36"/>
        <v>29/05/2025 to 03/06/2025</v>
      </c>
      <c r="Q810" s="3">
        <v>45807</v>
      </c>
      <c r="R810" t="str">
        <f t="shared" si="37"/>
        <v>On-Time</v>
      </c>
      <c r="S810" t="s">
        <v>55</v>
      </c>
      <c r="T810">
        <v>33</v>
      </c>
      <c r="U810" t="s">
        <v>65</v>
      </c>
      <c r="V810" t="s">
        <v>72</v>
      </c>
      <c r="W810" t="str">
        <f t="shared" ca="1" si="38"/>
        <v>Dormant</v>
      </c>
    </row>
    <row r="811" spans="1:23" x14ac:dyDescent="0.2">
      <c r="A811">
        <v>1209</v>
      </c>
      <c r="B811" t="s">
        <v>3571</v>
      </c>
      <c r="C811" t="s">
        <v>3572</v>
      </c>
      <c r="D811" s="1" t="s">
        <v>167</v>
      </c>
      <c r="E811" t="s">
        <v>3573</v>
      </c>
      <c r="F811" t="s">
        <v>490</v>
      </c>
      <c r="G811" s="4" t="s">
        <v>38</v>
      </c>
      <c r="H811" t="s">
        <v>3574</v>
      </c>
      <c r="I811" t="s">
        <v>201</v>
      </c>
      <c r="J811" s="4" t="s">
        <v>5417</v>
      </c>
      <c r="K811" t="s">
        <v>3575</v>
      </c>
      <c r="L811">
        <v>3</v>
      </c>
      <c r="M811" t="s">
        <v>167</v>
      </c>
      <c r="N811" t="s">
        <v>167</v>
      </c>
      <c r="O811" t="s">
        <v>167</v>
      </c>
      <c r="P811" s="2" t="str">
        <f t="shared" si="36"/>
        <v>30/05/2025 to 04/06/2025</v>
      </c>
      <c r="Q811" s="3">
        <v>45807</v>
      </c>
      <c r="R811" t="str">
        <f t="shared" si="37"/>
        <v>On-Time</v>
      </c>
      <c r="S811" t="s">
        <v>55</v>
      </c>
      <c r="T811">
        <v>27.5</v>
      </c>
      <c r="U811" t="s">
        <v>65</v>
      </c>
      <c r="V811" t="s">
        <v>80</v>
      </c>
      <c r="W811" t="str">
        <f t="shared" ca="1" si="38"/>
        <v>Dormant</v>
      </c>
    </row>
    <row r="812" spans="1:23" x14ac:dyDescent="0.2">
      <c r="A812">
        <v>1004</v>
      </c>
      <c r="B812" t="s">
        <v>3074</v>
      </c>
      <c r="C812" t="s">
        <v>3075</v>
      </c>
      <c r="D812" s="1" t="s">
        <v>549</v>
      </c>
      <c r="E812" t="s">
        <v>3076</v>
      </c>
      <c r="F812" t="s">
        <v>579</v>
      </c>
      <c r="G812" s="4" t="s">
        <v>38</v>
      </c>
      <c r="H812" t="s">
        <v>3077</v>
      </c>
      <c r="I812" t="s">
        <v>59</v>
      </c>
      <c r="J812" s="4" t="s">
        <v>5417</v>
      </c>
      <c r="K812" t="s">
        <v>298</v>
      </c>
      <c r="L812">
        <v>2</v>
      </c>
      <c r="M812" t="s">
        <v>164</v>
      </c>
      <c r="N812" t="s">
        <v>105</v>
      </c>
      <c r="O812" t="s">
        <v>105</v>
      </c>
      <c r="P812" s="2" t="str">
        <f t="shared" si="36"/>
        <v>03/06/2025 to 06/06/2025</v>
      </c>
      <c r="Q812" s="3">
        <v>45810</v>
      </c>
      <c r="R812" t="str">
        <f t="shared" si="37"/>
        <v>Late</v>
      </c>
      <c r="S812" t="s">
        <v>76</v>
      </c>
      <c r="T812">
        <v>20</v>
      </c>
      <c r="U812" t="s">
        <v>79</v>
      </c>
      <c r="V812" t="s">
        <v>72</v>
      </c>
      <c r="W812" t="str">
        <f t="shared" ca="1" si="38"/>
        <v>Dormant</v>
      </c>
    </row>
    <row r="813" spans="1:23" x14ac:dyDescent="0.2">
      <c r="A813">
        <v>1005</v>
      </c>
      <c r="B813" t="s">
        <v>3074</v>
      </c>
      <c r="C813" t="s">
        <v>3078</v>
      </c>
      <c r="D813" s="1" t="s">
        <v>549</v>
      </c>
      <c r="E813" t="s">
        <v>3076</v>
      </c>
      <c r="F813" t="s">
        <v>579</v>
      </c>
      <c r="G813" s="4" t="s">
        <v>5418</v>
      </c>
      <c r="H813" t="s">
        <v>3077</v>
      </c>
      <c r="I813" t="s">
        <v>59</v>
      </c>
      <c r="J813" s="4" t="s">
        <v>5417</v>
      </c>
      <c r="K813" t="s">
        <v>3079</v>
      </c>
      <c r="L813">
        <v>4</v>
      </c>
      <c r="M813" t="s">
        <v>549</v>
      </c>
      <c r="N813" t="s">
        <v>549</v>
      </c>
      <c r="O813" t="s">
        <v>549</v>
      </c>
      <c r="P813" s="2" t="str">
        <f t="shared" si="36"/>
        <v>02/06/2025 to 05/06/2025</v>
      </c>
      <c r="Q813" s="3">
        <v>45808</v>
      </c>
      <c r="R813" t="str">
        <f t="shared" si="37"/>
        <v>Late</v>
      </c>
      <c r="S813" t="s">
        <v>62</v>
      </c>
      <c r="T813">
        <v>37.5</v>
      </c>
      <c r="U813" t="s">
        <v>79</v>
      </c>
      <c r="V813" t="s">
        <v>80</v>
      </c>
      <c r="W813" t="str">
        <f t="shared" ca="1" si="38"/>
        <v>Dormant</v>
      </c>
    </row>
    <row r="814" spans="1:23" x14ac:dyDescent="0.2">
      <c r="A814">
        <v>1006</v>
      </c>
      <c r="B814" t="s">
        <v>3074</v>
      </c>
      <c r="C814" t="s">
        <v>3080</v>
      </c>
      <c r="D814" s="1" t="s">
        <v>549</v>
      </c>
      <c r="E814" t="s">
        <v>3076</v>
      </c>
      <c r="F814" t="s">
        <v>579</v>
      </c>
      <c r="G814" s="4" t="s">
        <v>5426</v>
      </c>
      <c r="H814" t="s">
        <v>3077</v>
      </c>
      <c r="I814" t="s">
        <v>59</v>
      </c>
      <c r="J814" s="4" t="s">
        <v>74</v>
      </c>
      <c r="K814" t="s">
        <v>2064</v>
      </c>
      <c r="L814">
        <v>3</v>
      </c>
      <c r="M814" t="s">
        <v>549</v>
      </c>
      <c r="N814" t="s">
        <v>89</v>
      </c>
      <c r="O814" t="s">
        <v>89</v>
      </c>
      <c r="P814" s="2" t="str">
        <f t="shared" si="36"/>
        <v>02/06/2025 to 05/06/2025</v>
      </c>
      <c r="Q814" s="3">
        <v>45809</v>
      </c>
      <c r="R814" t="str">
        <f t="shared" si="37"/>
        <v>Late</v>
      </c>
      <c r="S814" t="s">
        <v>76</v>
      </c>
      <c r="T814">
        <v>26.5</v>
      </c>
      <c r="U814" t="s">
        <v>65</v>
      </c>
      <c r="V814" t="s">
        <v>66</v>
      </c>
      <c r="W814" t="str">
        <f t="shared" ca="1" si="38"/>
        <v>Dormant</v>
      </c>
    </row>
    <row r="815" spans="1:23" x14ac:dyDescent="0.2">
      <c r="A815">
        <v>1007</v>
      </c>
      <c r="B815" t="s">
        <v>3074</v>
      </c>
      <c r="C815" t="s">
        <v>3081</v>
      </c>
      <c r="D815" s="1" t="s">
        <v>549</v>
      </c>
      <c r="E815" t="s">
        <v>3076</v>
      </c>
      <c r="F815" t="s">
        <v>579</v>
      </c>
      <c r="G815" s="4" t="s">
        <v>5426</v>
      </c>
      <c r="H815" t="s">
        <v>3077</v>
      </c>
      <c r="I815" t="s">
        <v>59</v>
      </c>
      <c r="J815" s="4" t="s">
        <v>5417</v>
      </c>
      <c r="K815" t="s">
        <v>3082</v>
      </c>
      <c r="L815">
        <v>3</v>
      </c>
      <c r="M815" t="s">
        <v>549</v>
      </c>
      <c r="N815" t="s">
        <v>164</v>
      </c>
      <c r="O815" t="s">
        <v>549</v>
      </c>
      <c r="P815" s="2" t="str">
        <f t="shared" si="36"/>
        <v>02/06/2025 to 05/06/2025</v>
      </c>
      <c r="Q815" s="3">
        <v>45812</v>
      </c>
      <c r="R815" t="str">
        <f t="shared" si="37"/>
        <v>On-Time</v>
      </c>
      <c r="S815" t="s">
        <v>97</v>
      </c>
      <c r="T815">
        <v>29</v>
      </c>
      <c r="U815" t="s">
        <v>65</v>
      </c>
      <c r="V815" t="s">
        <v>66</v>
      </c>
      <c r="W815" t="str">
        <f t="shared" ca="1" si="38"/>
        <v>Dormant</v>
      </c>
    </row>
    <row r="816" spans="1:23" x14ac:dyDescent="0.2">
      <c r="A816">
        <v>1008</v>
      </c>
      <c r="B816" t="s">
        <v>3074</v>
      </c>
      <c r="C816" t="s">
        <v>3083</v>
      </c>
      <c r="D816" s="1" t="s">
        <v>549</v>
      </c>
      <c r="E816" t="s">
        <v>3076</v>
      </c>
      <c r="F816" t="s">
        <v>579</v>
      </c>
      <c r="G816" s="4" t="s">
        <v>5426</v>
      </c>
      <c r="H816" t="s">
        <v>3077</v>
      </c>
      <c r="I816" t="s">
        <v>59</v>
      </c>
      <c r="J816" s="4" t="s">
        <v>5417</v>
      </c>
      <c r="K816" t="s">
        <v>3084</v>
      </c>
      <c r="L816">
        <v>4</v>
      </c>
      <c r="M816" t="s">
        <v>89</v>
      </c>
      <c r="N816" t="s">
        <v>89</v>
      </c>
      <c r="O816" t="s">
        <v>105</v>
      </c>
      <c r="P816" s="2" t="str">
        <f t="shared" si="36"/>
        <v>03/06/2025 to 06/06/2025</v>
      </c>
      <c r="Q816" s="3">
        <v>45810</v>
      </c>
      <c r="R816" t="str">
        <f t="shared" si="37"/>
        <v>Late</v>
      </c>
      <c r="S816" t="s">
        <v>70</v>
      </c>
      <c r="T816">
        <v>37</v>
      </c>
      <c r="U816" t="s">
        <v>65</v>
      </c>
      <c r="V816" t="s">
        <v>72</v>
      </c>
      <c r="W816" t="str">
        <f t="shared" ca="1" si="38"/>
        <v>Dormant</v>
      </c>
    </row>
    <row r="817" spans="1:23" x14ac:dyDescent="0.2">
      <c r="A817">
        <v>26</v>
      </c>
      <c r="B817" t="s">
        <v>196</v>
      </c>
      <c r="C817" t="s">
        <v>197</v>
      </c>
      <c r="D817" s="1" t="s">
        <v>164</v>
      </c>
      <c r="E817" t="s">
        <v>198</v>
      </c>
      <c r="F817" t="s">
        <v>199</v>
      </c>
      <c r="G817" s="4" t="s">
        <v>5421</v>
      </c>
      <c r="H817" t="s">
        <v>200</v>
      </c>
      <c r="I817" t="s">
        <v>201</v>
      </c>
      <c r="J817" s="4" t="s">
        <v>74</v>
      </c>
      <c r="K817" t="s">
        <v>202</v>
      </c>
      <c r="L817">
        <v>2</v>
      </c>
      <c r="M817" t="s">
        <v>89</v>
      </c>
      <c r="N817" t="s">
        <v>105</v>
      </c>
      <c r="O817" t="s">
        <v>105</v>
      </c>
      <c r="P817" s="2" t="str">
        <f t="shared" si="36"/>
        <v>03/06/2025 to 06/06/2025</v>
      </c>
      <c r="Q817" s="3">
        <v>45811</v>
      </c>
      <c r="R817" t="str">
        <f t="shared" si="37"/>
        <v>On-Time</v>
      </c>
      <c r="S817" t="s">
        <v>70</v>
      </c>
      <c r="T817">
        <v>18.5</v>
      </c>
      <c r="U817" t="s">
        <v>79</v>
      </c>
      <c r="V817" t="s">
        <v>72</v>
      </c>
      <c r="W817" t="str">
        <f t="shared" ca="1" si="38"/>
        <v>Dormant</v>
      </c>
    </row>
    <row r="818" spans="1:23" x14ac:dyDescent="0.2">
      <c r="A818">
        <v>27</v>
      </c>
      <c r="B818" t="s">
        <v>196</v>
      </c>
      <c r="C818" t="s">
        <v>203</v>
      </c>
      <c r="D818" s="1" t="s">
        <v>164</v>
      </c>
      <c r="E818" t="s">
        <v>198</v>
      </c>
      <c r="F818" t="s">
        <v>199</v>
      </c>
      <c r="G818" s="4" t="s">
        <v>5423</v>
      </c>
      <c r="H818" t="s">
        <v>200</v>
      </c>
      <c r="I818" t="s">
        <v>201</v>
      </c>
      <c r="J818" s="4" t="s">
        <v>60</v>
      </c>
      <c r="K818" t="s">
        <v>204</v>
      </c>
      <c r="L818">
        <v>2</v>
      </c>
      <c r="M818" t="s">
        <v>164</v>
      </c>
      <c r="N818" t="s">
        <v>105</v>
      </c>
      <c r="O818" t="s">
        <v>89</v>
      </c>
      <c r="P818" s="2" t="str">
        <f t="shared" si="36"/>
        <v>03/06/2025 to 06/06/2025</v>
      </c>
      <c r="Q818" s="3">
        <v>45812</v>
      </c>
      <c r="R818" t="str">
        <f t="shared" si="37"/>
        <v>On-Time</v>
      </c>
      <c r="S818" t="s">
        <v>101</v>
      </c>
      <c r="T818">
        <v>20</v>
      </c>
      <c r="U818" t="s">
        <v>65</v>
      </c>
      <c r="V818" t="s">
        <v>80</v>
      </c>
      <c r="W818" t="str">
        <f t="shared" ca="1" si="38"/>
        <v>Dormant</v>
      </c>
    </row>
    <row r="819" spans="1:23" x14ac:dyDescent="0.2">
      <c r="A819">
        <v>54</v>
      </c>
      <c r="B819" t="s">
        <v>332</v>
      </c>
      <c r="C819" t="s">
        <v>333</v>
      </c>
      <c r="D819" s="1" t="s">
        <v>164</v>
      </c>
      <c r="E819" t="s">
        <v>334</v>
      </c>
      <c r="F819" t="s">
        <v>335</v>
      </c>
      <c r="G819" s="4" t="s">
        <v>38</v>
      </c>
      <c r="H819" t="s">
        <v>336</v>
      </c>
      <c r="I819" t="s">
        <v>112</v>
      </c>
      <c r="J819" s="4" t="s">
        <v>68</v>
      </c>
      <c r="K819" t="s">
        <v>337</v>
      </c>
      <c r="L819">
        <v>4</v>
      </c>
      <c r="M819" t="s">
        <v>89</v>
      </c>
      <c r="N819" t="s">
        <v>95</v>
      </c>
      <c r="O819" t="s">
        <v>89</v>
      </c>
      <c r="P819" s="2" t="str">
        <f t="shared" si="36"/>
        <v>03/06/2025 to 06/06/2025</v>
      </c>
      <c r="Q819" s="3">
        <v>45810</v>
      </c>
      <c r="R819" t="str">
        <f t="shared" si="37"/>
        <v>Late</v>
      </c>
      <c r="S819" t="s">
        <v>62</v>
      </c>
      <c r="T819">
        <v>37</v>
      </c>
      <c r="U819" t="s">
        <v>65</v>
      </c>
      <c r="V819" t="s">
        <v>80</v>
      </c>
      <c r="W819" t="str">
        <f t="shared" ca="1" si="38"/>
        <v>Dormant</v>
      </c>
    </row>
    <row r="820" spans="1:23" x14ac:dyDescent="0.2">
      <c r="A820">
        <v>55</v>
      </c>
      <c r="B820" t="s">
        <v>332</v>
      </c>
      <c r="C820" t="s">
        <v>338</v>
      </c>
      <c r="D820" s="1" t="s">
        <v>164</v>
      </c>
      <c r="E820" t="s">
        <v>334</v>
      </c>
      <c r="F820" t="s">
        <v>335</v>
      </c>
      <c r="G820" s="4" t="s">
        <v>5420</v>
      </c>
      <c r="H820" t="s">
        <v>336</v>
      </c>
      <c r="I820" t="s">
        <v>112</v>
      </c>
      <c r="J820" s="4" t="s">
        <v>5417</v>
      </c>
      <c r="K820" t="s">
        <v>339</v>
      </c>
      <c r="L820">
        <v>3</v>
      </c>
      <c r="M820" t="s">
        <v>164</v>
      </c>
      <c r="N820" t="s">
        <v>89</v>
      </c>
      <c r="O820" t="s">
        <v>164</v>
      </c>
      <c r="P820" s="2" t="str">
        <f t="shared" si="36"/>
        <v>03/06/2025 to 06/06/2025</v>
      </c>
      <c r="Q820" s="3">
        <v>45813</v>
      </c>
      <c r="R820" t="str">
        <f t="shared" si="37"/>
        <v>On-Time</v>
      </c>
      <c r="S820" t="s">
        <v>97</v>
      </c>
      <c r="T820">
        <v>30.5</v>
      </c>
      <c r="U820" t="s">
        <v>79</v>
      </c>
      <c r="V820" t="s">
        <v>66</v>
      </c>
      <c r="W820" t="str">
        <f t="shared" ca="1" si="38"/>
        <v>Dormant</v>
      </c>
    </row>
    <row r="821" spans="1:23" x14ac:dyDescent="0.2">
      <c r="A821">
        <v>56</v>
      </c>
      <c r="B821" t="s">
        <v>332</v>
      </c>
      <c r="C821" t="s">
        <v>340</v>
      </c>
      <c r="D821" s="1" t="s">
        <v>164</v>
      </c>
      <c r="E821" t="s">
        <v>334</v>
      </c>
      <c r="F821" t="s">
        <v>335</v>
      </c>
      <c r="G821" s="4" t="s">
        <v>5426</v>
      </c>
      <c r="H821" t="s">
        <v>336</v>
      </c>
      <c r="I821" t="s">
        <v>112</v>
      </c>
      <c r="J821" s="4" t="s">
        <v>74</v>
      </c>
      <c r="K821" t="s">
        <v>341</v>
      </c>
      <c r="L821">
        <v>4</v>
      </c>
      <c r="M821" t="s">
        <v>89</v>
      </c>
      <c r="N821" t="s">
        <v>89</v>
      </c>
      <c r="O821" t="s">
        <v>95</v>
      </c>
      <c r="P821" s="2" t="str">
        <f t="shared" si="36"/>
        <v>03/06/2025 to 06/06/2025</v>
      </c>
      <c r="Q821" s="3">
        <v>45814</v>
      </c>
      <c r="R821" t="str">
        <f t="shared" si="37"/>
        <v>On-Time</v>
      </c>
      <c r="S821" t="s">
        <v>98</v>
      </c>
      <c r="T821">
        <v>39</v>
      </c>
      <c r="U821" t="s">
        <v>79</v>
      </c>
      <c r="V821" t="s">
        <v>66</v>
      </c>
      <c r="W821" t="str">
        <f t="shared" ca="1" si="38"/>
        <v>Dormant</v>
      </c>
    </row>
    <row r="822" spans="1:23" x14ac:dyDescent="0.2">
      <c r="A822">
        <v>1465</v>
      </c>
      <c r="B822" t="s">
        <v>4182</v>
      </c>
      <c r="C822" t="s">
        <v>4183</v>
      </c>
      <c r="D822" s="1" t="s">
        <v>164</v>
      </c>
      <c r="E822" t="s">
        <v>4184</v>
      </c>
      <c r="F822" t="s">
        <v>406</v>
      </c>
      <c r="G822" s="4" t="s">
        <v>5424</v>
      </c>
      <c r="H822" t="s">
        <v>4185</v>
      </c>
      <c r="I822" t="s">
        <v>59</v>
      </c>
      <c r="J822" s="4" t="s">
        <v>74</v>
      </c>
      <c r="K822" t="s">
        <v>4186</v>
      </c>
      <c r="L822">
        <v>3</v>
      </c>
      <c r="M822" t="s">
        <v>105</v>
      </c>
      <c r="N822" t="s">
        <v>95</v>
      </c>
      <c r="O822" t="s">
        <v>96</v>
      </c>
      <c r="P822" s="2" t="str">
        <f t="shared" si="36"/>
        <v>03/06/2025 to 06/06/2025</v>
      </c>
      <c r="Q822" s="3">
        <v>45814</v>
      </c>
      <c r="R822" t="str">
        <f t="shared" si="37"/>
        <v>On-Time</v>
      </c>
      <c r="S822" t="s">
        <v>101</v>
      </c>
      <c r="T822">
        <v>27</v>
      </c>
      <c r="U822" t="s">
        <v>65</v>
      </c>
      <c r="V822" t="s">
        <v>80</v>
      </c>
      <c r="W822" t="str">
        <f t="shared" ca="1" si="38"/>
        <v>Dormant</v>
      </c>
    </row>
    <row r="823" spans="1:23" x14ac:dyDescent="0.2">
      <c r="A823">
        <v>1466</v>
      </c>
      <c r="B823" t="s">
        <v>4182</v>
      </c>
      <c r="C823" t="s">
        <v>4187</v>
      </c>
      <c r="D823" s="1" t="s">
        <v>164</v>
      </c>
      <c r="E823" t="s">
        <v>4184</v>
      </c>
      <c r="F823" t="s">
        <v>406</v>
      </c>
      <c r="G823" s="4" t="s">
        <v>5427</v>
      </c>
      <c r="H823" t="s">
        <v>4185</v>
      </c>
      <c r="I823" t="s">
        <v>59</v>
      </c>
      <c r="J823" s="4" t="s">
        <v>74</v>
      </c>
      <c r="K823" t="s">
        <v>32</v>
      </c>
      <c r="L823">
        <v>1</v>
      </c>
      <c r="M823" t="s">
        <v>105</v>
      </c>
      <c r="N823" t="s">
        <v>96</v>
      </c>
      <c r="O823" t="s">
        <v>96</v>
      </c>
      <c r="P823" s="2" t="str">
        <f t="shared" si="36"/>
        <v>03/06/2025 to 06/06/2025</v>
      </c>
      <c r="Q823" s="3">
        <v>45811</v>
      </c>
      <c r="R823" t="str">
        <f t="shared" si="37"/>
        <v>On-Time</v>
      </c>
      <c r="S823" t="s">
        <v>76</v>
      </c>
      <c r="T823">
        <v>14</v>
      </c>
      <c r="U823" t="s">
        <v>65</v>
      </c>
      <c r="V823" t="s">
        <v>66</v>
      </c>
      <c r="W823" t="str">
        <f t="shared" ca="1" si="38"/>
        <v>Dormant</v>
      </c>
    </row>
    <row r="824" spans="1:23" x14ac:dyDescent="0.2">
      <c r="A824">
        <v>6</v>
      </c>
      <c r="B824" t="s">
        <v>87</v>
      </c>
      <c r="C824" t="s">
        <v>88</v>
      </c>
      <c r="D824" s="1" t="s">
        <v>89</v>
      </c>
      <c r="E824" t="s">
        <v>90</v>
      </c>
      <c r="F824" t="s">
        <v>91</v>
      </c>
      <c r="G824" s="4" t="s">
        <v>5419</v>
      </c>
      <c r="H824" t="s">
        <v>92</v>
      </c>
      <c r="I824" t="s">
        <v>93</v>
      </c>
      <c r="J824" s="4" t="s">
        <v>5417</v>
      </c>
      <c r="K824" t="s">
        <v>94</v>
      </c>
      <c r="L824">
        <v>2</v>
      </c>
      <c r="M824" t="s">
        <v>95</v>
      </c>
      <c r="N824" t="s">
        <v>96</v>
      </c>
      <c r="O824" t="s">
        <v>96</v>
      </c>
      <c r="P824" s="2" t="str">
        <f t="shared" si="36"/>
        <v>04/06/2025 to 09/06/2025</v>
      </c>
      <c r="Q824" s="3">
        <v>45813</v>
      </c>
      <c r="R824" t="str">
        <f t="shared" si="37"/>
        <v>On-Time</v>
      </c>
      <c r="S824" t="s">
        <v>98</v>
      </c>
      <c r="T824">
        <v>20</v>
      </c>
      <c r="U824" t="s">
        <v>79</v>
      </c>
      <c r="V824" t="s">
        <v>66</v>
      </c>
      <c r="W824" t="str">
        <f t="shared" ca="1" si="38"/>
        <v>Dormant</v>
      </c>
    </row>
    <row r="825" spans="1:23" x14ac:dyDescent="0.2">
      <c r="A825">
        <v>7</v>
      </c>
      <c r="B825" t="s">
        <v>87</v>
      </c>
      <c r="C825" t="s">
        <v>99</v>
      </c>
      <c r="D825" s="1" t="s">
        <v>89</v>
      </c>
      <c r="E825" t="s">
        <v>90</v>
      </c>
      <c r="F825" t="s">
        <v>91</v>
      </c>
      <c r="G825" s="4" t="s">
        <v>5420</v>
      </c>
      <c r="H825" t="s">
        <v>92</v>
      </c>
      <c r="I825" t="s">
        <v>93</v>
      </c>
      <c r="J825" s="4" t="s">
        <v>60</v>
      </c>
      <c r="K825" t="s">
        <v>32</v>
      </c>
      <c r="L825">
        <v>1</v>
      </c>
      <c r="M825" t="s">
        <v>95</v>
      </c>
      <c r="N825" t="s">
        <v>100</v>
      </c>
      <c r="O825" t="s">
        <v>96</v>
      </c>
      <c r="P825" s="2" t="str">
        <f t="shared" si="36"/>
        <v>04/06/2025 to 09/06/2025</v>
      </c>
      <c r="Q825" s="3">
        <v>45814</v>
      </c>
      <c r="R825" t="str">
        <f t="shared" si="37"/>
        <v>On-Time</v>
      </c>
      <c r="S825" t="s">
        <v>102</v>
      </c>
      <c r="T825">
        <v>14</v>
      </c>
      <c r="U825" t="s">
        <v>79</v>
      </c>
      <c r="V825" t="s">
        <v>80</v>
      </c>
      <c r="W825" t="str">
        <f t="shared" ca="1" si="38"/>
        <v>Dormant</v>
      </c>
    </row>
    <row r="826" spans="1:23" x14ac:dyDescent="0.2">
      <c r="A826">
        <v>8</v>
      </c>
      <c r="B826" t="s">
        <v>87</v>
      </c>
      <c r="C826" t="s">
        <v>103</v>
      </c>
      <c r="D826" s="1" t="s">
        <v>89</v>
      </c>
      <c r="E826" t="s">
        <v>90</v>
      </c>
      <c r="F826" t="s">
        <v>91</v>
      </c>
      <c r="G826" s="4" t="s">
        <v>5426</v>
      </c>
      <c r="H826" t="s">
        <v>92</v>
      </c>
      <c r="I826" t="s">
        <v>93</v>
      </c>
      <c r="J826" s="4" t="s">
        <v>74</v>
      </c>
      <c r="K826" t="s">
        <v>104</v>
      </c>
      <c r="L826">
        <v>3</v>
      </c>
      <c r="M826" t="s">
        <v>105</v>
      </c>
      <c r="N826" t="s">
        <v>105</v>
      </c>
      <c r="O826" t="s">
        <v>105</v>
      </c>
      <c r="P826" s="2" t="str">
        <f t="shared" si="36"/>
        <v>03/06/2025 to 06/06/2025</v>
      </c>
      <c r="Q826" s="3">
        <v>45815</v>
      </c>
      <c r="R826" t="str">
        <f t="shared" si="37"/>
        <v>Late</v>
      </c>
      <c r="S826" t="s">
        <v>102</v>
      </c>
      <c r="T826">
        <v>26.5</v>
      </c>
      <c r="U826" t="s">
        <v>65</v>
      </c>
      <c r="V826" t="s">
        <v>72</v>
      </c>
      <c r="W826" t="str">
        <f t="shared" ca="1" si="38"/>
        <v>Dormant</v>
      </c>
    </row>
    <row r="827" spans="1:23" x14ac:dyDescent="0.2">
      <c r="A827">
        <v>258</v>
      </c>
      <c r="B827" t="s">
        <v>1130</v>
      </c>
      <c r="C827" t="s">
        <v>1131</v>
      </c>
      <c r="D827" s="1" t="s">
        <v>89</v>
      </c>
      <c r="E827" t="s">
        <v>1132</v>
      </c>
      <c r="F827" t="s">
        <v>1077</v>
      </c>
      <c r="G827" s="4" t="s">
        <v>5422</v>
      </c>
      <c r="H827" t="s">
        <v>1133</v>
      </c>
      <c r="I827" t="s">
        <v>59</v>
      </c>
      <c r="J827" s="4" t="s">
        <v>74</v>
      </c>
      <c r="K827" t="s">
        <v>1134</v>
      </c>
      <c r="L827">
        <v>2</v>
      </c>
      <c r="M827" t="s">
        <v>95</v>
      </c>
      <c r="N827" t="s">
        <v>95</v>
      </c>
      <c r="O827" t="s">
        <v>96</v>
      </c>
      <c r="P827" s="2" t="str">
        <f t="shared" si="36"/>
        <v>04/06/2025 to 09/06/2025</v>
      </c>
      <c r="Q827" s="3">
        <v>45812</v>
      </c>
      <c r="R827" t="str">
        <f t="shared" si="37"/>
        <v>On-Time</v>
      </c>
      <c r="S827" t="s">
        <v>101</v>
      </c>
      <c r="T827">
        <v>18.5</v>
      </c>
      <c r="U827" t="s">
        <v>65</v>
      </c>
      <c r="V827" t="s">
        <v>66</v>
      </c>
      <c r="W827" t="str">
        <f t="shared" ca="1" si="38"/>
        <v>Dormant</v>
      </c>
    </row>
    <row r="828" spans="1:23" x14ac:dyDescent="0.2">
      <c r="A828">
        <v>1308</v>
      </c>
      <c r="B828" t="s">
        <v>3797</v>
      </c>
      <c r="C828" t="s">
        <v>3798</v>
      </c>
      <c r="D828" s="1" t="s">
        <v>105</v>
      </c>
      <c r="E828" t="s">
        <v>3799</v>
      </c>
      <c r="F828" t="s">
        <v>110</v>
      </c>
      <c r="G828" s="4" t="s">
        <v>5424</v>
      </c>
      <c r="H828" t="s">
        <v>3254</v>
      </c>
      <c r="I828" t="s">
        <v>136</v>
      </c>
      <c r="J828" s="4" t="s">
        <v>74</v>
      </c>
      <c r="K828" t="s">
        <v>3800</v>
      </c>
      <c r="L828">
        <v>4</v>
      </c>
      <c r="M828" t="s">
        <v>105</v>
      </c>
      <c r="N828" t="s">
        <v>105</v>
      </c>
      <c r="O828" t="s">
        <v>105</v>
      </c>
      <c r="P828" s="2" t="str">
        <f t="shared" si="36"/>
        <v>03/06/2025 to 06/06/2025</v>
      </c>
      <c r="Q828" s="3">
        <v>45814</v>
      </c>
      <c r="R828" t="str">
        <f t="shared" si="37"/>
        <v>On-Time</v>
      </c>
      <c r="S828" t="s">
        <v>102</v>
      </c>
      <c r="T828">
        <v>41.5</v>
      </c>
      <c r="U828" t="s">
        <v>79</v>
      </c>
      <c r="V828" t="s">
        <v>80</v>
      </c>
      <c r="W828" t="str">
        <f t="shared" ca="1" si="38"/>
        <v>Dormant</v>
      </c>
    </row>
    <row r="829" spans="1:23" x14ac:dyDescent="0.2">
      <c r="A829">
        <v>1309</v>
      </c>
      <c r="B829" t="s">
        <v>3797</v>
      </c>
      <c r="C829" t="s">
        <v>3801</v>
      </c>
      <c r="D829" s="1" t="s">
        <v>105</v>
      </c>
      <c r="E829" t="s">
        <v>3799</v>
      </c>
      <c r="F829" t="s">
        <v>110</v>
      </c>
      <c r="G829" s="4" t="s">
        <v>5423</v>
      </c>
      <c r="H829" t="s">
        <v>3254</v>
      </c>
      <c r="I829" t="s">
        <v>136</v>
      </c>
      <c r="J829" s="4" t="s">
        <v>5417</v>
      </c>
      <c r="K829" t="s">
        <v>8</v>
      </c>
      <c r="L829">
        <v>1</v>
      </c>
      <c r="M829" t="s">
        <v>105</v>
      </c>
      <c r="N829" t="s">
        <v>105</v>
      </c>
      <c r="O829" t="s">
        <v>105</v>
      </c>
      <c r="P829" s="2" t="str">
        <f t="shared" si="36"/>
        <v>03/06/2025 to 06/06/2025</v>
      </c>
      <c r="Q829" s="3">
        <v>45809</v>
      </c>
      <c r="R829" t="str">
        <f t="shared" si="37"/>
        <v>Late</v>
      </c>
      <c r="S829" t="s">
        <v>85</v>
      </c>
      <c r="T829">
        <v>9</v>
      </c>
      <c r="U829" t="s">
        <v>65</v>
      </c>
      <c r="V829" t="s">
        <v>66</v>
      </c>
      <c r="W829" t="str">
        <f t="shared" ca="1" si="38"/>
        <v>Dormant</v>
      </c>
    </row>
    <row r="830" spans="1:23" x14ac:dyDescent="0.2">
      <c r="A830">
        <v>1310</v>
      </c>
      <c r="B830" t="s">
        <v>3797</v>
      </c>
      <c r="C830" t="s">
        <v>3802</v>
      </c>
      <c r="D830" s="1" t="s">
        <v>105</v>
      </c>
      <c r="E830" t="s">
        <v>3799</v>
      </c>
      <c r="F830" t="s">
        <v>110</v>
      </c>
      <c r="G830" s="4" t="s">
        <v>5421</v>
      </c>
      <c r="H830" t="s">
        <v>3254</v>
      </c>
      <c r="I830" t="s">
        <v>136</v>
      </c>
      <c r="J830" s="4" t="s">
        <v>60</v>
      </c>
      <c r="K830" t="s">
        <v>730</v>
      </c>
      <c r="L830">
        <v>2</v>
      </c>
      <c r="M830" t="s">
        <v>105</v>
      </c>
      <c r="N830" t="s">
        <v>95</v>
      </c>
      <c r="O830" t="s">
        <v>95</v>
      </c>
      <c r="P830" s="2" t="str">
        <f t="shared" si="36"/>
        <v>03/06/2025 to 06/06/2025</v>
      </c>
      <c r="Q830" s="3">
        <v>45813</v>
      </c>
      <c r="R830" t="str">
        <f t="shared" si="37"/>
        <v>On-Time</v>
      </c>
      <c r="S830" t="s">
        <v>97</v>
      </c>
      <c r="T830">
        <v>17.5</v>
      </c>
      <c r="U830" t="s">
        <v>65</v>
      </c>
      <c r="V830" t="s">
        <v>72</v>
      </c>
      <c r="W830" t="str">
        <f t="shared" ca="1" si="38"/>
        <v>Dormant</v>
      </c>
    </row>
    <row r="831" spans="1:23" x14ac:dyDescent="0.2">
      <c r="A831">
        <v>1311</v>
      </c>
      <c r="B831" t="s">
        <v>3797</v>
      </c>
      <c r="C831" t="s">
        <v>3803</v>
      </c>
      <c r="D831" s="1" t="s">
        <v>105</v>
      </c>
      <c r="E831" t="s">
        <v>3799</v>
      </c>
      <c r="F831" t="s">
        <v>110</v>
      </c>
      <c r="G831" s="4" t="s">
        <v>5418</v>
      </c>
      <c r="H831" t="s">
        <v>3254</v>
      </c>
      <c r="I831" t="s">
        <v>136</v>
      </c>
      <c r="J831" s="4" t="s">
        <v>5417</v>
      </c>
      <c r="K831" t="s">
        <v>6</v>
      </c>
      <c r="L831">
        <v>1</v>
      </c>
      <c r="M831" t="s">
        <v>95</v>
      </c>
      <c r="N831" t="s">
        <v>100</v>
      </c>
      <c r="O831" t="s">
        <v>100</v>
      </c>
      <c r="P831" s="2" t="str">
        <f t="shared" si="36"/>
        <v>04/06/2025 to 09/06/2025</v>
      </c>
      <c r="Q831" s="3">
        <v>45814</v>
      </c>
      <c r="R831" t="str">
        <f t="shared" si="37"/>
        <v>On-Time</v>
      </c>
      <c r="S831" t="s">
        <v>102</v>
      </c>
      <c r="T831">
        <v>7.5</v>
      </c>
      <c r="U831" t="s">
        <v>79</v>
      </c>
      <c r="V831" t="s">
        <v>80</v>
      </c>
      <c r="W831" t="str">
        <f t="shared" ca="1" si="38"/>
        <v>Dormant</v>
      </c>
    </row>
    <row r="832" spans="1:23" x14ac:dyDescent="0.2">
      <c r="A832">
        <v>1312</v>
      </c>
      <c r="B832" t="s">
        <v>3797</v>
      </c>
      <c r="C832" t="s">
        <v>3804</v>
      </c>
      <c r="D832" s="1" t="s">
        <v>105</v>
      </c>
      <c r="E832" t="s">
        <v>3799</v>
      </c>
      <c r="F832" t="s">
        <v>110</v>
      </c>
      <c r="G832" s="4" t="s">
        <v>5419</v>
      </c>
      <c r="H832" t="s">
        <v>3254</v>
      </c>
      <c r="I832" t="s">
        <v>136</v>
      </c>
      <c r="J832" s="4" t="s">
        <v>74</v>
      </c>
      <c r="K832" t="s">
        <v>3805</v>
      </c>
      <c r="L832">
        <v>3</v>
      </c>
      <c r="M832" t="s">
        <v>95</v>
      </c>
      <c r="N832" t="s">
        <v>96</v>
      </c>
      <c r="O832" t="s">
        <v>95</v>
      </c>
      <c r="P832" s="2" t="str">
        <f t="shared" si="36"/>
        <v>04/06/2025 to 09/06/2025</v>
      </c>
      <c r="Q832" s="3">
        <v>45810</v>
      </c>
      <c r="R832" t="str">
        <f t="shared" si="37"/>
        <v>Late</v>
      </c>
      <c r="S832" t="s">
        <v>62</v>
      </c>
      <c r="T832">
        <v>28</v>
      </c>
      <c r="U832" t="s">
        <v>65</v>
      </c>
      <c r="V832" t="s">
        <v>80</v>
      </c>
      <c r="W832" t="str">
        <f t="shared" ca="1" si="38"/>
        <v>Dormant</v>
      </c>
    </row>
    <row r="833" spans="1:23" x14ac:dyDescent="0.2">
      <c r="A833">
        <v>578</v>
      </c>
      <c r="B833" t="s">
        <v>2027</v>
      </c>
      <c r="C833" t="s">
        <v>2028</v>
      </c>
      <c r="D833" s="1" t="s">
        <v>95</v>
      </c>
      <c r="E833" t="s">
        <v>2029</v>
      </c>
      <c r="F833" t="s">
        <v>741</v>
      </c>
      <c r="G833" s="4" t="s">
        <v>5424</v>
      </c>
      <c r="H833" t="s">
        <v>1602</v>
      </c>
      <c r="I833" t="s">
        <v>136</v>
      </c>
      <c r="J833" s="4" t="s">
        <v>68</v>
      </c>
      <c r="K833" t="s">
        <v>2030</v>
      </c>
      <c r="L833">
        <v>2</v>
      </c>
      <c r="M833" t="s">
        <v>96</v>
      </c>
      <c r="N833" t="s">
        <v>100</v>
      </c>
      <c r="O833" t="s">
        <v>100</v>
      </c>
      <c r="P833" s="2" t="str">
        <f t="shared" si="36"/>
        <v>05/06/2025 to 10/06/2025</v>
      </c>
      <c r="Q833" s="3">
        <v>45813</v>
      </c>
      <c r="R833" t="str">
        <f t="shared" si="37"/>
        <v>On-Time</v>
      </c>
      <c r="S833" t="s">
        <v>97</v>
      </c>
      <c r="T833">
        <v>16.5</v>
      </c>
      <c r="U833" t="s">
        <v>65</v>
      </c>
      <c r="V833" t="s">
        <v>66</v>
      </c>
      <c r="W833" t="str">
        <f t="shared" ca="1" si="38"/>
        <v>Dormant</v>
      </c>
    </row>
    <row r="834" spans="1:23" x14ac:dyDescent="0.2">
      <c r="A834">
        <v>579</v>
      </c>
      <c r="B834" t="s">
        <v>2027</v>
      </c>
      <c r="C834" t="s">
        <v>2031</v>
      </c>
      <c r="D834" s="1" t="s">
        <v>95</v>
      </c>
      <c r="E834" t="s">
        <v>2029</v>
      </c>
      <c r="F834" t="s">
        <v>741</v>
      </c>
      <c r="G834" s="4" t="s">
        <v>5425</v>
      </c>
      <c r="H834" t="s">
        <v>1602</v>
      </c>
      <c r="I834" t="s">
        <v>136</v>
      </c>
      <c r="J834" s="4" t="s">
        <v>5417</v>
      </c>
      <c r="K834" t="s">
        <v>2032</v>
      </c>
      <c r="L834">
        <v>2</v>
      </c>
      <c r="M834" t="s">
        <v>95</v>
      </c>
      <c r="N834" t="s">
        <v>100</v>
      </c>
      <c r="O834" t="s">
        <v>100</v>
      </c>
      <c r="P834" s="2" t="str">
        <f t="shared" ref="P834:P897" si="39">IF(ISBLANK(M834), "", TEXT(WORKDAY(M834, 7), "dd/mm/yyyy") &amp; " to " &amp; TEXT(WORKDAY(M834, 10), "dd/mm/yyyy"))</f>
        <v>04/06/2025 to 09/06/2025</v>
      </c>
      <c r="Q834" s="3">
        <v>45816</v>
      </c>
      <c r="R834" t="str">
        <f t="shared" ref="R834:R897" si="40">IF(Q834="","In Progress",
IF(AND(--Q834&gt;=DATEVALUE(LEFT(P834,10)),
       --Q834&lt;=DATEVALUE(TRIM(MID(P834,FIND("to",P834)+3,10)))),
   "On-Time","Late"))</f>
        <v>On-Time</v>
      </c>
      <c r="S834" t="s">
        <v>102</v>
      </c>
      <c r="T834">
        <v>18</v>
      </c>
      <c r="U834" t="s">
        <v>79</v>
      </c>
      <c r="V834" t="s">
        <v>80</v>
      </c>
      <c r="W834" t="str">
        <f t="shared" ca="1" si="38"/>
        <v>Dormant</v>
      </c>
    </row>
    <row r="835" spans="1:23" x14ac:dyDescent="0.2">
      <c r="A835">
        <v>1265</v>
      </c>
      <c r="B835" t="s">
        <v>3696</v>
      </c>
      <c r="C835" t="s">
        <v>3697</v>
      </c>
      <c r="D835" s="1" t="s">
        <v>96</v>
      </c>
      <c r="E835" t="s">
        <v>3698</v>
      </c>
      <c r="F835" t="s">
        <v>881</v>
      </c>
      <c r="G835" s="4" t="s">
        <v>5426</v>
      </c>
      <c r="H835" t="s">
        <v>3699</v>
      </c>
      <c r="I835" t="s">
        <v>201</v>
      </c>
      <c r="J835" s="4" t="s">
        <v>74</v>
      </c>
      <c r="K835" t="s">
        <v>3700</v>
      </c>
      <c r="L835">
        <v>4</v>
      </c>
      <c r="M835" t="s">
        <v>100</v>
      </c>
      <c r="N835" t="s">
        <v>100</v>
      </c>
      <c r="O835" t="s">
        <v>100</v>
      </c>
      <c r="P835" s="2" t="str">
        <f t="shared" si="39"/>
        <v>06/06/2025 to 11/06/2025</v>
      </c>
      <c r="Q835" s="3">
        <v>45813</v>
      </c>
      <c r="R835" t="str">
        <f t="shared" si="40"/>
        <v>Late</v>
      </c>
      <c r="S835" t="s">
        <v>98</v>
      </c>
      <c r="T835">
        <v>39</v>
      </c>
      <c r="U835" t="s">
        <v>79</v>
      </c>
      <c r="V835" t="s">
        <v>72</v>
      </c>
      <c r="W835" t="str">
        <f t="shared" ref="W835:W898" ca="1" si="41">IF(D835="","",
IF(TODAY()-D835&lt;=120,"Active",
IF(TODAY()-D835&lt;=210,"At Risk",
IF(TODAY()-D835&lt;=395,"Dormant",
IF(TODAY()-D835&lt;=730,"Inactive","Archived")))))</f>
        <v>Dormant</v>
      </c>
    </row>
    <row r="836" spans="1:23" x14ac:dyDescent="0.2">
      <c r="A836">
        <v>1266</v>
      </c>
      <c r="B836" t="s">
        <v>3696</v>
      </c>
      <c r="C836" t="s">
        <v>3701</v>
      </c>
      <c r="D836" s="1" t="s">
        <v>96</v>
      </c>
      <c r="E836" t="s">
        <v>3698</v>
      </c>
      <c r="F836" t="s">
        <v>881</v>
      </c>
      <c r="G836" s="4" t="s">
        <v>5424</v>
      </c>
      <c r="H836" t="s">
        <v>3699</v>
      </c>
      <c r="I836" t="s">
        <v>201</v>
      </c>
      <c r="J836" s="4" t="s">
        <v>60</v>
      </c>
      <c r="K836" t="s">
        <v>3702</v>
      </c>
      <c r="L836">
        <v>4</v>
      </c>
      <c r="M836" t="s">
        <v>983</v>
      </c>
      <c r="N836" t="s">
        <v>983</v>
      </c>
      <c r="O836" t="s">
        <v>983</v>
      </c>
      <c r="P836" s="2" t="str">
        <f t="shared" si="39"/>
        <v>09/06/2025 to 12/06/2025</v>
      </c>
      <c r="Q836" s="3">
        <v>45815</v>
      </c>
      <c r="R836" t="str">
        <f t="shared" si="40"/>
        <v>Late</v>
      </c>
      <c r="S836" t="s">
        <v>1122</v>
      </c>
      <c r="T836">
        <v>46</v>
      </c>
      <c r="U836" t="s">
        <v>79</v>
      </c>
      <c r="V836" t="s">
        <v>72</v>
      </c>
      <c r="W836" t="str">
        <f t="shared" ca="1" si="41"/>
        <v>Dormant</v>
      </c>
    </row>
    <row r="837" spans="1:23" x14ac:dyDescent="0.2">
      <c r="A837">
        <v>1267</v>
      </c>
      <c r="B837" t="s">
        <v>3696</v>
      </c>
      <c r="C837" t="s">
        <v>3703</v>
      </c>
      <c r="D837" s="1" t="s">
        <v>96</v>
      </c>
      <c r="E837" t="s">
        <v>3698</v>
      </c>
      <c r="F837" t="s">
        <v>881</v>
      </c>
      <c r="G837" s="4" t="s">
        <v>5423</v>
      </c>
      <c r="H837" t="s">
        <v>3699</v>
      </c>
      <c r="I837" t="s">
        <v>201</v>
      </c>
      <c r="J837" s="4" t="s">
        <v>68</v>
      </c>
      <c r="K837" t="s">
        <v>3704</v>
      </c>
      <c r="L837">
        <v>2</v>
      </c>
      <c r="M837" t="s">
        <v>96</v>
      </c>
      <c r="N837" t="s">
        <v>100</v>
      </c>
      <c r="O837" t="s">
        <v>983</v>
      </c>
      <c r="P837" s="2" t="str">
        <f t="shared" si="39"/>
        <v>05/06/2025 to 10/06/2025</v>
      </c>
      <c r="Q837" s="3">
        <v>45816</v>
      </c>
      <c r="R837" t="str">
        <f t="shared" si="40"/>
        <v>On-Time</v>
      </c>
      <c r="S837" t="s">
        <v>102</v>
      </c>
      <c r="T837">
        <v>18</v>
      </c>
      <c r="U837" t="s">
        <v>65</v>
      </c>
      <c r="V837" t="s">
        <v>66</v>
      </c>
      <c r="W837" t="str">
        <f t="shared" ca="1" si="41"/>
        <v>Dormant</v>
      </c>
    </row>
    <row r="838" spans="1:23" x14ac:dyDescent="0.2">
      <c r="A838">
        <v>1268</v>
      </c>
      <c r="B838" t="s">
        <v>3696</v>
      </c>
      <c r="C838" t="s">
        <v>3705</v>
      </c>
      <c r="D838" s="1" t="s">
        <v>96</v>
      </c>
      <c r="E838" t="s">
        <v>3698</v>
      </c>
      <c r="F838" t="s">
        <v>881</v>
      </c>
      <c r="G838" s="4" t="s">
        <v>5421</v>
      </c>
      <c r="H838" t="s">
        <v>3699</v>
      </c>
      <c r="I838" t="s">
        <v>201</v>
      </c>
      <c r="J838" s="4" t="s">
        <v>74</v>
      </c>
      <c r="K838" t="s">
        <v>3706</v>
      </c>
      <c r="L838">
        <v>4</v>
      </c>
      <c r="M838" t="s">
        <v>96</v>
      </c>
      <c r="N838" t="s">
        <v>100</v>
      </c>
      <c r="O838" t="s">
        <v>96</v>
      </c>
      <c r="P838" s="2" t="str">
        <f t="shared" si="39"/>
        <v>05/06/2025 to 10/06/2025</v>
      </c>
      <c r="Q838" s="3">
        <v>45815</v>
      </c>
      <c r="R838" t="str">
        <f t="shared" si="40"/>
        <v>On-Time</v>
      </c>
      <c r="S838" t="s">
        <v>102</v>
      </c>
      <c r="T838">
        <v>37</v>
      </c>
      <c r="U838" t="s">
        <v>79</v>
      </c>
      <c r="V838" t="s">
        <v>66</v>
      </c>
      <c r="W838" t="str">
        <f t="shared" ca="1" si="41"/>
        <v>Dormant</v>
      </c>
    </row>
    <row r="839" spans="1:23" x14ac:dyDescent="0.2">
      <c r="A839">
        <v>255</v>
      </c>
      <c r="B839" t="s">
        <v>1118</v>
      </c>
      <c r="C839" t="s">
        <v>1119</v>
      </c>
      <c r="D839" s="1" t="s">
        <v>100</v>
      </c>
      <c r="E839" t="s">
        <v>1120</v>
      </c>
      <c r="F839" t="s">
        <v>607</v>
      </c>
      <c r="G839" s="4" t="s">
        <v>5418</v>
      </c>
      <c r="H839" t="s">
        <v>512</v>
      </c>
      <c r="I839" t="s">
        <v>93</v>
      </c>
      <c r="J839" s="4" t="s">
        <v>74</v>
      </c>
      <c r="K839" t="s">
        <v>1121</v>
      </c>
      <c r="L839">
        <v>2</v>
      </c>
      <c r="M839" t="s">
        <v>100</v>
      </c>
      <c r="N839" t="s">
        <v>986</v>
      </c>
      <c r="O839" t="s">
        <v>986</v>
      </c>
      <c r="P839" s="2" t="str">
        <f t="shared" si="39"/>
        <v>06/06/2025 to 11/06/2025</v>
      </c>
      <c r="Q839" s="3">
        <v>45816</v>
      </c>
      <c r="R839" t="str">
        <f t="shared" si="40"/>
        <v>On-Time</v>
      </c>
      <c r="S839" t="s">
        <v>1122</v>
      </c>
      <c r="T839">
        <v>16.5</v>
      </c>
      <c r="U839" t="s">
        <v>79</v>
      </c>
      <c r="V839" t="s">
        <v>72</v>
      </c>
      <c r="W839" t="str">
        <f t="shared" ca="1" si="41"/>
        <v>Dormant</v>
      </c>
    </row>
    <row r="840" spans="1:23" x14ac:dyDescent="0.2">
      <c r="A840">
        <v>256</v>
      </c>
      <c r="B840" t="s">
        <v>1118</v>
      </c>
      <c r="C840" t="s">
        <v>1123</v>
      </c>
      <c r="D840" s="1" t="s">
        <v>100</v>
      </c>
      <c r="E840" t="s">
        <v>1120</v>
      </c>
      <c r="F840" t="s">
        <v>607</v>
      </c>
      <c r="G840" s="4" t="s">
        <v>5427</v>
      </c>
      <c r="H840" t="s">
        <v>512</v>
      </c>
      <c r="I840" t="s">
        <v>93</v>
      </c>
      <c r="J840" s="4" t="s">
        <v>60</v>
      </c>
      <c r="K840" t="s">
        <v>1124</v>
      </c>
      <c r="L840">
        <v>2</v>
      </c>
      <c r="M840" t="s">
        <v>983</v>
      </c>
      <c r="N840" t="s">
        <v>986</v>
      </c>
      <c r="O840" t="s">
        <v>55</v>
      </c>
      <c r="P840" s="2" t="str">
        <f t="shared" si="39"/>
        <v>09/06/2025 to 12/06/2025</v>
      </c>
      <c r="Q840" s="3">
        <v>45815</v>
      </c>
      <c r="R840" t="str">
        <f t="shared" si="40"/>
        <v>Late</v>
      </c>
      <c r="S840" t="s">
        <v>102</v>
      </c>
      <c r="T840">
        <v>15.5</v>
      </c>
      <c r="U840" t="s">
        <v>65</v>
      </c>
      <c r="V840" t="s">
        <v>72</v>
      </c>
      <c r="W840" t="str">
        <f t="shared" ca="1" si="41"/>
        <v>Dormant</v>
      </c>
    </row>
    <row r="841" spans="1:23" x14ac:dyDescent="0.2">
      <c r="A841">
        <v>1753</v>
      </c>
      <c r="B841" t="s">
        <v>4856</v>
      </c>
      <c r="C841" t="s">
        <v>4857</v>
      </c>
      <c r="D841" s="1" t="s">
        <v>100</v>
      </c>
      <c r="E841" t="s">
        <v>4858</v>
      </c>
      <c r="F841" t="s">
        <v>1139</v>
      </c>
      <c r="G841" s="4" t="s">
        <v>5425</v>
      </c>
      <c r="H841" t="s">
        <v>4859</v>
      </c>
      <c r="I841" t="s">
        <v>59</v>
      </c>
      <c r="J841" s="4" t="s">
        <v>60</v>
      </c>
      <c r="K841" t="s">
        <v>4860</v>
      </c>
      <c r="L841">
        <v>3</v>
      </c>
      <c r="M841" t="s">
        <v>983</v>
      </c>
      <c r="N841" t="s">
        <v>986</v>
      </c>
      <c r="O841" t="s">
        <v>986</v>
      </c>
      <c r="P841" s="2" t="str">
        <f t="shared" si="39"/>
        <v>09/06/2025 to 12/06/2025</v>
      </c>
      <c r="Q841" s="3">
        <v>45816</v>
      </c>
      <c r="R841" t="str">
        <f t="shared" si="40"/>
        <v>Late</v>
      </c>
      <c r="S841" t="s">
        <v>71</v>
      </c>
      <c r="T841">
        <v>27.5</v>
      </c>
      <c r="U841" t="s">
        <v>79</v>
      </c>
      <c r="V841" t="s">
        <v>80</v>
      </c>
      <c r="W841" t="str">
        <f t="shared" ca="1" si="41"/>
        <v>Dormant</v>
      </c>
    </row>
    <row r="842" spans="1:23" x14ac:dyDescent="0.2">
      <c r="A842">
        <v>1754</v>
      </c>
      <c r="B842" t="s">
        <v>4856</v>
      </c>
      <c r="C842" t="s">
        <v>4861</v>
      </c>
      <c r="D842" s="1" t="s">
        <v>100</v>
      </c>
      <c r="E842" t="s">
        <v>4858</v>
      </c>
      <c r="F842" t="s">
        <v>1139</v>
      </c>
      <c r="G842" s="4" t="s">
        <v>5426</v>
      </c>
      <c r="H842" t="s">
        <v>4859</v>
      </c>
      <c r="I842" t="s">
        <v>59</v>
      </c>
      <c r="J842" s="4" t="s">
        <v>74</v>
      </c>
      <c r="K842" t="s">
        <v>16</v>
      </c>
      <c r="L842">
        <v>1</v>
      </c>
      <c r="M842" t="s">
        <v>983</v>
      </c>
      <c r="N842" t="s">
        <v>986</v>
      </c>
      <c r="O842" t="s">
        <v>55</v>
      </c>
      <c r="P842" s="2" t="str">
        <f t="shared" si="39"/>
        <v>09/06/2025 to 12/06/2025</v>
      </c>
      <c r="Q842" s="3">
        <v>45815</v>
      </c>
      <c r="R842" t="str">
        <f t="shared" si="40"/>
        <v>Late</v>
      </c>
      <c r="S842" t="s">
        <v>102</v>
      </c>
      <c r="T842">
        <v>11</v>
      </c>
      <c r="U842" t="s">
        <v>65</v>
      </c>
      <c r="V842" t="s">
        <v>66</v>
      </c>
      <c r="W842" t="str">
        <f t="shared" ca="1" si="41"/>
        <v>Dormant</v>
      </c>
    </row>
    <row r="843" spans="1:23" x14ac:dyDescent="0.2">
      <c r="A843">
        <v>1755</v>
      </c>
      <c r="B843" t="s">
        <v>4856</v>
      </c>
      <c r="C843" t="s">
        <v>4862</v>
      </c>
      <c r="D843" s="1" t="s">
        <v>100</v>
      </c>
      <c r="E843" t="s">
        <v>4858</v>
      </c>
      <c r="F843" t="s">
        <v>1139</v>
      </c>
      <c r="G843" s="4" t="s">
        <v>5425</v>
      </c>
      <c r="H843" t="s">
        <v>4859</v>
      </c>
      <c r="I843" t="s">
        <v>59</v>
      </c>
      <c r="J843" s="4" t="s">
        <v>5417</v>
      </c>
      <c r="K843" t="s">
        <v>4863</v>
      </c>
      <c r="L843">
        <v>3</v>
      </c>
      <c r="M843" t="s">
        <v>986</v>
      </c>
      <c r="N843" t="s">
        <v>85</v>
      </c>
      <c r="O843" t="s">
        <v>85</v>
      </c>
      <c r="P843" s="2" t="str">
        <f t="shared" si="39"/>
        <v>10/06/2025 to 13/06/2025</v>
      </c>
      <c r="Q843" s="3">
        <v>45819</v>
      </c>
      <c r="R843" t="str">
        <f t="shared" si="40"/>
        <v>On-Time</v>
      </c>
      <c r="S843" t="s">
        <v>86</v>
      </c>
      <c r="T843">
        <v>25.5</v>
      </c>
      <c r="U843" t="s">
        <v>79</v>
      </c>
      <c r="V843" t="s">
        <v>72</v>
      </c>
      <c r="W843" t="str">
        <f t="shared" ca="1" si="41"/>
        <v>Dormant</v>
      </c>
    </row>
    <row r="844" spans="1:23" x14ac:dyDescent="0.2">
      <c r="A844">
        <v>1756</v>
      </c>
      <c r="B844" t="s">
        <v>4856</v>
      </c>
      <c r="C844" t="s">
        <v>4864</v>
      </c>
      <c r="D844" s="1" t="s">
        <v>100</v>
      </c>
      <c r="E844" t="s">
        <v>4858</v>
      </c>
      <c r="F844" t="s">
        <v>1139</v>
      </c>
      <c r="G844" s="4" t="s">
        <v>5421</v>
      </c>
      <c r="H844" t="s">
        <v>4859</v>
      </c>
      <c r="I844" t="s">
        <v>59</v>
      </c>
      <c r="J844" s="4" t="s">
        <v>74</v>
      </c>
      <c r="K844" t="s">
        <v>4865</v>
      </c>
      <c r="L844">
        <v>4</v>
      </c>
      <c r="M844" t="s">
        <v>100</v>
      </c>
      <c r="N844" t="s">
        <v>983</v>
      </c>
      <c r="O844" t="s">
        <v>100</v>
      </c>
      <c r="P844" s="2" t="str">
        <f t="shared" si="39"/>
        <v>06/06/2025 to 11/06/2025</v>
      </c>
      <c r="Q844" s="3">
        <v>45813</v>
      </c>
      <c r="R844" t="str">
        <f t="shared" si="40"/>
        <v>Late</v>
      </c>
      <c r="S844" t="s">
        <v>98</v>
      </c>
      <c r="T844">
        <v>41</v>
      </c>
      <c r="U844" t="s">
        <v>65</v>
      </c>
      <c r="V844" t="s">
        <v>80</v>
      </c>
      <c r="W844" t="str">
        <f t="shared" ca="1" si="41"/>
        <v>Dormant</v>
      </c>
    </row>
    <row r="845" spans="1:23" x14ac:dyDescent="0.2">
      <c r="A845">
        <v>1757</v>
      </c>
      <c r="B845" t="s">
        <v>4856</v>
      </c>
      <c r="C845" t="s">
        <v>4866</v>
      </c>
      <c r="D845" s="1" t="s">
        <v>100</v>
      </c>
      <c r="E845" t="s">
        <v>4858</v>
      </c>
      <c r="F845" t="s">
        <v>1139</v>
      </c>
      <c r="G845" s="4" t="s">
        <v>5421</v>
      </c>
      <c r="H845" t="s">
        <v>4859</v>
      </c>
      <c r="I845" t="s">
        <v>59</v>
      </c>
      <c r="J845" s="4" t="s">
        <v>60</v>
      </c>
      <c r="K845" t="s">
        <v>26</v>
      </c>
      <c r="L845">
        <v>1</v>
      </c>
      <c r="M845" t="s">
        <v>100</v>
      </c>
      <c r="N845" t="s">
        <v>983</v>
      </c>
      <c r="O845" t="s">
        <v>986</v>
      </c>
      <c r="P845" s="2" t="str">
        <f t="shared" si="39"/>
        <v>06/06/2025 to 11/06/2025</v>
      </c>
      <c r="Q845" s="3">
        <v>45819</v>
      </c>
      <c r="R845" t="str">
        <f t="shared" si="40"/>
        <v>On-Time</v>
      </c>
      <c r="S845" t="s">
        <v>63</v>
      </c>
      <c r="T845">
        <v>9</v>
      </c>
      <c r="U845" t="s">
        <v>79</v>
      </c>
      <c r="V845" t="s">
        <v>66</v>
      </c>
      <c r="W845" t="str">
        <f t="shared" ca="1" si="41"/>
        <v>Dormant</v>
      </c>
    </row>
    <row r="846" spans="1:23" x14ac:dyDescent="0.2">
      <c r="A846">
        <v>212</v>
      </c>
      <c r="B846" t="s">
        <v>981</v>
      </c>
      <c r="C846" t="s">
        <v>982</v>
      </c>
      <c r="D846" s="1" t="s">
        <v>983</v>
      </c>
      <c r="E846" t="s">
        <v>984</v>
      </c>
      <c r="F846" t="s">
        <v>91</v>
      </c>
      <c r="G846" s="4" t="s">
        <v>5425</v>
      </c>
      <c r="H846" t="s">
        <v>985</v>
      </c>
      <c r="I846" t="s">
        <v>136</v>
      </c>
      <c r="J846" s="4" t="s">
        <v>68</v>
      </c>
      <c r="K846" t="s">
        <v>32</v>
      </c>
      <c r="L846">
        <v>1</v>
      </c>
      <c r="M846" t="s">
        <v>986</v>
      </c>
      <c r="N846" t="s">
        <v>85</v>
      </c>
      <c r="O846" t="s">
        <v>986</v>
      </c>
      <c r="P846" s="2" t="str">
        <f t="shared" si="39"/>
        <v>10/06/2025 to 13/06/2025</v>
      </c>
      <c r="Q846" s="3">
        <v>45819</v>
      </c>
      <c r="R846" t="str">
        <f t="shared" si="40"/>
        <v>On-Time</v>
      </c>
      <c r="S846" t="s">
        <v>64</v>
      </c>
      <c r="T846">
        <v>14</v>
      </c>
      <c r="U846" t="s">
        <v>79</v>
      </c>
      <c r="V846" t="s">
        <v>66</v>
      </c>
      <c r="W846" t="str">
        <f t="shared" ca="1" si="41"/>
        <v>Dormant</v>
      </c>
    </row>
    <row r="847" spans="1:23" x14ac:dyDescent="0.2">
      <c r="A847">
        <v>213</v>
      </c>
      <c r="B847" t="s">
        <v>981</v>
      </c>
      <c r="C847" t="s">
        <v>987</v>
      </c>
      <c r="D847" s="1" t="s">
        <v>983</v>
      </c>
      <c r="E847" t="s">
        <v>984</v>
      </c>
      <c r="F847" t="s">
        <v>91</v>
      </c>
      <c r="G847" s="4" t="s">
        <v>5421</v>
      </c>
      <c r="H847" t="s">
        <v>985</v>
      </c>
      <c r="I847" t="s">
        <v>136</v>
      </c>
      <c r="J847" s="4" t="s">
        <v>68</v>
      </c>
      <c r="K847" t="s">
        <v>94</v>
      </c>
      <c r="L847">
        <v>2</v>
      </c>
      <c r="M847" t="s">
        <v>983</v>
      </c>
      <c r="N847" t="s">
        <v>55</v>
      </c>
      <c r="O847" t="s">
        <v>55</v>
      </c>
      <c r="P847" s="2" t="str">
        <f t="shared" si="39"/>
        <v>09/06/2025 to 12/06/2025</v>
      </c>
      <c r="Q847" s="3">
        <v>45821</v>
      </c>
      <c r="R847" t="str">
        <f t="shared" si="40"/>
        <v>Late</v>
      </c>
      <c r="S847" t="s">
        <v>509</v>
      </c>
      <c r="T847">
        <v>20</v>
      </c>
      <c r="U847" t="s">
        <v>79</v>
      </c>
      <c r="V847" t="s">
        <v>72</v>
      </c>
      <c r="W847" t="str">
        <f t="shared" ca="1" si="41"/>
        <v>Dormant</v>
      </c>
    </row>
    <row r="848" spans="1:23" x14ac:dyDescent="0.2">
      <c r="A848">
        <v>214</v>
      </c>
      <c r="B848" t="s">
        <v>981</v>
      </c>
      <c r="C848" t="s">
        <v>988</v>
      </c>
      <c r="D848" s="1" t="s">
        <v>983</v>
      </c>
      <c r="E848" t="s">
        <v>984</v>
      </c>
      <c r="F848" t="s">
        <v>91</v>
      </c>
      <c r="G848" s="4" t="s">
        <v>5420</v>
      </c>
      <c r="H848" t="s">
        <v>985</v>
      </c>
      <c r="I848" t="s">
        <v>136</v>
      </c>
      <c r="J848" s="4" t="s">
        <v>5417</v>
      </c>
      <c r="K848" t="s">
        <v>989</v>
      </c>
      <c r="L848">
        <v>4</v>
      </c>
      <c r="M848" t="s">
        <v>55</v>
      </c>
      <c r="N848" t="s">
        <v>62</v>
      </c>
      <c r="O848" t="s">
        <v>62</v>
      </c>
      <c r="P848" s="2" t="str">
        <f t="shared" si="39"/>
        <v>10/06/2025 to 13/06/2025</v>
      </c>
      <c r="Q848" s="3">
        <v>45818</v>
      </c>
      <c r="R848" t="str">
        <f t="shared" si="40"/>
        <v>On-Time</v>
      </c>
      <c r="S848" t="s">
        <v>63</v>
      </c>
      <c r="T848">
        <v>41.5</v>
      </c>
      <c r="U848" t="s">
        <v>65</v>
      </c>
      <c r="V848" t="s">
        <v>80</v>
      </c>
      <c r="W848" t="str">
        <f t="shared" ca="1" si="41"/>
        <v>Dormant</v>
      </c>
    </row>
    <row r="849" spans="1:23" x14ac:dyDescent="0.2">
      <c r="A849">
        <v>215</v>
      </c>
      <c r="B849" t="s">
        <v>981</v>
      </c>
      <c r="C849" t="s">
        <v>990</v>
      </c>
      <c r="D849" s="1" t="s">
        <v>983</v>
      </c>
      <c r="E849" t="s">
        <v>984</v>
      </c>
      <c r="F849" t="s">
        <v>91</v>
      </c>
      <c r="G849" s="4" t="s">
        <v>5421</v>
      </c>
      <c r="H849" t="s">
        <v>985</v>
      </c>
      <c r="I849" t="s">
        <v>136</v>
      </c>
      <c r="J849" s="4" t="s">
        <v>60</v>
      </c>
      <c r="K849" t="s">
        <v>14</v>
      </c>
      <c r="L849">
        <v>1</v>
      </c>
      <c r="M849" t="s">
        <v>983</v>
      </c>
      <c r="N849" t="s">
        <v>55</v>
      </c>
      <c r="O849" t="s">
        <v>55</v>
      </c>
      <c r="P849" s="2" t="str">
        <f t="shared" si="39"/>
        <v>09/06/2025 to 12/06/2025</v>
      </c>
      <c r="Q849" s="3">
        <v>45819</v>
      </c>
      <c r="R849" t="str">
        <f t="shared" si="40"/>
        <v>On-Time</v>
      </c>
      <c r="S849" t="s">
        <v>86</v>
      </c>
      <c r="T849">
        <v>9.5</v>
      </c>
      <c r="U849" t="s">
        <v>65</v>
      </c>
      <c r="V849" t="s">
        <v>80</v>
      </c>
      <c r="W849" t="str">
        <f t="shared" ca="1" si="41"/>
        <v>Dormant</v>
      </c>
    </row>
    <row r="850" spans="1:23" x14ac:dyDescent="0.2">
      <c r="A850">
        <v>573</v>
      </c>
      <c r="B850" t="s">
        <v>2016</v>
      </c>
      <c r="C850" t="s">
        <v>2017</v>
      </c>
      <c r="D850" s="1" t="s">
        <v>983</v>
      </c>
      <c r="E850" t="s">
        <v>2018</v>
      </c>
      <c r="F850" t="s">
        <v>199</v>
      </c>
      <c r="G850" s="4" t="s">
        <v>5428</v>
      </c>
      <c r="H850" t="s">
        <v>2019</v>
      </c>
      <c r="I850" t="s">
        <v>112</v>
      </c>
      <c r="J850" s="4" t="s">
        <v>68</v>
      </c>
      <c r="K850" t="s">
        <v>20</v>
      </c>
      <c r="L850">
        <v>1</v>
      </c>
      <c r="M850" t="s">
        <v>983</v>
      </c>
      <c r="N850" t="s">
        <v>55</v>
      </c>
      <c r="O850" t="s">
        <v>55</v>
      </c>
      <c r="P850" s="2" t="str">
        <f t="shared" si="39"/>
        <v>09/06/2025 to 12/06/2025</v>
      </c>
      <c r="Q850" s="3">
        <v>45817</v>
      </c>
      <c r="R850" t="str">
        <f t="shared" si="40"/>
        <v>On-Time</v>
      </c>
      <c r="S850" t="s">
        <v>63</v>
      </c>
      <c r="T850">
        <v>10.5</v>
      </c>
      <c r="U850" t="s">
        <v>79</v>
      </c>
      <c r="V850" t="s">
        <v>66</v>
      </c>
      <c r="W850" t="str">
        <f t="shared" ca="1" si="41"/>
        <v>Dormant</v>
      </c>
    </row>
    <row r="851" spans="1:23" x14ac:dyDescent="0.2">
      <c r="A851">
        <v>574</v>
      </c>
      <c r="B851" t="s">
        <v>2016</v>
      </c>
      <c r="C851" t="s">
        <v>2020</v>
      </c>
      <c r="D851" s="1" t="s">
        <v>983</v>
      </c>
      <c r="E851" t="s">
        <v>2018</v>
      </c>
      <c r="F851" t="s">
        <v>199</v>
      </c>
      <c r="G851" s="4" t="s">
        <v>5428</v>
      </c>
      <c r="H851" t="s">
        <v>2019</v>
      </c>
      <c r="I851" t="s">
        <v>112</v>
      </c>
      <c r="J851" s="4" t="s">
        <v>60</v>
      </c>
      <c r="K851" t="s">
        <v>520</v>
      </c>
      <c r="L851">
        <v>2</v>
      </c>
      <c r="M851" t="s">
        <v>55</v>
      </c>
      <c r="N851" t="s">
        <v>55</v>
      </c>
      <c r="O851" t="s">
        <v>85</v>
      </c>
      <c r="P851" s="2" t="str">
        <f t="shared" si="39"/>
        <v>10/06/2025 to 13/06/2025</v>
      </c>
      <c r="Q851" s="3">
        <v>45821</v>
      </c>
      <c r="R851" t="str">
        <f t="shared" si="40"/>
        <v>On-Time</v>
      </c>
      <c r="S851" t="s">
        <v>64</v>
      </c>
      <c r="T851">
        <v>17</v>
      </c>
      <c r="U851" t="s">
        <v>79</v>
      </c>
      <c r="V851" t="s">
        <v>72</v>
      </c>
      <c r="W851" t="str">
        <f t="shared" ca="1" si="41"/>
        <v>Dormant</v>
      </c>
    </row>
    <row r="852" spans="1:23" x14ac:dyDescent="0.2">
      <c r="A852">
        <v>575</v>
      </c>
      <c r="B852" t="s">
        <v>2016</v>
      </c>
      <c r="C852" t="s">
        <v>2021</v>
      </c>
      <c r="D852" s="1" t="s">
        <v>983</v>
      </c>
      <c r="E852" t="s">
        <v>2018</v>
      </c>
      <c r="F852" t="s">
        <v>199</v>
      </c>
      <c r="G852" s="4" t="s">
        <v>5427</v>
      </c>
      <c r="H852" t="s">
        <v>2019</v>
      </c>
      <c r="I852" t="s">
        <v>112</v>
      </c>
      <c r="J852" s="4" t="s">
        <v>74</v>
      </c>
      <c r="K852" t="s">
        <v>2022</v>
      </c>
      <c r="L852">
        <v>4</v>
      </c>
      <c r="M852" t="s">
        <v>55</v>
      </c>
      <c r="N852" t="s">
        <v>85</v>
      </c>
      <c r="O852" t="s">
        <v>55</v>
      </c>
      <c r="P852" s="2" t="str">
        <f t="shared" si="39"/>
        <v>10/06/2025 to 13/06/2025</v>
      </c>
      <c r="Q852" s="3">
        <v>45815</v>
      </c>
      <c r="R852" t="str">
        <f t="shared" si="40"/>
        <v>Late</v>
      </c>
      <c r="S852" t="s">
        <v>102</v>
      </c>
      <c r="T852">
        <v>36</v>
      </c>
      <c r="U852" t="s">
        <v>65</v>
      </c>
      <c r="V852" t="s">
        <v>72</v>
      </c>
      <c r="W852" t="str">
        <f t="shared" ca="1" si="41"/>
        <v>Dormant</v>
      </c>
    </row>
    <row r="853" spans="1:23" x14ac:dyDescent="0.2">
      <c r="A853">
        <v>576</v>
      </c>
      <c r="B853" t="s">
        <v>2016</v>
      </c>
      <c r="C853" t="s">
        <v>2023</v>
      </c>
      <c r="D853" s="1" t="s">
        <v>983</v>
      </c>
      <c r="E853" t="s">
        <v>2018</v>
      </c>
      <c r="F853" t="s">
        <v>199</v>
      </c>
      <c r="G853" s="4" t="s">
        <v>5422</v>
      </c>
      <c r="H853" t="s">
        <v>2019</v>
      </c>
      <c r="I853" t="s">
        <v>112</v>
      </c>
      <c r="J853" s="4" t="s">
        <v>60</v>
      </c>
      <c r="K853" t="s">
        <v>2024</v>
      </c>
      <c r="L853">
        <v>2</v>
      </c>
      <c r="M853" t="s">
        <v>983</v>
      </c>
      <c r="N853" t="s">
        <v>55</v>
      </c>
      <c r="O853" t="s">
        <v>986</v>
      </c>
      <c r="P853" s="2" t="str">
        <f t="shared" si="39"/>
        <v>09/06/2025 to 12/06/2025</v>
      </c>
      <c r="Q853" s="3">
        <v>45820</v>
      </c>
      <c r="R853" t="str">
        <f t="shared" si="40"/>
        <v>On-Time</v>
      </c>
      <c r="S853" t="s">
        <v>64</v>
      </c>
      <c r="T853">
        <v>17</v>
      </c>
      <c r="U853" t="s">
        <v>65</v>
      </c>
      <c r="V853" t="s">
        <v>72</v>
      </c>
      <c r="W853" t="str">
        <f t="shared" ca="1" si="41"/>
        <v>Dormant</v>
      </c>
    </row>
    <row r="854" spans="1:23" x14ac:dyDescent="0.2">
      <c r="A854">
        <v>577</v>
      </c>
      <c r="B854" t="s">
        <v>2016</v>
      </c>
      <c r="C854" t="s">
        <v>2025</v>
      </c>
      <c r="D854" s="1" t="s">
        <v>983</v>
      </c>
      <c r="E854" t="s">
        <v>2018</v>
      </c>
      <c r="F854" t="s">
        <v>199</v>
      </c>
      <c r="G854" s="4" t="s">
        <v>5419</v>
      </c>
      <c r="H854" t="s">
        <v>2019</v>
      </c>
      <c r="I854" t="s">
        <v>112</v>
      </c>
      <c r="J854" s="4" t="s">
        <v>5417</v>
      </c>
      <c r="K854" t="s">
        <v>2026</v>
      </c>
      <c r="L854">
        <v>4</v>
      </c>
      <c r="M854" t="s">
        <v>983</v>
      </c>
      <c r="N854" t="s">
        <v>983</v>
      </c>
      <c r="O854" t="s">
        <v>983</v>
      </c>
      <c r="P854" s="2" t="str">
        <f t="shared" si="39"/>
        <v>09/06/2025 to 12/06/2025</v>
      </c>
      <c r="Q854" s="3">
        <v>45816</v>
      </c>
      <c r="R854" t="str">
        <f t="shared" si="40"/>
        <v>Late</v>
      </c>
      <c r="S854" t="s">
        <v>102</v>
      </c>
      <c r="T854">
        <v>34.5</v>
      </c>
      <c r="U854" t="s">
        <v>65</v>
      </c>
      <c r="V854" t="s">
        <v>80</v>
      </c>
      <c r="W854" t="str">
        <f t="shared" ca="1" si="41"/>
        <v>Dormant</v>
      </c>
    </row>
    <row r="855" spans="1:23" x14ac:dyDescent="0.2">
      <c r="A855">
        <v>688</v>
      </c>
      <c r="B855" t="s">
        <v>2307</v>
      </c>
      <c r="C855" t="s">
        <v>2308</v>
      </c>
      <c r="D855" s="1" t="s">
        <v>983</v>
      </c>
      <c r="E855" t="s">
        <v>2309</v>
      </c>
      <c r="F855" t="s">
        <v>179</v>
      </c>
      <c r="G855" s="4" t="s">
        <v>5422</v>
      </c>
      <c r="H855" t="s">
        <v>2310</v>
      </c>
      <c r="I855" t="s">
        <v>59</v>
      </c>
      <c r="J855" s="4" t="s">
        <v>60</v>
      </c>
      <c r="K855" t="s">
        <v>2311</v>
      </c>
      <c r="L855">
        <v>4</v>
      </c>
      <c r="M855" t="s">
        <v>55</v>
      </c>
      <c r="N855" t="s">
        <v>85</v>
      </c>
      <c r="O855" t="s">
        <v>55</v>
      </c>
      <c r="P855" s="2" t="str">
        <f t="shared" si="39"/>
        <v>10/06/2025 to 13/06/2025</v>
      </c>
      <c r="Q855" s="3">
        <v>45818</v>
      </c>
      <c r="R855" t="str">
        <f t="shared" si="40"/>
        <v>On-Time</v>
      </c>
      <c r="S855" t="s">
        <v>86</v>
      </c>
      <c r="T855">
        <v>38.5</v>
      </c>
      <c r="U855" t="s">
        <v>79</v>
      </c>
      <c r="V855" t="s">
        <v>66</v>
      </c>
      <c r="W855" t="str">
        <f t="shared" ca="1" si="41"/>
        <v>Dormant</v>
      </c>
    </row>
    <row r="856" spans="1:23" x14ac:dyDescent="0.2">
      <c r="A856">
        <v>689</v>
      </c>
      <c r="B856" t="s">
        <v>2307</v>
      </c>
      <c r="C856" t="s">
        <v>2312</v>
      </c>
      <c r="D856" s="1" t="s">
        <v>983</v>
      </c>
      <c r="E856" t="s">
        <v>2309</v>
      </c>
      <c r="F856" t="s">
        <v>179</v>
      </c>
      <c r="G856" s="4" t="s">
        <v>5428</v>
      </c>
      <c r="H856" t="s">
        <v>2310</v>
      </c>
      <c r="I856" t="s">
        <v>59</v>
      </c>
      <c r="J856" s="4" t="s">
        <v>74</v>
      </c>
      <c r="K856" t="s">
        <v>2313</v>
      </c>
      <c r="L856">
        <v>4</v>
      </c>
      <c r="M856" t="s">
        <v>55</v>
      </c>
      <c r="N856" t="s">
        <v>62</v>
      </c>
      <c r="O856" t="s">
        <v>62</v>
      </c>
      <c r="P856" s="2" t="str">
        <f t="shared" si="39"/>
        <v>10/06/2025 to 13/06/2025</v>
      </c>
      <c r="Q856" s="3">
        <v>45823</v>
      </c>
      <c r="R856" t="str">
        <f t="shared" si="40"/>
        <v>Late</v>
      </c>
      <c r="S856" t="s">
        <v>514</v>
      </c>
      <c r="T856">
        <v>36</v>
      </c>
      <c r="U856" t="s">
        <v>65</v>
      </c>
      <c r="V856" t="s">
        <v>80</v>
      </c>
      <c r="W856" t="str">
        <f t="shared" ca="1" si="41"/>
        <v>Dormant</v>
      </c>
    </row>
    <row r="857" spans="1:23" x14ac:dyDescent="0.2">
      <c r="A857">
        <v>690</v>
      </c>
      <c r="B857" t="s">
        <v>2307</v>
      </c>
      <c r="C857" t="s">
        <v>2314</v>
      </c>
      <c r="D857" s="1" t="s">
        <v>983</v>
      </c>
      <c r="E857" t="s">
        <v>2309</v>
      </c>
      <c r="F857" t="s">
        <v>179</v>
      </c>
      <c r="G857" s="4" t="s">
        <v>5419</v>
      </c>
      <c r="H857" t="s">
        <v>2310</v>
      </c>
      <c r="I857" t="s">
        <v>59</v>
      </c>
      <c r="J857" s="4" t="s">
        <v>74</v>
      </c>
      <c r="K857" t="s">
        <v>2315</v>
      </c>
      <c r="L857">
        <v>3</v>
      </c>
      <c r="M857" t="s">
        <v>986</v>
      </c>
      <c r="N857" t="s">
        <v>85</v>
      </c>
      <c r="O857" t="s">
        <v>986</v>
      </c>
      <c r="P857" s="2" t="str">
        <f t="shared" si="39"/>
        <v>10/06/2025 to 13/06/2025</v>
      </c>
      <c r="Q857" s="3">
        <v>45815</v>
      </c>
      <c r="R857" t="str">
        <f t="shared" si="40"/>
        <v>Late</v>
      </c>
      <c r="S857" t="s">
        <v>102</v>
      </c>
      <c r="T857">
        <v>25</v>
      </c>
      <c r="U857" t="s">
        <v>65</v>
      </c>
      <c r="V857" t="s">
        <v>72</v>
      </c>
      <c r="W857" t="str">
        <f t="shared" ca="1" si="41"/>
        <v>Dormant</v>
      </c>
    </row>
    <row r="858" spans="1:23" x14ac:dyDescent="0.2">
      <c r="A858">
        <v>691</v>
      </c>
      <c r="B858" t="s">
        <v>2307</v>
      </c>
      <c r="C858" t="s">
        <v>2316</v>
      </c>
      <c r="D858" s="1" t="s">
        <v>983</v>
      </c>
      <c r="E858" t="s">
        <v>2309</v>
      </c>
      <c r="F858" t="s">
        <v>179</v>
      </c>
      <c r="G858" s="4" t="s">
        <v>5428</v>
      </c>
      <c r="H858" t="s">
        <v>2310</v>
      </c>
      <c r="I858" t="s">
        <v>59</v>
      </c>
      <c r="J858" s="4" t="s">
        <v>68</v>
      </c>
      <c r="K858" t="s">
        <v>2317</v>
      </c>
      <c r="L858">
        <v>4</v>
      </c>
      <c r="M858" t="s">
        <v>986</v>
      </c>
      <c r="N858" t="s">
        <v>85</v>
      </c>
      <c r="O858" t="s">
        <v>85</v>
      </c>
      <c r="P858" s="2" t="str">
        <f t="shared" si="39"/>
        <v>10/06/2025 to 13/06/2025</v>
      </c>
      <c r="Q858" s="3">
        <v>45819</v>
      </c>
      <c r="R858" t="str">
        <f t="shared" si="40"/>
        <v>On-Time</v>
      </c>
      <c r="S858" t="s">
        <v>64</v>
      </c>
      <c r="T858">
        <v>35.5</v>
      </c>
      <c r="U858" t="s">
        <v>65</v>
      </c>
      <c r="V858" t="s">
        <v>72</v>
      </c>
      <c r="W858" t="str">
        <f t="shared" ca="1" si="41"/>
        <v>Dormant</v>
      </c>
    </row>
    <row r="859" spans="1:23" x14ac:dyDescent="0.2">
      <c r="A859">
        <v>977</v>
      </c>
      <c r="B859" t="s">
        <v>3013</v>
      </c>
      <c r="C859" t="s">
        <v>3014</v>
      </c>
      <c r="D859" s="1" t="s">
        <v>983</v>
      </c>
      <c r="E859" t="s">
        <v>3015</v>
      </c>
      <c r="F859" t="s">
        <v>626</v>
      </c>
      <c r="G859" s="4" t="s">
        <v>5424</v>
      </c>
      <c r="H859" t="s">
        <v>3016</v>
      </c>
      <c r="I859" t="s">
        <v>112</v>
      </c>
      <c r="J859" s="4" t="s">
        <v>60</v>
      </c>
      <c r="K859" t="s">
        <v>1976</v>
      </c>
      <c r="L859">
        <v>3</v>
      </c>
      <c r="M859" t="s">
        <v>986</v>
      </c>
      <c r="N859" t="s">
        <v>55</v>
      </c>
      <c r="O859" t="s">
        <v>55</v>
      </c>
      <c r="P859" s="2" t="str">
        <f t="shared" si="39"/>
        <v>10/06/2025 to 13/06/2025</v>
      </c>
      <c r="Q859" s="3">
        <v>45819</v>
      </c>
      <c r="R859" t="str">
        <f t="shared" si="40"/>
        <v>On-Time</v>
      </c>
      <c r="S859" t="s">
        <v>63</v>
      </c>
      <c r="T859">
        <v>33</v>
      </c>
      <c r="U859" t="s">
        <v>79</v>
      </c>
      <c r="V859" t="s">
        <v>66</v>
      </c>
      <c r="W859" t="str">
        <f t="shared" ca="1" si="41"/>
        <v>Dormant</v>
      </c>
    </row>
    <row r="860" spans="1:23" x14ac:dyDescent="0.2">
      <c r="A860">
        <v>978</v>
      </c>
      <c r="B860" t="s">
        <v>3013</v>
      </c>
      <c r="C860" t="s">
        <v>3017</v>
      </c>
      <c r="D860" s="1" t="s">
        <v>983</v>
      </c>
      <c r="E860" t="s">
        <v>3015</v>
      </c>
      <c r="F860" t="s">
        <v>626</v>
      </c>
      <c r="G860" s="4" t="s">
        <v>5419</v>
      </c>
      <c r="H860" t="s">
        <v>3016</v>
      </c>
      <c r="I860" t="s">
        <v>112</v>
      </c>
      <c r="J860" s="4" t="s">
        <v>68</v>
      </c>
      <c r="K860" t="s">
        <v>2528</v>
      </c>
      <c r="L860">
        <v>2</v>
      </c>
      <c r="M860" t="s">
        <v>983</v>
      </c>
      <c r="N860" t="s">
        <v>986</v>
      </c>
      <c r="O860" t="s">
        <v>986</v>
      </c>
      <c r="P860" s="2" t="str">
        <f t="shared" si="39"/>
        <v>09/06/2025 to 12/06/2025</v>
      </c>
      <c r="Q860" s="3">
        <v>45817</v>
      </c>
      <c r="R860" t="str">
        <f t="shared" si="40"/>
        <v>On-Time</v>
      </c>
      <c r="S860" t="s">
        <v>71</v>
      </c>
      <c r="T860">
        <v>18.5</v>
      </c>
      <c r="U860" t="s">
        <v>79</v>
      </c>
      <c r="V860" t="s">
        <v>72</v>
      </c>
      <c r="W860" t="str">
        <f t="shared" ca="1" si="41"/>
        <v>Dormant</v>
      </c>
    </row>
    <row r="861" spans="1:23" x14ac:dyDescent="0.2">
      <c r="A861">
        <v>979</v>
      </c>
      <c r="B861" t="s">
        <v>3013</v>
      </c>
      <c r="C861" t="s">
        <v>3018</v>
      </c>
      <c r="D861" s="1" t="s">
        <v>983</v>
      </c>
      <c r="E861" t="s">
        <v>3015</v>
      </c>
      <c r="F861" t="s">
        <v>626</v>
      </c>
      <c r="G861" s="4" t="s">
        <v>5421</v>
      </c>
      <c r="H861" t="s">
        <v>3016</v>
      </c>
      <c r="I861" t="s">
        <v>112</v>
      </c>
      <c r="J861" s="4" t="s">
        <v>68</v>
      </c>
      <c r="K861" t="s">
        <v>438</v>
      </c>
      <c r="L861">
        <v>2</v>
      </c>
      <c r="M861" t="s">
        <v>986</v>
      </c>
      <c r="N861" t="s">
        <v>85</v>
      </c>
      <c r="O861" t="s">
        <v>55</v>
      </c>
      <c r="P861" s="2" t="str">
        <f t="shared" si="39"/>
        <v>10/06/2025 to 13/06/2025</v>
      </c>
      <c r="Q861" s="3">
        <v>45820</v>
      </c>
      <c r="R861" t="str">
        <f t="shared" si="40"/>
        <v>On-Time</v>
      </c>
      <c r="S861" t="s">
        <v>509</v>
      </c>
      <c r="T861">
        <v>21</v>
      </c>
      <c r="U861" t="s">
        <v>79</v>
      </c>
      <c r="V861" t="s">
        <v>66</v>
      </c>
      <c r="W861" t="str">
        <f t="shared" ca="1" si="41"/>
        <v>Dormant</v>
      </c>
    </row>
    <row r="862" spans="1:23" x14ac:dyDescent="0.2">
      <c r="A862">
        <v>993</v>
      </c>
      <c r="B862" t="s">
        <v>3050</v>
      </c>
      <c r="C862" t="s">
        <v>3051</v>
      </c>
      <c r="D862" s="1" t="s">
        <v>983</v>
      </c>
      <c r="E862" t="s">
        <v>3052</v>
      </c>
      <c r="F862" t="s">
        <v>110</v>
      </c>
      <c r="G862" s="4" t="s">
        <v>5418</v>
      </c>
      <c r="H862" t="s">
        <v>3053</v>
      </c>
      <c r="I862" t="s">
        <v>136</v>
      </c>
      <c r="J862" s="4" t="s">
        <v>68</v>
      </c>
      <c r="K862" t="s">
        <v>3054</v>
      </c>
      <c r="L862">
        <v>3</v>
      </c>
      <c r="M862" t="s">
        <v>986</v>
      </c>
      <c r="N862" t="s">
        <v>986</v>
      </c>
      <c r="O862" t="s">
        <v>986</v>
      </c>
      <c r="P862" s="2" t="str">
        <f t="shared" si="39"/>
        <v>10/06/2025 to 13/06/2025</v>
      </c>
      <c r="Q862" s="3">
        <v>45818</v>
      </c>
      <c r="R862" t="str">
        <f t="shared" si="40"/>
        <v>On-Time</v>
      </c>
      <c r="S862" t="s">
        <v>63</v>
      </c>
      <c r="T862">
        <v>27.5</v>
      </c>
      <c r="U862" t="s">
        <v>79</v>
      </c>
      <c r="V862" t="s">
        <v>72</v>
      </c>
      <c r="W862" t="str">
        <f t="shared" ca="1" si="41"/>
        <v>Dormant</v>
      </c>
    </row>
    <row r="863" spans="1:23" x14ac:dyDescent="0.2">
      <c r="A863">
        <v>994</v>
      </c>
      <c r="B863" t="s">
        <v>3050</v>
      </c>
      <c r="C863" t="s">
        <v>3055</v>
      </c>
      <c r="D863" s="1" t="s">
        <v>983</v>
      </c>
      <c r="E863" t="s">
        <v>3052</v>
      </c>
      <c r="F863" t="s">
        <v>110</v>
      </c>
      <c r="G863" s="4" t="s">
        <v>5427</v>
      </c>
      <c r="H863" t="s">
        <v>3053</v>
      </c>
      <c r="I863" t="s">
        <v>136</v>
      </c>
      <c r="J863" s="4" t="s">
        <v>68</v>
      </c>
      <c r="K863" t="s">
        <v>3056</v>
      </c>
      <c r="L863">
        <v>3</v>
      </c>
      <c r="M863" t="s">
        <v>983</v>
      </c>
      <c r="N863" t="s">
        <v>55</v>
      </c>
      <c r="O863" t="s">
        <v>55</v>
      </c>
      <c r="P863" s="2" t="str">
        <f t="shared" si="39"/>
        <v>09/06/2025 to 12/06/2025</v>
      </c>
      <c r="Q863" s="3">
        <v>45821</v>
      </c>
      <c r="R863" t="str">
        <f t="shared" si="40"/>
        <v>Late</v>
      </c>
      <c r="S863" t="s">
        <v>514</v>
      </c>
      <c r="T863">
        <v>29.5</v>
      </c>
      <c r="U863" t="s">
        <v>79</v>
      </c>
      <c r="V863" t="s">
        <v>66</v>
      </c>
      <c r="W863" t="str">
        <f t="shared" ca="1" si="41"/>
        <v>Dormant</v>
      </c>
    </row>
    <row r="864" spans="1:23" x14ac:dyDescent="0.2">
      <c r="A864">
        <v>995</v>
      </c>
      <c r="B864" t="s">
        <v>3050</v>
      </c>
      <c r="C864" t="s">
        <v>3057</v>
      </c>
      <c r="D864" s="1" t="s">
        <v>983</v>
      </c>
      <c r="E864" t="s">
        <v>3052</v>
      </c>
      <c r="F864" t="s">
        <v>110</v>
      </c>
      <c r="G864" s="4" t="s">
        <v>5425</v>
      </c>
      <c r="H864" t="s">
        <v>3053</v>
      </c>
      <c r="I864" t="s">
        <v>136</v>
      </c>
      <c r="J864" s="4" t="s">
        <v>74</v>
      </c>
      <c r="K864" t="s">
        <v>3058</v>
      </c>
      <c r="L864">
        <v>3</v>
      </c>
      <c r="M864" t="s">
        <v>986</v>
      </c>
      <c r="N864" t="s">
        <v>986</v>
      </c>
      <c r="O864" t="s">
        <v>55</v>
      </c>
      <c r="P864" s="2" t="str">
        <f t="shared" si="39"/>
        <v>10/06/2025 to 13/06/2025</v>
      </c>
      <c r="Q864" s="3">
        <v>45816</v>
      </c>
      <c r="R864" t="str">
        <f t="shared" si="40"/>
        <v>Late</v>
      </c>
      <c r="S864" t="s">
        <v>71</v>
      </c>
      <c r="T864">
        <v>28.5</v>
      </c>
      <c r="U864" t="s">
        <v>79</v>
      </c>
      <c r="V864" t="s">
        <v>66</v>
      </c>
      <c r="W864" t="str">
        <f t="shared" ca="1" si="41"/>
        <v>Dormant</v>
      </c>
    </row>
    <row r="865" spans="1:23" x14ac:dyDescent="0.2">
      <c r="A865">
        <v>996</v>
      </c>
      <c r="B865" t="s">
        <v>3050</v>
      </c>
      <c r="C865" t="s">
        <v>3059</v>
      </c>
      <c r="D865" s="1" t="s">
        <v>983</v>
      </c>
      <c r="E865" t="s">
        <v>3052</v>
      </c>
      <c r="F865" t="s">
        <v>110</v>
      </c>
      <c r="G865" s="4" t="s">
        <v>5425</v>
      </c>
      <c r="H865" t="s">
        <v>3053</v>
      </c>
      <c r="I865" t="s">
        <v>136</v>
      </c>
      <c r="J865" s="4" t="s">
        <v>74</v>
      </c>
      <c r="K865" t="s">
        <v>10</v>
      </c>
      <c r="L865">
        <v>1</v>
      </c>
      <c r="M865" t="s">
        <v>55</v>
      </c>
      <c r="N865" t="s">
        <v>62</v>
      </c>
      <c r="O865" t="s">
        <v>55</v>
      </c>
      <c r="P865" s="2" t="str">
        <f t="shared" si="39"/>
        <v>10/06/2025 to 13/06/2025</v>
      </c>
      <c r="Q865" s="3">
        <v>45816</v>
      </c>
      <c r="R865" t="str">
        <f t="shared" si="40"/>
        <v>Late</v>
      </c>
      <c r="S865" t="s">
        <v>1122</v>
      </c>
      <c r="T865">
        <v>10</v>
      </c>
      <c r="U865" t="s">
        <v>65</v>
      </c>
      <c r="V865" t="s">
        <v>80</v>
      </c>
      <c r="W865" t="str">
        <f t="shared" ca="1" si="41"/>
        <v>Dormant</v>
      </c>
    </row>
    <row r="866" spans="1:23" x14ac:dyDescent="0.2">
      <c r="A866">
        <v>1385</v>
      </c>
      <c r="B866" t="s">
        <v>3986</v>
      </c>
      <c r="C866" t="s">
        <v>3987</v>
      </c>
      <c r="D866" s="1" t="s">
        <v>983</v>
      </c>
      <c r="E866" t="s">
        <v>3988</v>
      </c>
      <c r="F866" t="s">
        <v>2176</v>
      </c>
      <c r="G866" s="4" t="s">
        <v>5423</v>
      </c>
      <c r="H866" t="s">
        <v>1155</v>
      </c>
      <c r="I866" t="s">
        <v>59</v>
      </c>
      <c r="J866" s="4" t="s">
        <v>5417</v>
      </c>
      <c r="K866" t="s">
        <v>3989</v>
      </c>
      <c r="L866">
        <v>2</v>
      </c>
      <c r="M866" t="s">
        <v>986</v>
      </c>
      <c r="N866" t="s">
        <v>986</v>
      </c>
      <c r="O866" t="s">
        <v>85</v>
      </c>
      <c r="P866" s="2" t="str">
        <f t="shared" si="39"/>
        <v>10/06/2025 to 13/06/2025</v>
      </c>
      <c r="Q866" s="3">
        <v>45821</v>
      </c>
      <c r="R866" t="str">
        <f t="shared" si="40"/>
        <v>On-Time</v>
      </c>
      <c r="S866" t="s">
        <v>64</v>
      </c>
      <c r="T866">
        <v>16.5</v>
      </c>
      <c r="U866" t="s">
        <v>79</v>
      </c>
      <c r="V866" t="s">
        <v>72</v>
      </c>
      <c r="W866" t="str">
        <f t="shared" ca="1" si="41"/>
        <v>Dormant</v>
      </c>
    </row>
    <row r="867" spans="1:23" x14ac:dyDescent="0.2">
      <c r="A867">
        <v>1</v>
      </c>
      <c r="B867" t="s">
        <v>53</v>
      </c>
      <c r="C867" t="s">
        <v>54</v>
      </c>
      <c r="D867" s="1" t="s">
        <v>55</v>
      </c>
      <c r="E867" t="s">
        <v>56</v>
      </c>
      <c r="F867" t="s">
        <v>57</v>
      </c>
      <c r="G867" s="4" t="s">
        <v>5425</v>
      </c>
      <c r="H867" t="s">
        <v>58</v>
      </c>
      <c r="I867" t="s">
        <v>59</v>
      </c>
      <c r="J867" s="4" t="s">
        <v>5417</v>
      </c>
      <c r="K867" t="s">
        <v>61</v>
      </c>
      <c r="L867">
        <v>3</v>
      </c>
      <c r="M867" t="s">
        <v>62</v>
      </c>
      <c r="N867" t="s">
        <v>62</v>
      </c>
      <c r="O867" t="s">
        <v>62</v>
      </c>
      <c r="P867" s="2" t="str">
        <f t="shared" si="39"/>
        <v>11/06/2025 to 16/06/2025</v>
      </c>
      <c r="Q867" s="3">
        <v>45819</v>
      </c>
      <c r="R867" t="str">
        <f t="shared" si="40"/>
        <v>On-Time</v>
      </c>
      <c r="S867" t="s">
        <v>64</v>
      </c>
      <c r="T867">
        <v>28.5</v>
      </c>
      <c r="U867" t="s">
        <v>65</v>
      </c>
      <c r="V867" t="s">
        <v>66</v>
      </c>
      <c r="W867" t="str">
        <f t="shared" ca="1" si="41"/>
        <v>Dormant</v>
      </c>
    </row>
    <row r="868" spans="1:23" x14ac:dyDescent="0.2">
      <c r="A868">
        <v>2</v>
      </c>
      <c r="B868" t="s">
        <v>53</v>
      </c>
      <c r="C868" t="s">
        <v>67</v>
      </c>
      <c r="D868" s="1" t="s">
        <v>55</v>
      </c>
      <c r="E868" t="s">
        <v>56</v>
      </c>
      <c r="F868" t="s">
        <v>57</v>
      </c>
      <c r="G868" s="4" t="s">
        <v>5425</v>
      </c>
      <c r="H868" t="s">
        <v>58</v>
      </c>
      <c r="I868" t="s">
        <v>59</v>
      </c>
      <c r="J868" s="4" t="s">
        <v>74</v>
      </c>
      <c r="K868" t="s">
        <v>69</v>
      </c>
      <c r="L868">
        <v>2</v>
      </c>
      <c r="M868" t="s">
        <v>62</v>
      </c>
      <c r="N868" t="s">
        <v>70</v>
      </c>
      <c r="O868" t="s">
        <v>62</v>
      </c>
      <c r="P868" s="2" t="str">
        <f t="shared" si="39"/>
        <v>11/06/2025 to 16/06/2025</v>
      </c>
      <c r="Q868" s="3">
        <v>45818</v>
      </c>
      <c r="R868" t="str">
        <f t="shared" si="40"/>
        <v>Late</v>
      </c>
      <c r="S868" t="s">
        <v>71</v>
      </c>
      <c r="T868">
        <v>20</v>
      </c>
      <c r="U868" t="s">
        <v>65</v>
      </c>
      <c r="V868" t="s">
        <v>72</v>
      </c>
      <c r="W868" t="str">
        <f t="shared" ca="1" si="41"/>
        <v>Dormant</v>
      </c>
    </row>
    <row r="869" spans="1:23" x14ac:dyDescent="0.2">
      <c r="A869">
        <v>3</v>
      </c>
      <c r="B869" t="s">
        <v>53</v>
      </c>
      <c r="C869" t="s">
        <v>73</v>
      </c>
      <c r="D869" s="1" t="s">
        <v>55</v>
      </c>
      <c r="E869" t="s">
        <v>56</v>
      </c>
      <c r="F869" t="s">
        <v>57</v>
      </c>
      <c r="G869" s="4" t="s">
        <v>5424</v>
      </c>
      <c r="H869" t="s">
        <v>58</v>
      </c>
      <c r="I869" t="s">
        <v>59</v>
      </c>
      <c r="J869" s="4" t="s">
        <v>5417</v>
      </c>
      <c r="K869" t="s">
        <v>75</v>
      </c>
      <c r="L869">
        <v>3</v>
      </c>
      <c r="M869" t="s">
        <v>62</v>
      </c>
      <c r="N869" t="s">
        <v>76</v>
      </c>
      <c r="O869" t="s">
        <v>70</v>
      </c>
      <c r="P869" s="2" t="str">
        <f t="shared" si="39"/>
        <v>11/06/2025 to 16/06/2025</v>
      </c>
      <c r="Q869" s="3">
        <v>45825</v>
      </c>
      <c r="R869" t="str">
        <f t="shared" si="40"/>
        <v>Late</v>
      </c>
      <c r="S869" t="s">
        <v>78</v>
      </c>
      <c r="T869">
        <v>29.5</v>
      </c>
      <c r="U869" t="s">
        <v>79</v>
      </c>
      <c r="V869" t="s">
        <v>80</v>
      </c>
      <c r="W869" t="str">
        <f t="shared" ca="1" si="41"/>
        <v>Dormant</v>
      </c>
    </row>
    <row r="870" spans="1:23" x14ac:dyDescent="0.2">
      <c r="A870">
        <v>4</v>
      </c>
      <c r="B870" t="s">
        <v>53</v>
      </c>
      <c r="C870" t="s">
        <v>81</v>
      </c>
      <c r="D870" s="1" t="s">
        <v>55</v>
      </c>
      <c r="E870" t="s">
        <v>56</v>
      </c>
      <c r="F870" t="s">
        <v>57</v>
      </c>
      <c r="G870" s="4" t="s">
        <v>38</v>
      </c>
      <c r="H870" t="s">
        <v>58</v>
      </c>
      <c r="I870" t="s">
        <v>59</v>
      </c>
      <c r="J870" s="4" t="s">
        <v>60</v>
      </c>
      <c r="K870" t="s">
        <v>82</v>
      </c>
      <c r="L870">
        <v>2</v>
      </c>
      <c r="M870" t="s">
        <v>62</v>
      </c>
      <c r="N870" t="s">
        <v>62</v>
      </c>
      <c r="O870" t="s">
        <v>76</v>
      </c>
      <c r="P870" s="2" t="str">
        <f t="shared" si="39"/>
        <v>11/06/2025 to 16/06/2025</v>
      </c>
      <c r="Q870" s="3">
        <v>45818</v>
      </c>
      <c r="R870" t="str">
        <f t="shared" si="40"/>
        <v>Late</v>
      </c>
      <c r="S870" t="s">
        <v>71</v>
      </c>
      <c r="T870">
        <v>19.5</v>
      </c>
      <c r="U870" t="s">
        <v>65</v>
      </c>
      <c r="V870" t="s">
        <v>72</v>
      </c>
      <c r="W870" t="str">
        <f t="shared" ca="1" si="41"/>
        <v>Dormant</v>
      </c>
    </row>
    <row r="871" spans="1:23" x14ac:dyDescent="0.2">
      <c r="A871">
        <v>5</v>
      </c>
      <c r="B871" t="s">
        <v>53</v>
      </c>
      <c r="C871" t="s">
        <v>83</v>
      </c>
      <c r="D871" s="1" t="s">
        <v>55</v>
      </c>
      <c r="E871" t="s">
        <v>56</v>
      </c>
      <c r="F871" t="s">
        <v>57</v>
      </c>
      <c r="G871" s="4" t="s">
        <v>5424</v>
      </c>
      <c r="H871" t="s">
        <v>58</v>
      </c>
      <c r="I871" t="s">
        <v>59</v>
      </c>
      <c r="J871" s="4" t="s">
        <v>74</v>
      </c>
      <c r="K871" t="s">
        <v>84</v>
      </c>
      <c r="L871">
        <v>2</v>
      </c>
      <c r="M871" t="s">
        <v>85</v>
      </c>
      <c r="N871" t="s">
        <v>62</v>
      </c>
      <c r="O871" t="s">
        <v>76</v>
      </c>
      <c r="P871" s="2" t="str">
        <f t="shared" si="39"/>
        <v>10/06/2025 to 13/06/2025</v>
      </c>
      <c r="Q871" s="3">
        <v>45820</v>
      </c>
      <c r="R871" t="str">
        <f t="shared" si="40"/>
        <v>On-Time</v>
      </c>
      <c r="S871" t="s">
        <v>86</v>
      </c>
      <c r="T871">
        <v>17</v>
      </c>
      <c r="U871" t="s">
        <v>79</v>
      </c>
      <c r="V871" t="s">
        <v>72</v>
      </c>
      <c r="W871" t="str">
        <f t="shared" ca="1" si="41"/>
        <v>Dormant</v>
      </c>
    </row>
    <row r="872" spans="1:23" x14ac:dyDescent="0.2">
      <c r="A872">
        <v>1812</v>
      </c>
      <c r="B872" t="s">
        <v>4987</v>
      </c>
      <c r="C872" t="s">
        <v>4988</v>
      </c>
      <c r="D872" s="1" t="s">
        <v>85</v>
      </c>
      <c r="E872" t="s">
        <v>4989</v>
      </c>
      <c r="F872" t="s">
        <v>286</v>
      </c>
      <c r="G872" s="4" t="s">
        <v>5419</v>
      </c>
      <c r="H872" t="s">
        <v>4990</v>
      </c>
      <c r="I872" t="s">
        <v>136</v>
      </c>
      <c r="J872" s="4" t="s">
        <v>68</v>
      </c>
      <c r="K872" t="s">
        <v>211</v>
      </c>
      <c r="L872">
        <v>2</v>
      </c>
      <c r="M872" t="s">
        <v>85</v>
      </c>
      <c r="N872" t="s">
        <v>85</v>
      </c>
      <c r="O872" t="s">
        <v>85</v>
      </c>
      <c r="P872" s="2" t="str">
        <f t="shared" si="39"/>
        <v>10/06/2025 to 13/06/2025</v>
      </c>
      <c r="Q872" s="3">
        <v>45816</v>
      </c>
      <c r="R872" t="str">
        <f t="shared" si="40"/>
        <v>Late</v>
      </c>
      <c r="S872" t="s">
        <v>71</v>
      </c>
      <c r="T872">
        <v>17</v>
      </c>
      <c r="U872" t="s">
        <v>65</v>
      </c>
      <c r="V872" t="s">
        <v>66</v>
      </c>
      <c r="W872" t="str">
        <f t="shared" ca="1" si="41"/>
        <v>Dormant</v>
      </c>
    </row>
    <row r="873" spans="1:23" x14ac:dyDescent="0.2">
      <c r="A873">
        <v>1813</v>
      </c>
      <c r="B873" t="s">
        <v>4987</v>
      </c>
      <c r="C873" t="s">
        <v>4991</v>
      </c>
      <c r="D873" s="1" t="s">
        <v>85</v>
      </c>
      <c r="E873" t="s">
        <v>4989</v>
      </c>
      <c r="F873" t="s">
        <v>286</v>
      </c>
      <c r="G873" s="4" t="s">
        <v>5419</v>
      </c>
      <c r="H873" t="s">
        <v>4990</v>
      </c>
      <c r="I873" t="s">
        <v>136</v>
      </c>
      <c r="J873" s="4" t="s">
        <v>74</v>
      </c>
      <c r="K873" t="s">
        <v>28</v>
      </c>
      <c r="L873">
        <v>1</v>
      </c>
      <c r="M873" t="s">
        <v>85</v>
      </c>
      <c r="N873" t="s">
        <v>76</v>
      </c>
      <c r="O873" t="s">
        <v>62</v>
      </c>
      <c r="P873" s="2" t="str">
        <f t="shared" si="39"/>
        <v>10/06/2025 to 13/06/2025</v>
      </c>
      <c r="Q873" s="3">
        <v>45822</v>
      </c>
      <c r="R873" t="str">
        <f t="shared" si="40"/>
        <v>Late</v>
      </c>
      <c r="S873" t="s">
        <v>515</v>
      </c>
      <c r="T873">
        <v>9</v>
      </c>
      <c r="U873" t="s">
        <v>65</v>
      </c>
      <c r="V873" t="s">
        <v>72</v>
      </c>
      <c r="W873" t="str">
        <f t="shared" ca="1" si="41"/>
        <v>Dormant</v>
      </c>
    </row>
    <row r="874" spans="1:23" x14ac:dyDescent="0.2">
      <c r="A874">
        <v>1814</v>
      </c>
      <c r="B874" t="s">
        <v>4987</v>
      </c>
      <c r="C874" t="s">
        <v>4992</v>
      </c>
      <c r="D874" s="1" t="s">
        <v>85</v>
      </c>
      <c r="E874" t="s">
        <v>4989</v>
      </c>
      <c r="F874" t="s">
        <v>286</v>
      </c>
      <c r="G874" s="4" t="s">
        <v>5420</v>
      </c>
      <c r="H874" t="s">
        <v>4990</v>
      </c>
      <c r="I874" t="s">
        <v>136</v>
      </c>
      <c r="J874" s="4" t="s">
        <v>68</v>
      </c>
      <c r="K874" t="s">
        <v>12</v>
      </c>
      <c r="L874">
        <v>1</v>
      </c>
      <c r="M874" t="s">
        <v>62</v>
      </c>
      <c r="N874" t="s">
        <v>70</v>
      </c>
      <c r="O874" t="s">
        <v>70</v>
      </c>
      <c r="P874" s="2" t="str">
        <f t="shared" si="39"/>
        <v>11/06/2025 to 16/06/2025</v>
      </c>
      <c r="Q874" s="3">
        <v>45823</v>
      </c>
      <c r="R874" t="str">
        <f t="shared" si="40"/>
        <v>On-Time</v>
      </c>
      <c r="S874" t="s">
        <v>515</v>
      </c>
      <c r="T874">
        <v>9.5</v>
      </c>
      <c r="U874" t="s">
        <v>65</v>
      </c>
      <c r="V874" t="s">
        <v>66</v>
      </c>
      <c r="W874" t="str">
        <f t="shared" ca="1" si="41"/>
        <v>Dormant</v>
      </c>
    </row>
    <row r="875" spans="1:23" x14ac:dyDescent="0.2">
      <c r="A875">
        <v>1964</v>
      </c>
      <c r="B875" t="s">
        <v>5323</v>
      </c>
      <c r="C875" t="s">
        <v>5324</v>
      </c>
      <c r="D875" s="1" t="s">
        <v>85</v>
      </c>
      <c r="E875" t="s">
        <v>5325</v>
      </c>
      <c r="F875" t="s">
        <v>209</v>
      </c>
      <c r="G875" s="4" t="s">
        <v>5422</v>
      </c>
      <c r="H875" t="s">
        <v>5326</v>
      </c>
      <c r="I875" t="s">
        <v>59</v>
      </c>
      <c r="J875" s="4" t="s">
        <v>60</v>
      </c>
      <c r="K875" t="s">
        <v>3025</v>
      </c>
      <c r="L875">
        <v>3</v>
      </c>
      <c r="M875" t="s">
        <v>76</v>
      </c>
      <c r="N875" t="s">
        <v>76</v>
      </c>
      <c r="O875" t="s">
        <v>76</v>
      </c>
      <c r="P875" s="2" t="str">
        <f t="shared" si="39"/>
        <v>12/06/2025 to 17/06/2025</v>
      </c>
      <c r="Q875" s="3">
        <v>45824</v>
      </c>
      <c r="R875" t="str">
        <f t="shared" si="40"/>
        <v>On-Time</v>
      </c>
      <c r="S875" t="s">
        <v>77</v>
      </c>
      <c r="T875">
        <v>26</v>
      </c>
      <c r="U875" t="s">
        <v>65</v>
      </c>
      <c r="V875" t="s">
        <v>66</v>
      </c>
      <c r="W875" t="str">
        <f t="shared" ca="1" si="41"/>
        <v>Dormant</v>
      </c>
    </row>
    <row r="876" spans="1:23" x14ac:dyDescent="0.2">
      <c r="A876">
        <v>556</v>
      </c>
      <c r="B876" t="s">
        <v>1968</v>
      </c>
      <c r="C876" t="s">
        <v>1969</v>
      </c>
      <c r="D876" s="1" t="s">
        <v>62</v>
      </c>
      <c r="E876" t="s">
        <v>1970</v>
      </c>
      <c r="F876" t="s">
        <v>91</v>
      </c>
      <c r="G876" s="4" t="s">
        <v>5418</v>
      </c>
      <c r="H876" t="s">
        <v>1971</v>
      </c>
      <c r="I876" t="s">
        <v>201</v>
      </c>
      <c r="J876" s="4" t="s">
        <v>5417</v>
      </c>
      <c r="K876" t="s">
        <v>22</v>
      </c>
      <c r="L876">
        <v>1</v>
      </c>
      <c r="M876" t="s">
        <v>70</v>
      </c>
      <c r="N876" t="s">
        <v>70</v>
      </c>
      <c r="O876" t="s">
        <v>97</v>
      </c>
      <c r="P876" s="2" t="str">
        <f t="shared" si="39"/>
        <v>13/06/2025 to 18/06/2025</v>
      </c>
      <c r="Q876" s="3">
        <v>45825</v>
      </c>
      <c r="R876" t="str">
        <f t="shared" si="40"/>
        <v>On-Time</v>
      </c>
      <c r="S876" t="s">
        <v>77</v>
      </c>
      <c r="T876">
        <v>8</v>
      </c>
      <c r="U876" t="s">
        <v>79</v>
      </c>
      <c r="V876" t="s">
        <v>72</v>
      </c>
      <c r="W876" t="str">
        <f t="shared" ca="1" si="41"/>
        <v>Dormant</v>
      </c>
    </row>
    <row r="877" spans="1:23" x14ac:dyDescent="0.2">
      <c r="A877">
        <v>1245</v>
      </c>
      <c r="B877" t="s">
        <v>3649</v>
      </c>
      <c r="C877" t="s">
        <v>3650</v>
      </c>
      <c r="D877" s="1" t="s">
        <v>62</v>
      </c>
      <c r="E877" t="s">
        <v>3651</v>
      </c>
      <c r="F877" t="s">
        <v>266</v>
      </c>
      <c r="G877" s="4" t="s">
        <v>5420</v>
      </c>
      <c r="H877" t="s">
        <v>3652</v>
      </c>
      <c r="I877" t="s">
        <v>201</v>
      </c>
      <c r="J877" s="4" t="s">
        <v>74</v>
      </c>
      <c r="K877" t="s">
        <v>3653</v>
      </c>
      <c r="L877">
        <v>3</v>
      </c>
      <c r="M877" t="s">
        <v>76</v>
      </c>
      <c r="N877" t="s">
        <v>97</v>
      </c>
      <c r="O877" t="s">
        <v>70</v>
      </c>
      <c r="P877" s="2" t="str">
        <f t="shared" si="39"/>
        <v>12/06/2025 to 17/06/2025</v>
      </c>
      <c r="Q877" s="3">
        <v>45821</v>
      </c>
      <c r="R877" t="str">
        <f t="shared" si="40"/>
        <v>On-Time</v>
      </c>
      <c r="S877" t="s">
        <v>64</v>
      </c>
      <c r="T877">
        <v>29.5</v>
      </c>
      <c r="U877" t="s">
        <v>79</v>
      </c>
      <c r="V877" t="s">
        <v>80</v>
      </c>
      <c r="W877" t="str">
        <f t="shared" ca="1" si="41"/>
        <v>Dormant</v>
      </c>
    </row>
    <row r="878" spans="1:23" x14ac:dyDescent="0.2">
      <c r="A878">
        <v>1470</v>
      </c>
      <c r="B878" t="s">
        <v>4195</v>
      </c>
      <c r="C878" t="s">
        <v>4196</v>
      </c>
      <c r="D878" s="1" t="s">
        <v>76</v>
      </c>
      <c r="E878" t="s">
        <v>4197</v>
      </c>
      <c r="F878" t="s">
        <v>266</v>
      </c>
      <c r="G878" s="4" t="s">
        <v>5428</v>
      </c>
      <c r="H878" t="s">
        <v>4198</v>
      </c>
      <c r="I878" t="s">
        <v>93</v>
      </c>
      <c r="J878" s="4" t="s">
        <v>68</v>
      </c>
      <c r="K878" t="s">
        <v>4199</v>
      </c>
      <c r="L878">
        <v>4</v>
      </c>
      <c r="M878" t="s">
        <v>70</v>
      </c>
      <c r="N878" t="s">
        <v>97</v>
      </c>
      <c r="O878" t="s">
        <v>70</v>
      </c>
      <c r="P878" s="2" t="str">
        <f t="shared" si="39"/>
        <v>13/06/2025 to 18/06/2025</v>
      </c>
      <c r="Q878" s="3">
        <v>45823</v>
      </c>
      <c r="R878" t="str">
        <f t="shared" si="40"/>
        <v>On-Time</v>
      </c>
      <c r="S878" t="s">
        <v>77</v>
      </c>
      <c r="T878">
        <v>41.5</v>
      </c>
      <c r="U878" t="s">
        <v>79</v>
      </c>
      <c r="V878" t="s">
        <v>66</v>
      </c>
      <c r="W878" t="str">
        <f t="shared" ca="1" si="41"/>
        <v>Dormant</v>
      </c>
    </row>
    <row r="879" spans="1:23" x14ac:dyDescent="0.2">
      <c r="A879">
        <v>1471</v>
      </c>
      <c r="B879" t="s">
        <v>4195</v>
      </c>
      <c r="C879" t="s">
        <v>4200</v>
      </c>
      <c r="D879" s="1" t="s">
        <v>76</v>
      </c>
      <c r="E879" t="s">
        <v>4197</v>
      </c>
      <c r="F879" t="s">
        <v>266</v>
      </c>
      <c r="G879" s="4" t="s">
        <v>5419</v>
      </c>
      <c r="H879" t="s">
        <v>4198</v>
      </c>
      <c r="I879" t="s">
        <v>93</v>
      </c>
      <c r="J879" s="4" t="s">
        <v>68</v>
      </c>
      <c r="K879" t="s">
        <v>4201</v>
      </c>
      <c r="L879">
        <v>3</v>
      </c>
      <c r="M879" t="s">
        <v>97</v>
      </c>
      <c r="N879" t="s">
        <v>97</v>
      </c>
      <c r="O879" t="s">
        <v>97</v>
      </c>
      <c r="P879" s="2" t="str">
        <f t="shared" si="39"/>
        <v>16/06/2025 to 19/06/2025</v>
      </c>
      <c r="Q879" s="3">
        <v>45826</v>
      </c>
      <c r="R879" t="str">
        <f t="shared" si="40"/>
        <v>On-Time</v>
      </c>
      <c r="S879" t="s">
        <v>661</v>
      </c>
      <c r="T879">
        <v>26.5</v>
      </c>
      <c r="U879" t="s">
        <v>65</v>
      </c>
      <c r="V879" t="s">
        <v>66</v>
      </c>
      <c r="W879" t="str">
        <f t="shared" ca="1" si="41"/>
        <v>Dormant</v>
      </c>
    </row>
    <row r="880" spans="1:23" x14ac:dyDescent="0.2">
      <c r="A880">
        <v>1472</v>
      </c>
      <c r="B880" t="s">
        <v>4195</v>
      </c>
      <c r="C880" t="s">
        <v>4202</v>
      </c>
      <c r="D880" s="1" t="s">
        <v>76</v>
      </c>
      <c r="E880" t="s">
        <v>4197</v>
      </c>
      <c r="F880" t="s">
        <v>266</v>
      </c>
      <c r="G880" s="4" t="s">
        <v>5424</v>
      </c>
      <c r="H880" t="s">
        <v>4198</v>
      </c>
      <c r="I880" t="s">
        <v>93</v>
      </c>
      <c r="J880" s="4" t="s">
        <v>60</v>
      </c>
      <c r="K880" t="s">
        <v>4203</v>
      </c>
      <c r="L880">
        <v>4</v>
      </c>
      <c r="M880" t="s">
        <v>76</v>
      </c>
      <c r="N880" t="s">
        <v>97</v>
      </c>
      <c r="O880" t="s">
        <v>76</v>
      </c>
      <c r="P880" s="2" t="str">
        <f t="shared" si="39"/>
        <v>12/06/2025 to 17/06/2025</v>
      </c>
      <c r="Q880" s="3">
        <v>45822</v>
      </c>
      <c r="R880" t="str">
        <f t="shared" si="40"/>
        <v>On-Time</v>
      </c>
      <c r="S880" t="s">
        <v>515</v>
      </c>
      <c r="T880">
        <v>40.5</v>
      </c>
      <c r="U880" t="s">
        <v>65</v>
      </c>
      <c r="V880" t="s">
        <v>80</v>
      </c>
      <c r="W880" t="str">
        <f t="shared" ca="1" si="41"/>
        <v>Dormant</v>
      </c>
    </row>
    <row r="881" spans="1:23" x14ac:dyDescent="0.2">
      <c r="A881">
        <v>1473</v>
      </c>
      <c r="B881" t="s">
        <v>4195</v>
      </c>
      <c r="C881" t="s">
        <v>4204</v>
      </c>
      <c r="D881" s="1" t="s">
        <v>76</v>
      </c>
      <c r="E881" t="s">
        <v>4197</v>
      </c>
      <c r="F881" t="s">
        <v>266</v>
      </c>
      <c r="G881" s="4" t="s">
        <v>5420</v>
      </c>
      <c r="H881" t="s">
        <v>4198</v>
      </c>
      <c r="I881" t="s">
        <v>93</v>
      </c>
      <c r="J881" s="4" t="s">
        <v>74</v>
      </c>
      <c r="K881" t="s">
        <v>4205</v>
      </c>
      <c r="L881">
        <v>2</v>
      </c>
      <c r="M881" t="s">
        <v>97</v>
      </c>
      <c r="N881" t="s">
        <v>97</v>
      </c>
      <c r="O881" t="s">
        <v>101</v>
      </c>
      <c r="P881" s="2" t="str">
        <f t="shared" si="39"/>
        <v>16/06/2025 to 19/06/2025</v>
      </c>
      <c r="Q881" s="3">
        <v>45822</v>
      </c>
      <c r="R881" t="str">
        <f t="shared" si="40"/>
        <v>Late</v>
      </c>
      <c r="S881" t="s">
        <v>514</v>
      </c>
      <c r="T881">
        <v>17.5</v>
      </c>
      <c r="U881" t="s">
        <v>79</v>
      </c>
      <c r="V881" t="s">
        <v>72</v>
      </c>
      <c r="W881" t="str">
        <f t="shared" ca="1" si="41"/>
        <v>Dormant</v>
      </c>
    </row>
    <row r="882" spans="1:23" x14ac:dyDescent="0.2">
      <c r="A882">
        <v>974</v>
      </c>
      <c r="B882" t="s">
        <v>3002</v>
      </c>
      <c r="C882" t="s">
        <v>3003</v>
      </c>
      <c r="D882" s="1" t="s">
        <v>70</v>
      </c>
      <c r="E882" t="s">
        <v>3004</v>
      </c>
      <c r="F882" t="s">
        <v>1204</v>
      </c>
      <c r="G882" s="4" t="s">
        <v>5428</v>
      </c>
      <c r="H882" t="s">
        <v>3005</v>
      </c>
      <c r="I882" t="s">
        <v>201</v>
      </c>
      <c r="J882" s="4" t="s">
        <v>5417</v>
      </c>
      <c r="K882" t="s">
        <v>2549</v>
      </c>
      <c r="L882">
        <v>2</v>
      </c>
      <c r="M882" t="s">
        <v>70</v>
      </c>
      <c r="N882" t="s">
        <v>97</v>
      </c>
      <c r="O882" t="s">
        <v>70</v>
      </c>
      <c r="P882" s="2" t="str">
        <f t="shared" si="39"/>
        <v>13/06/2025 to 18/06/2025</v>
      </c>
      <c r="Q882" s="3">
        <v>45820</v>
      </c>
      <c r="R882" t="str">
        <f t="shared" si="40"/>
        <v>Late</v>
      </c>
      <c r="S882" t="s">
        <v>509</v>
      </c>
      <c r="T882">
        <v>19.5</v>
      </c>
      <c r="U882" t="s">
        <v>65</v>
      </c>
      <c r="V882" t="s">
        <v>72</v>
      </c>
      <c r="W882" t="str">
        <f t="shared" ca="1" si="41"/>
        <v>Dormant</v>
      </c>
    </row>
    <row r="883" spans="1:23" x14ac:dyDescent="0.2">
      <c r="A883">
        <v>1099</v>
      </c>
      <c r="B883" t="s">
        <v>3301</v>
      </c>
      <c r="C883" t="s">
        <v>3302</v>
      </c>
      <c r="D883" s="1" t="s">
        <v>70</v>
      </c>
      <c r="E883" t="s">
        <v>3303</v>
      </c>
      <c r="F883" t="s">
        <v>1920</v>
      </c>
      <c r="G883" s="4" t="s">
        <v>38</v>
      </c>
      <c r="H883" t="s">
        <v>1422</v>
      </c>
      <c r="I883" t="s">
        <v>136</v>
      </c>
      <c r="J883" s="4" t="s">
        <v>68</v>
      </c>
      <c r="K883" t="s">
        <v>2743</v>
      </c>
      <c r="L883">
        <v>4</v>
      </c>
      <c r="M883" t="s">
        <v>70</v>
      </c>
      <c r="N883" t="s">
        <v>70</v>
      </c>
      <c r="O883" t="s">
        <v>97</v>
      </c>
      <c r="P883" s="2" t="str">
        <f t="shared" si="39"/>
        <v>13/06/2025 to 18/06/2025</v>
      </c>
      <c r="Q883" s="3">
        <v>45820</v>
      </c>
      <c r="R883" t="str">
        <f t="shared" si="40"/>
        <v>Late</v>
      </c>
      <c r="S883" t="s">
        <v>86</v>
      </c>
      <c r="T883">
        <v>36.5</v>
      </c>
      <c r="U883" t="s">
        <v>79</v>
      </c>
      <c r="V883" t="s">
        <v>66</v>
      </c>
      <c r="W883" t="str">
        <f t="shared" ca="1" si="41"/>
        <v>Dormant</v>
      </c>
    </row>
    <row r="884" spans="1:23" x14ac:dyDescent="0.2">
      <c r="A884">
        <v>1100</v>
      </c>
      <c r="B884" t="s">
        <v>3301</v>
      </c>
      <c r="C884" t="s">
        <v>3304</v>
      </c>
      <c r="D884" s="1" t="s">
        <v>70</v>
      </c>
      <c r="E884" t="s">
        <v>3303</v>
      </c>
      <c r="F884" t="s">
        <v>1920</v>
      </c>
      <c r="G884" s="4" t="s">
        <v>5418</v>
      </c>
      <c r="H884" t="s">
        <v>1422</v>
      </c>
      <c r="I884" t="s">
        <v>136</v>
      </c>
      <c r="J884" s="4" t="s">
        <v>68</v>
      </c>
      <c r="K884" t="s">
        <v>3305</v>
      </c>
      <c r="L884">
        <v>3</v>
      </c>
      <c r="M884" t="s">
        <v>70</v>
      </c>
      <c r="N884" t="s">
        <v>70</v>
      </c>
      <c r="O884" t="s">
        <v>101</v>
      </c>
      <c r="P884" s="2" t="str">
        <f t="shared" si="39"/>
        <v>13/06/2025 to 18/06/2025</v>
      </c>
      <c r="Q884" s="3">
        <v>45826</v>
      </c>
      <c r="R884" t="str">
        <f t="shared" si="40"/>
        <v>On-Time</v>
      </c>
      <c r="S884" t="s">
        <v>664</v>
      </c>
      <c r="T884">
        <v>24</v>
      </c>
      <c r="U884" t="s">
        <v>65</v>
      </c>
      <c r="V884" t="s">
        <v>80</v>
      </c>
      <c r="W884" t="str">
        <f t="shared" ca="1" si="41"/>
        <v>Dormant</v>
      </c>
    </row>
    <row r="885" spans="1:23" x14ac:dyDescent="0.2">
      <c r="A885">
        <v>1101</v>
      </c>
      <c r="B885" t="s">
        <v>3301</v>
      </c>
      <c r="C885" t="s">
        <v>3306</v>
      </c>
      <c r="D885" s="1" t="s">
        <v>70</v>
      </c>
      <c r="E885" t="s">
        <v>3303</v>
      </c>
      <c r="F885" t="s">
        <v>1920</v>
      </c>
      <c r="G885" s="4" t="s">
        <v>5425</v>
      </c>
      <c r="H885" t="s">
        <v>1422</v>
      </c>
      <c r="I885" t="s">
        <v>136</v>
      </c>
      <c r="J885" s="4" t="s">
        <v>60</v>
      </c>
      <c r="K885" t="s">
        <v>3307</v>
      </c>
      <c r="L885">
        <v>4</v>
      </c>
      <c r="M885" t="s">
        <v>70</v>
      </c>
      <c r="N885" t="s">
        <v>101</v>
      </c>
      <c r="O885" t="s">
        <v>101</v>
      </c>
      <c r="P885" s="2" t="str">
        <f t="shared" si="39"/>
        <v>13/06/2025 to 18/06/2025</v>
      </c>
      <c r="Q885" s="3">
        <v>45821</v>
      </c>
      <c r="R885" t="str">
        <f t="shared" si="40"/>
        <v>On-Time</v>
      </c>
      <c r="S885" t="s">
        <v>509</v>
      </c>
      <c r="T885">
        <v>37</v>
      </c>
      <c r="U885" t="s">
        <v>65</v>
      </c>
      <c r="V885" t="s">
        <v>80</v>
      </c>
      <c r="W885" t="str">
        <f t="shared" ca="1" si="41"/>
        <v>Dormant</v>
      </c>
    </row>
    <row r="886" spans="1:23" x14ac:dyDescent="0.2">
      <c r="A886">
        <v>1102</v>
      </c>
      <c r="B886" t="s">
        <v>3301</v>
      </c>
      <c r="C886" t="s">
        <v>3308</v>
      </c>
      <c r="D886" s="1" t="s">
        <v>70</v>
      </c>
      <c r="E886" t="s">
        <v>3303</v>
      </c>
      <c r="F886" t="s">
        <v>1920</v>
      </c>
      <c r="G886" s="4" t="s">
        <v>5427</v>
      </c>
      <c r="H886" t="s">
        <v>1422</v>
      </c>
      <c r="I886" t="s">
        <v>136</v>
      </c>
      <c r="J886" s="4" t="s">
        <v>74</v>
      </c>
      <c r="K886" t="s">
        <v>3309</v>
      </c>
      <c r="L886">
        <v>3</v>
      </c>
      <c r="M886" t="s">
        <v>101</v>
      </c>
      <c r="N886" t="s">
        <v>98</v>
      </c>
      <c r="O886" t="s">
        <v>98</v>
      </c>
      <c r="P886" s="2" t="str">
        <f t="shared" si="39"/>
        <v>17/06/2025 to 20/06/2025</v>
      </c>
      <c r="Q886" s="3">
        <v>45823</v>
      </c>
      <c r="R886" t="str">
        <f t="shared" si="40"/>
        <v>Late</v>
      </c>
      <c r="S886" t="s">
        <v>77</v>
      </c>
      <c r="T886">
        <v>29.5</v>
      </c>
      <c r="U886" t="s">
        <v>65</v>
      </c>
      <c r="V886" t="s">
        <v>72</v>
      </c>
      <c r="W886" t="str">
        <f t="shared" ca="1" si="41"/>
        <v>Dormant</v>
      </c>
    </row>
    <row r="887" spans="1:23" x14ac:dyDescent="0.2">
      <c r="A887">
        <v>1103</v>
      </c>
      <c r="B887" t="s">
        <v>3301</v>
      </c>
      <c r="C887" t="s">
        <v>3310</v>
      </c>
      <c r="D887" s="1" t="s">
        <v>70</v>
      </c>
      <c r="E887" t="s">
        <v>3303</v>
      </c>
      <c r="F887" t="s">
        <v>1920</v>
      </c>
      <c r="G887" s="4" t="s">
        <v>5421</v>
      </c>
      <c r="H887" t="s">
        <v>1422</v>
      </c>
      <c r="I887" t="s">
        <v>136</v>
      </c>
      <c r="J887" s="4" t="s">
        <v>68</v>
      </c>
      <c r="K887" t="s">
        <v>3311</v>
      </c>
      <c r="L887">
        <v>4</v>
      </c>
      <c r="M887" t="s">
        <v>70</v>
      </c>
      <c r="N887" t="s">
        <v>70</v>
      </c>
      <c r="O887" t="s">
        <v>97</v>
      </c>
      <c r="P887" s="2" t="str">
        <f t="shared" si="39"/>
        <v>13/06/2025 to 18/06/2025</v>
      </c>
      <c r="Q887" s="3">
        <v>45825</v>
      </c>
      <c r="R887" t="str">
        <f t="shared" si="40"/>
        <v>On-Time</v>
      </c>
      <c r="S887" t="s">
        <v>661</v>
      </c>
      <c r="T887">
        <v>42</v>
      </c>
      <c r="U887" t="s">
        <v>79</v>
      </c>
      <c r="V887" t="s">
        <v>66</v>
      </c>
      <c r="W887" t="str">
        <f t="shared" ca="1" si="41"/>
        <v>Dormant</v>
      </c>
    </row>
    <row r="888" spans="1:23" x14ac:dyDescent="0.2">
      <c r="A888">
        <v>1200</v>
      </c>
      <c r="B888" t="s">
        <v>3547</v>
      </c>
      <c r="C888" t="s">
        <v>3548</v>
      </c>
      <c r="D888" s="1" t="s">
        <v>70</v>
      </c>
      <c r="E888" t="s">
        <v>3549</v>
      </c>
      <c r="F888" t="s">
        <v>229</v>
      </c>
      <c r="G888" s="4" t="s">
        <v>38</v>
      </c>
      <c r="H888" t="s">
        <v>3550</v>
      </c>
      <c r="I888" t="s">
        <v>136</v>
      </c>
      <c r="J888" s="4" t="s">
        <v>74</v>
      </c>
      <c r="K888" t="s">
        <v>3551</v>
      </c>
      <c r="L888">
        <v>3</v>
      </c>
      <c r="M888" t="s">
        <v>97</v>
      </c>
      <c r="N888" t="s">
        <v>97</v>
      </c>
      <c r="O888" t="s">
        <v>97</v>
      </c>
      <c r="P888" s="2" t="str">
        <f t="shared" si="39"/>
        <v>16/06/2025 to 19/06/2025</v>
      </c>
      <c r="Q888" s="3">
        <v>45826</v>
      </c>
      <c r="R888" t="str">
        <f t="shared" si="40"/>
        <v>On-Time</v>
      </c>
      <c r="S888" t="s">
        <v>664</v>
      </c>
      <c r="T888">
        <v>30.5</v>
      </c>
      <c r="U888" t="s">
        <v>79</v>
      </c>
      <c r="V888" t="s">
        <v>66</v>
      </c>
      <c r="W888" t="str">
        <f t="shared" ca="1" si="41"/>
        <v>Dormant</v>
      </c>
    </row>
    <row r="889" spans="1:23" x14ac:dyDescent="0.2">
      <c r="A889">
        <v>1580</v>
      </c>
      <c r="B889" t="s">
        <v>4457</v>
      </c>
      <c r="C889" t="s">
        <v>4458</v>
      </c>
      <c r="D889" s="1" t="s">
        <v>70</v>
      </c>
      <c r="E889" t="s">
        <v>4459</v>
      </c>
      <c r="F889" t="s">
        <v>134</v>
      </c>
      <c r="G889" s="4" t="s">
        <v>5425</v>
      </c>
      <c r="H889" t="s">
        <v>3186</v>
      </c>
      <c r="I889" t="s">
        <v>201</v>
      </c>
      <c r="J889" s="4" t="s">
        <v>68</v>
      </c>
      <c r="K889" t="s">
        <v>4460</v>
      </c>
      <c r="L889">
        <v>4</v>
      </c>
      <c r="M889" t="s">
        <v>101</v>
      </c>
      <c r="N889" t="s">
        <v>98</v>
      </c>
      <c r="O889" t="s">
        <v>98</v>
      </c>
      <c r="P889" s="2" t="str">
        <f t="shared" si="39"/>
        <v>17/06/2025 to 20/06/2025</v>
      </c>
      <c r="Q889" s="3">
        <v>45825</v>
      </c>
      <c r="R889" t="str">
        <f t="shared" si="40"/>
        <v>On-Time</v>
      </c>
      <c r="S889" t="s">
        <v>77</v>
      </c>
      <c r="T889">
        <v>36</v>
      </c>
      <c r="U889" t="s">
        <v>65</v>
      </c>
      <c r="V889" t="s">
        <v>66</v>
      </c>
      <c r="W889" t="str">
        <f t="shared" ca="1" si="41"/>
        <v>Dormant</v>
      </c>
    </row>
    <row r="890" spans="1:23" x14ac:dyDescent="0.2">
      <c r="A890">
        <v>1581</v>
      </c>
      <c r="B890" t="s">
        <v>4457</v>
      </c>
      <c r="C890" t="s">
        <v>4461</v>
      </c>
      <c r="D890" s="1" t="s">
        <v>70</v>
      </c>
      <c r="E890" t="s">
        <v>4459</v>
      </c>
      <c r="F890" t="s">
        <v>134</v>
      </c>
      <c r="G890" s="4" t="s">
        <v>5424</v>
      </c>
      <c r="H890" t="s">
        <v>3186</v>
      </c>
      <c r="I890" t="s">
        <v>201</v>
      </c>
      <c r="J890" s="4" t="s">
        <v>68</v>
      </c>
      <c r="K890" t="s">
        <v>4462</v>
      </c>
      <c r="L890">
        <v>4</v>
      </c>
      <c r="M890" t="s">
        <v>70</v>
      </c>
      <c r="N890" t="s">
        <v>70</v>
      </c>
      <c r="O890" t="s">
        <v>97</v>
      </c>
      <c r="P890" s="2" t="str">
        <f t="shared" si="39"/>
        <v>13/06/2025 to 18/06/2025</v>
      </c>
      <c r="Q890" s="3">
        <v>45826</v>
      </c>
      <c r="R890" t="str">
        <f t="shared" si="40"/>
        <v>On-Time</v>
      </c>
      <c r="S890" t="s">
        <v>78</v>
      </c>
      <c r="T890">
        <v>42</v>
      </c>
      <c r="U890" t="s">
        <v>79</v>
      </c>
      <c r="V890" t="s">
        <v>80</v>
      </c>
      <c r="W890" t="str">
        <f t="shared" ca="1" si="41"/>
        <v>Dormant</v>
      </c>
    </row>
    <row r="891" spans="1:23" x14ac:dyDescent="0.2">
      <c r="A891">
        <v>1582</v>
      </c>
      <c r="B891" t="s">
        <v>4457</v>
      </c>
      <c r="C891" t="s">
        <v>4463</v>
      </c>
      <c r="D891" s="1" t="s">
        <v>70</v>
      </c>
      <c r="E891" t="s">
        <v>4459</v>
      </c>
      <c r="F891" t="s">
        <v>134</v>
      </c>
      <c r="G891" s="4" t="s">
        <v>5425</v>
      </c>
      <c r="H891" t="s">
        <v>3186</v>
      </c>
      <c r="I891" t="s">
        <v>201</v>
      </c>
      <c r="J891" s="4" t="s">
        <v>60</v>
      </c>
      <c r="K891" t="s">
        <v>16</v>
      </c>
      <c r="L891">
        <v>1</v>
      </c>
      <c r="M891" t="s">
        <v>70</v>
      </c>
      <c r="N891" t="s">
        <v>70</v>
      </c>
      <c r="O891" t="s">
        <v>97</v>
      </c>
      <c r="P891" s="2" t="str">
        <f t="shared" si="39"/>
        <v>13/06/2025 to 18/06/2025</v>
      </c>
      <c r="Q891" s="3">
        <v>45822</v>
      </c>
      <c r="R891" t="str">
        <f t="shared" si="40"/>
        <v>On-Time</v>
      </c>
      <c r="S891" t="s">
        <v>509</v>
      </c>
      <c r="T891">
        <v>11</v>
      </c>
      <c r="U891" t="s">
        <v>65</v>
      </c>
      <c r="V891" t="s">
        <v>66</v>
      </c>
      <c r="W891" t="str">
        <f t="shared" ca="1" si="41"/>
        <v>Dormant</v>
      </c>
    </row>
    <row r="892" spans="1:23" x14ac:dyDescent="0.2">
      <c r="A892">
        <v>1583</v>
      </c>
      <c r="B892" t="s">
        <v>4457</v>
      </c>
      <c r="C892" t="s">
        <v>4464</v>
      </c>
      <c r="D892" s="1" t="s">
        <v>70</v>
      </c>
      <c r="E892" t="s">
        <v>4459</v>
      </c>
      <c r="F892" t="s">
        <v>134</v>
      </c>
      <c r="G892" s="4" t="s">
        <v>5427</v>
      </c>
      <c r="H892" t="s">
        <v>3186</v>
      </c>
      <c r="I892" t="s">
        <v>201</v>
      </c>
      <c r="J892" s="4" t="s">
        <v>60</v>
      </c>
      <c r="K892" t="s">
        <v>4465</v>
      </c>
      <c r="L892">
        <v>4</v>
      </c>
      <c r="M892" t="s">
        <v>97</v>
      </c>
      <c r="N892" t="s">
        <v>97</v>
      </c>
      <c r="O892" t="s">
        <v>97</v>
      </c>
      <c r="P892" s="2" t="str">
        <f t="shared" si="39"/>
        <v>16/06/2025 to 19/06/2025</v>
      </c>
      <c r="Q892" s="3">
        <v>45825</v>
      </c>
      <c r="R892" t="str">
        <f t="shared" si="40"/>
        <v>On-Time</v>
      </c>
      <c r="S892" t="s">
        <v>78</v>
      </c>
      <c r="T892">
        <v>45.5</v>
      </c>
      <c r="U892" t="s">
        <v>79</v>
      </c>
      <c r="V892" t="s">
        <v>72</v>
      </c>
      <c r="W892" t="str">
        <f t="shared" ca="1" si="41"/>
        <v>Dormant</v>
      </c>
    </row>
    <row r="893" spans="1:23" x14ac:dyDescent="0.2">
      <c r="A893">
        <v>1584</v>
      </c>
      <c r="B893" t="s">
        <v>4457</v>
      </c>
      <c r="C893" t="s">
        <v>4466</v>
      </c>
      <c r="D893" s="1" t="s">
        <v>70</v>
      </c>
      <c r="E893" t="s">
        <v>4459</v>
      </c>
      <c r="F893" t="s">
        <v>134</v>
      </c>
      <c r="G893" s="4" t="s">
        <v>5427</v>
      </c>
      <c r="H893" t="s">
        <v>3186</v>
      </c>
      <c r="I893" t="s">
        <v>201</v>
      </c>
      <c r="J893" s="4" t="s">
        <v>68</v>
      </c>
      <c r="K893" t="s">
        <v>10</v>
      </c>
      <c r="L893">
        <v>1</v>
      </c>
      <c r="M893" t="s">
        <v>101</v>
      </c>
      <c r="N893" t="s">
        <v>101</v>
      </c>
      <c r="O893" t="s">
        <v>98</v>
      </c>
      <c r="P893" s="2" t="str">
        <f t="shared" si="39"/>
        <v>17/06/2025 to 20/06/2025</v>
      </c>
      <c r="Q893" s="3">
        <v>45828</v>
      </c>
      <c r="R893" t="str">
        <f t="shared" si="40"/>
        <v>On-Time</v>
      </c>
      <c r="S893" t="s">
        <v>344</v>
      </c>
      <c r="T893">
        <v>10</v>
      </c>
      <c r="U893" t="s">
        <v>65</v>
      </c>
      <c r="V893" t="s">
        <v>66</v>
      </c>
      <c r="W893" t="str">
        <f t="shared" ca="1" si="41"/>
        <v>Dormant</v>
      </c>
    </row>
    <row r="894" spans="1:23" x14ac:dyDescent="0.2">
      <c r="A894">
        <v>677</v>
      </c>
      <c r="B894" t="s">
        <v>2281</v>
      </c>
      <c r="C894" t="s">
        <v>2282</v>
      </c>
      <c r="D894" s="1" t="s">
        <v>97</v>
      </c>
      <c r="E894" t="s">
        <v>2283</v>
      </c>
      <c r="F894" t="s">
        <v>536</v>
      </c>
      <c r="G894" s="4" t="s">
        <v>5422</v>
      </c>
      <c r="H894" t="s">
        <v>2284</v>
      </c>
      <c r="I894" t="s">
        <v>136</v>
      </c>
      <c r="J894" s="4" t="s">
        <v>60</v>
      </c>
      <c r="K894" t="s">
        <v>12</v>
      </c>
      <c r="L894">
        <v>1</v>
      </c>
      <c r="M894" t="s">
        <v>98</v>
      </c>
      <c r="N894" t="s">
        <v>98</v>
      </c>
      <c r="O894" t="s">
        <v>98</v>
      </c>
      <c r="P894" s="2" t="str">
        <f t="shared" si="39"/>
        <v>17/06/2025 to 20/06/2025</v>
      </c>
      <c r="Q894" s="3">
        <v>45825</v>
      </c>
      <c r="R894" t="str">
        <f t="shared" si="40"/>
        <v>On-Time</v>
      </c>
      <c r="S894" t="s">
        <v>77</v>
      </c>
      <c r="T894">
        <v>9.5</v>
      </c>
      <c r="U894" t="s">
        <v>65</v>
      </c>
      <c r="V894" t="s">
        <v>72</v>
      </c>
      <c r="W894" t="str">
        <f t="shared" ca="1" si="41"/>
        <v>Dormant</v>
      </c>
    </row>
    <row r="895" spans="1:23" x14ac:dyDescent="0.2">
      <c r="A895">
        <v>678</v>
      </c>
      <c r="B895" t="s">
        <v>2281</v>
      </c>
      <c r="C895" t="s">
        <v>2285</v>
      </c>
      <c r="D895" s="1" t="s">
        <v>97</v>
      </c>
      <c r="E895" t="s">
        <v>2283</v>
      </c>
      <c r="F895" t="s">
        <v>536</v>
      </c>
      <c r="G895" s="4" t="s">
        <v>5426</v>
      </c>
      <c r="H895" t="s">
        <v>2284</v>
      </c>
      <c r="I895" t="s">
        <v>136</v>
      </c>
      <c r="J895" s="4" t="s">
        <v>60</v>
      </c>
      <c r="K895" t="s">
        <v>420</v>
      </c>
      <c r="L895">
        <v>2</v>
      </c>
      <c r="M895" t="s">
        <v>101</v>
      </c>
      <c r="N895" t="s">
        <v>101</v>
      </c>
      <c r="O895" t="s">
        <v>102</v>
      </c>
      <c r="P895" s="2" t="str">
        <f t="shared" si="39"/>
        <v>17/06/2025 to 20/06/2025</v>
      </c>
      <c r="Q895" s="3">
        <v>45826</v>
      </c>
      <c r="R895" t="str">
        <f t="shared" si="40"/>
        <v>On-Time</v>
      </c>
      <c r="S895" t="s">
        <v>661</v>
      </c>
      <c r="T895">
        <v>19</v>
      </c>
      <c r="U895" t="s">
        <v>79</v>
      </c>
      <c r="V895" t="s">
        <v>80</v>
      </c>
      <c r="W895" t="str">
        <f t="shared" ca="1" si="41"/>
        <v>Dormant</v>
      </c>
    </row>
    <row r="896" spans="1:23" x14ac:dyDescent="0.2">
      <c r="A896">
        <v>679</v>
      </c>
      <c r="B896" t="s">
        <v>2281</v>
      </c>
      <c r="C896" t="s">
        <v>2286</v>
      </c>
      <c r="D896" s="1" t="s">
        <v>97</v>
      </c>
      <c r="E896" t="s">
        <v>2283</v>
      </c>
      <c r="F896" t="s">
        <v>536</v>
      </c>
      <c r="G896" s="4" t="s">
        <v>5426</v>
      </c>
      <c r="H896" t="s">
        <v>2284</v>
      </c>
      <c r="I896" t="s">
        <v>136</v>
      </c>
      <c r="J896" s="4" t="s">
        <v>60</v>
      </c>
      <c r="K896" t="s">
        <v>2287</v>
      </c>
      <c r="L896">
        <v>4</v>
      </c>
      <c r="M896" t="s">
        <v>98</v>
      </c>
      <c r="N896" t="s">
        <v>102</v>
      </c>
      <c r="O896" t="s">
        <v>102</v>
      </c>
      <c r="P896" s="2" t="str">
        <f t="shared" si="39"/>
        <v>17/06/2025 to 20/06/2025</v>
      </c>
      <c r="Q896" s="3">
        <v>45828</v>
      </c>
      <c r="R896" t="str">
        <f t="shared" si="40"/>
        <v>On-Time</v>
      </c>
      <c r="S896" t="s">
        <v>344</v>
      </c>
      <c r="T896">
        <v>37</v>
      </c>
      <c r="U896" t="s">
        <v>65</v>
      </c>
      <c r="V896" t="s">
        <v>72</v>
      </c>
      <c r="W896" t="str">
        <f t="shared" ca="1" si="41"/>
        <v>Dormant</v>
      </c>
    </row>
    <row r="897" spans="1:23" x14ac:dyDescent="0.2">
      <c r="A897">
        <v>680</v>
      </c>
      <c r="B897" t="s">
        <v>2281</v>
      </c>
      <c r="C897" t="s">
        <v>2288</v>
      </c>
      <c r="D897" s="1" t="s">
        <v>97</v>
      </c>
      <c r="E897" t="s">
        <v>2283</v>
      </c>
      <c r="F897" t="s">
        <v>536</v>
      </c>
      <c r="G897" s="4" t="s">
        <v>5418</v>
      </c>
      <c r="H897" t="s">
        <v>2284</v>
      </c>
      <c r="I897" t="s">
        <v>136</v>
      </c>
      <c r="J897" s="4" t="s">
        <v>68</v>
      </c>
      <c r="K897" t="s">
        <v>82</v>
      </c>
      <c r="L897">
        <v>2</v>
      </c>
      <c r="M897" t="s">
        <v>97</v>
      </c>
      <c r="N897" t="s">
        <v>97</v>
      </c>
      <c r="O897" t="s">
        <v>98</v>
      </c>
      <c r="P897" s="2" t="str">
        <f t="shared" si="39"/>
        <v>16/06/2025 to 19/06/2025</v>
      </c>
      <c r="Q897" s="3">
        <v>45823</v>
      </c>
      <c r="R897" t="str">
        <f t="shared" si="40"/>
        <v>Late</v>
      </c>
      <c r="S897" t="s">
        <v>514</v>
      </c>
      <c r="T897">
        <v>19.5</v>
      </c>
      <c r="U897" t="s">
        <v>65</v>
      </c>
      <c r="V897" t="s">
        <v>80</v>
      </c>
      <c r="W897" t="str">
        <f t="shared" ca="1" si="41"/>
        <v>Dormant</v>
      </c>
    </row>
    <row r="898" spans="1:23" x14ac:dyDescent="0.2">
      <c r="A898">
        <v>681</v>
      </c>
      <c r="B898" t="s">
        <v>2281</v>
      </c>
      <c r="C898" t="s">
        <v>2289</v>
      </c>
      <c r="D898" s="1" t="s">
        <v>97</v>
      </c>
      <c r="E898" t="s">
        <v>2283</v>
      </c>
      <c r="F898" t="s">
        <v>536</v>
      </c>
      <c r="G898" s="4" t="s">
        <v>5420</v>
      </c>
      <c r="H898" t="s">
        <v>2284</v>
      </c>
      <c r="I898" t="s">
        <v>136</v>
      </c>
      <c r="J898" s="4" t="s">
        <v>74</v>
      </c>
      <c r="K898" t="s">
        <v>24</v>
      </c>
      <c r="L898">
        <v>1</v>
      </c>
      <c r="M898" t="s">
        <v>97</v>
      </c>
      <c r="N898" t="s">
        <v>98</v>
      </c>
      <c r="O898" t="s">
        <v>97</v>
      </c>
      <c r="P898" s="2" t="str">
        <f t="shared" ref="P898:P961" si="42">IF(ISBLANK(M898), "", TEXT(WORKDAY(M898, 7), "dd/mm/yyyy") &amp; " to " &amp; TEXT(WORKDAY(M898, 10), "dd/mm/yyyy"))</f>
        <v>16/06/2025 to 19/06/2025</v>
      </c>
      <c r="Q898" s="3">
        <v>45826</v>
      </c>
      <c r="R898" t="str">
        <f t="shared" ref="R898:R961" si="43">IF(Q898="","In Progress",
IF(AND(--Q898&gt;=DATEVALUE(LEFT(P898,10)),
       --Q898&lt;=DATEVALUE(TRIM(MID(P898,FIND("to",P898)+3,10)))),
   "On-Time","Late"))</f>
        <v>On-Time</v>
      </c>
      <c r="S898" t="s">
        <v>661</v>
      </c>
      <c r="T898">
        <v>8</v>
      </c>
      <c r="U898" t="s">
        <v>79</v>
      </c>
      <c r="V898" t="s">
        <v>66</v>
      </c>
      <c r="W898" t="str">
        <f t="shared" ca="1" si="41"/>
        <v>Dormant</v>
      </c>
    </row>
    <row r="899" spans="1:23" x14ac:dyDescent="0.2">
      <c r="A899">
        <v>1065</v>
      </c>
      <c r="B899" t="s">
        <v>3222</v>
      </c>
      <c r="C899" t="s">
        <v>3223</v>
      </c>
      <c r="D899" s="1" t="s">
        <v>97</v>
      </c>
      <c r="E899" t="s">
        <v>3224</v>
      </c>
      <c r="F899" t="s">
        <v>335</v>
      </c>
      <c r="G899" s="4" t="s">
        <v>5428</v>
      </c>
      <c r="H899" t="s">
        <v>559</v>
      </c>
      <c r="I899" t="s">
        <v>201</v>
      </c>
      <c r="J899" s="4" t="s">
        <v>68</v>
      </c>
      <c r="K899" t="s">
        <v>3225</v>
      </c>
      <c r="L899">
        <v>4</v>
      </c>
      <c r="M899" t="s">
        <v>98</v>
      </c>
      <c r="N899" t="s">
        <v>1122</v>
      </c>
      <c r="O899" t="s">
        <v>1122</v>
      </c>
      <c r="P899" s="2" t="str">
        <f t="shared" si="42"/>
        <v>17/06/2025 to 20/06/2025</v>
      </c>
      <c r="Q899" s="3">
        <v>45825</v>
      </c>
      <c r="R899" t="str">
        <f t="shared" si="43"/>
        <v>On-Time</v>
      </c>
      <c r="S899" t="s">
        <v>78</v>
      </c>
      <c r="T899">
        <v>39.5</v>
      </c>
      <c r="U899" t="s">
        <v>79</v>
      </c>
      <c r="V899" t="s">
        <v>72</v>
      </c>
      <c r="W899" t="str">
        <f t="shared" ref="W899:W962" ca="1" si="44">IF(D899="","",
IF(TODAY()-D899&lt;=120,"Active",
IF(TODAY()-D899&lt;=210,"At Risk",
IF(TODAY()-D899&lt;=395,"Dormant",
IF(TODAY()-D899&lt;=730,"Inactive","Archived")))))</f>
        <v>Dormant</v>
      </c>
    </row>
    <row r="900" spans="1:23" x14ac:dyDescent="0.2">
      <c r="A900">
        <v>1066</v>
      </c>
      <c r="B900" t="s">
        <v>3222</v>
      </c>
      <c r="C900" t="s">
        <v>3226</v>
      </c>
      <c r="D900" s="1" t="s">
        <v>97</v>
      </c>
      <c r="E900" t="s">
        <v>3224</v>
      </c>
      <c r="F900" t="s">
        <v>335</v>
      </c>
      <c r="G900" s="4" t="s">
        <v>5419</v>
      </c>
      <c r="H900" t="s">
        <v>559</v>
      </c>
      <c r="I900" t="s">
        <v>201</v>
      </c>
      <c r="J900" s="4" t="s">
        <v>60</v>
      </c>
      <c r="K900" t="s">
        <v>3227</v>
      </c>
      <c r="L900">
        <v>4</v>
      </c>
      <c r="M900" t="s">
        <v>97</v>
      </c>
      <c r="N900" t="s">
        <v>101</v>
      </c>
      <c r="O900" t="s">
        <v>101</v>
      </c>
      <c r="P900" s="2" t="str">
        <f t="shared" si="42"/>
        <v>16/06/2025 to 19/06/2025</v>
      </c>
      <c r="Q900" s="3">
        <v>45821</v>
      </c>
      <c r="R900" t="str">
        <f t="shared" si="43"/>
        <v>Late</v>
      </c>
      <c r="S900" t="s">
        <v>509</v>
      </c>
      <c r="T900">
        <v>45</v>
      </c>
      <c r="U900" t="s">
        <v>65</v>
      </c>
      <c r="V900" t="s">
        <v>66</v>
      </c>
      <c r="W900" t="str">
        <f t="shared" ca="1" si="44"/>
        <v>Dormant</v>
      </c>
    </row>
    <row r="901" spans="1:23" x14ac:dyDescent="0.2">
      <c r="A901">
        <v>1067</v>
      </c>
      <c r="B901" t="s">
        <v>3222</v>
      </c>
      <c r="C901" t="s">
        <v>3228</v>
      </c>
      <c r="D901" s="1" t="s">
        <v>97</v>
      </c>
      <c r="E901" t="s">
        <v>3224</v>
      </c>
      <c r="F901" t="s">
        <v>335</v>
      </c>
      <c r="G901" s="4" t="s">
        <v>38</v>
      </c>
      <c r="H901" t="s">
        <v>559</v>
      </c>
      <c r="I901" t="s">
        <v>201</v>
      </c>
      <c r="J901" s="4" t="s">
        <v>60</v>
      </c>
      <c r="K901" t="s">
        <v>22</v>
      </c>
      <c r="L901">
        <v>1</v>
      </c>
      <c r="M901" t="s">
        <v>98</v>
      </c>
      <c r="N901" t="s">
        <v>1122</v>
      </c>
      <c r="O901" t="s">
        <v>102</v>
      </c>
      <c r="P901" s="2" t="str">
        <f t="shared" si="42"/>
        <v>17/06/2025 to 20/06/2025</v>
      </c>
      <c r="Q901" s="3">
        <v>45828</v>
      </c>
      <c r="R901" t="str">
        <f t="shared" si="43"/>
        <v>On-Time</v>
      </c>
      <c r="S901" t="s">
        <v>664</v>
      </c>
      <c r="T901">
        <v>8</v>
      </c>
      <c r="U901" t="s">
        <v>65</v>
      </c>
      <c r="V901" t="s">
        <v>66</v>
      </c>
      <c r="W901" t="str">
        <f t="shared" ca="1" si="44"/>
        <v>Dormant</v>
      </c>
    </row>
    <row r="902" spans="1:23" x14ac:dyDescent="0.2">
      <c r="A902">
        <v>1068</v>
      </c>
      <c r="B902" t="s">
        <v>3222</v>
      </c>
      <c r="C902" t="s">
        <v>3229</v>
      </c>
      <c r="D902" s="1" t="s">
        <v>97</v>
      </c>
      <c r="E902" t="s">
        <v>3224</v>
      </c>
      <c r="F902" t="s">
        <v>335</v>
      </c>
      <c r="G902" s="4" t="s">
        <v>5424</v>
      </c>
      <c r="H902" t="s">
        <v>559</v>
      </c>
      <c r="I902" t="s">
        <v>201</v>
      </c>
      <c r="J902" s="4" t="s">
        <v>5417</v>
      </c>
      <c r="K902" t="s">
        <v>3230</v>
      </c>
      <c r="L902">
        <v>4</v>
      </c>
      <c r="M902" t="s">
        <v>98</v>
      </c>
      <c r="N902" t="s">
        <v>1122</v>
      </c>
      <c r="O902" t="s">
        <v>102</v>
      </c>
      <c r="P902" s="2" t="str">
        <f t="shared" si="42"/>
        <v>17/06/2025 to 20/06/2025</v>
      </c>
      <c r="Q902" s="3">
        <v>45823</v>
      </c>
      <c r="R902" t="str">
        <f t="shared" si="43"/>
        <v>Late</v>
      </c>
      <c r="S902" t="s">
        <v>77</v>
      </c>
      <c r="T902">
        <v>38.5</v>
      </c>
      <c r="U902" t="s">
        <v>79</v>
      </c>
      <c r="V902" t="s">
        <v>80</v>
      </c>
      <c r="W902" t="str">
        <f t="shared" ca="1" si="44"/>
        <v>Dormant</v>
      </c>
    </row>
    <row r="903" spans="1:23" x14ac:dyDescent="0.2">
      <c r="A903">
        <v>1522</v>
      </c>
      <c r="B903" t="s">
        <v>4325</v>
      </c>
      <c r="C903" t="s">
        <v>4326</v>
      </c>
      <c r="D903" s="1" t="s">
        <v>97</v>
      </c>
      <c r="E903" t="s">
        <v>4327</v>
      </c>
      <c r="F903" t="s">
        <v>1217</v>
      </c>
      <c r="G903" s="4" t="s">
        <v>5424</v>
      </c>
      <c r="H903" t="s">
        <v>4328</v>
      </c>
      <c r="I903" t="s">
        <v>112</v>
      </c>
      <c r="J903" s="4" t="s">
        <v>68</v>
      </c>
      <c r="K903" t="s">
        <v>30</v>
      </c>
      <c r="L903">
        <v>1</v>
      </c>
      <c r="M903" t="s">
        <v>98</v>
      </c>
      <c r="N903" t="s">
        <v>98</v>
      </c>
      <c r="O903" t="s">
        <v>98</v>
      </c>
      <c r="P903" s="2" t="str">
        <f t="shared" si="42"/>
        <v>17/06/2025 to 20/06/2025</v>
      </c>
      <c r="Q903" s="3">
        <v>45822</v>
      </c>
      <c r="R903" t="str">
        <f t="shared" si="43"/>
        <v>Late</v>
      </c>
      <c r="S903" t="s">
        <v>514</v>
      </c>
      <c r="T903">
        <v>12</v>
      </c>
      <c r="U903" t="s">
        <v>65</v>
      </c>
      <c r="V903" t="s">
        <v>80</v>
      </c>
      <c r="W903" t="str">
        <f t="shared" ca="1" si="44"/>
        <v>Dormant</v>
      </c>
    </row>
    <row r="904" spans="1:23" x14ac:dyDescent="0.2">
      <c r="A904">
        <v>997</v>
      </c>
      <c r="B904" t="s">
        <v>3060</v>
      </c>
      <c r="C904" t="s">
        <v>3061</v>
      </c>
      <c r="D904" s="1" t="s">
        <v>101</v>
      </c>
      <c r="E904" t="s">
        <v>3062</v>
      </c>
      <c r="F904" t="s">
        <v>1003</v>
      </c>
      <c r="G904" s="4" t="s">
        <v>5422</v>
      </c>
      <c r="H904" t="s">
        <v>322</v>
      </c>
      <c r="I904" t="s">
        <v>59</v>
      </c>
      <c r="J904" s="4" t="s">
        <v>68</v>
      </c>
      <c r="K904" t="s">
        <v>3063</v>
      </c>
      <c r="L904">
        <v>3</v>
      </c>
      <c r="M904" t="s">
        <v>102</v>
      </c>
      <c r="N904" t="s">
        <v>102</v>
      </c>
      <c r="O904" t="s">
        <v>102</v>
      </c>
      <c r="P904" s="2" t="str">
        <f t="shared" si="42"/>
        <v>17/06/2025 to 20/06/2025</v>
      </c>
      <c r="Q904" s="3">
        <v>45825</v>
      </c>
      <c r="R904" t="str">
        <f t="shared" si="43"/>
        <v>On-Time</v>
      </c>
      <c r="S904" t="s">
        <v>661</v>
      </c>
      <c r="T904">
        <v>26.5</v>
      </c>
      <c r="U904" t="s">
        <v>65</v>
      </c>
      <c r="V904" t="s">
        <v>72</v>
      </c>
      <c r="W904" t="str">
        <f t="shared" ca="1" si="44"/>
        <v>Dormant</v>
      </c>
    </row>
    <row r="905" spans="1:23" x14ac:dyDescent="0.2">
      <c r="A905">
        <v>998</v>
      </c>
      <c r="B905" t="s">
        <v>3060</v>
      </c>
      <c r="C905" t="s">
        <v>3064</v>
      </c>
      <c r="D905" s="1" t="s">
        <v>101</v>
      </c>
      <c r="E905" t="s">
        <v>3062</v>
      </c>
      <c r="F905" t="s">
        <v>1003</v>
      </c>
      <c r="G905" s="4" t="s">
        <v>38</v>
      </c>
      <c r="H905" t="s">
        <v>322</v>
      </c>
      <c r="I905" t="s">
        <v>59</v>
      </c>
      <c r="J905" s="4" t="s">
        <v>60</v>
      </c>
      <c r="K905" t="s">
        <v>3065</v>
      </c>
      <c r="L905">
        <v>4</v>
      </c>
      <c r="M905" t="s">
        <v>98</v>
      </c>
      <c r="N905" t="s">
        <v>1122</v>
      </c>
      <c r="O905" t="s">
        <v>98</v>
      </c>
      <c r="P905" s="2" t="str">
        <f t="shared" si="42"/>
        <v>17/06/2025 to 20/06/2025</v>
      </c>
      <c r="Q905" s="3">
        <v>45826</v>
      </c>
      <c r="R905" t="str">
        <f t="shared" si="43"/>
        <v>On-Time</v>
      </c>
      <c r="S905" t="s">
        <v>664</v>
      </c>
      <c r="T905">
        <v>41.5</v>
      </c>
      <c r="U905" t="s">
        <v>65</v>
      </c>
      <c r="V905" t="s">
        <v>80</v>
      </c>
      <c r="W905" t="str">
        <f t="shared" ca="1" si="44"/>
        <v>Dormant</v>
      </c>
    </row>
    <row r="906" spans="1:23" x14ac:dyDescent="0.2">
      <c r="A906">
        <v>999</v>
      </c>
      <c r="B906" t="s">
        <v>3060</v>
      </c>
      <c r="C906" t="s">
        <v>3066</v>
      </c>
      <c r="D906" s="1" t="s">
        <v>101</v>
      </c>
      <c r="E906" t="s">
        <v>3062</v>
      </c>
      <c r="F906" t="s">
        <v>1003</v>
      </c>
      <c r="G906" s="4" t="s">
        <v>5425</v>
      </c>
      <c r="H906" t="s">
        <v>322</v>
      </c>
      <c r="I906" t="s">
        <v>59</v>
      </c>
      <c r="J906" s="4" t="s">
        <v>74</v>
      </c>
      <c r="K906" t="s">
        <v>24</v>
      </c>
      <c r="L906">
        <v>1</v>
      </c>
      <c r="M906" t="s">
        <v>102</v>
      </c>
      <c r="N906" t="s">
        <v>71</v>
      </c>
      <c r="O906" t="s">
        <v>102</v>
      </c>
      <c r="P906" s="2" t="str">
        <f t="shared" si="42"/>
        <v>17/06/2025 to 20/06/2025</v>
      </c>
      <c r="Q906" s="3">
        <v>45825</v>
      </c>
      <c r="R906" t="str">
        <f t="shared" si="43"/>
        <v>On-Time</v>
      </c>
      <c r="S906" t="s">
        <v>77</v>
      </c>
      <c r="T906">
        <v>8</v>
      </c>
      <c r="U906" t="s">
        <v>65</v>
      </c>
      <c r="V906" t="s">
        <v>72</v>
      </c>
      <c r="W906" t="str">
        <f t="shared" ca="1" si="44"/>
        <v>Dormant</v>
      </c>
    </row>
    <row r="907" spans="1:23" x14ac:dyDescent="0.2">
      <c r="A907">
        <v>1000</v>
      </c>
      <c r="B907" t="s">
        <v>3060</v>
      </c>
      <c r="C907" t="s">
        <v>3067</v>
      </c>
      <c r="D907" s="1" t="s">
        <v>101</v>
      </c>
      <c r="E907" t="s">
        <v>3062</v>
      </c>
      <c r="F907" t="s">
        <v>1003</v>
      </c>
      <c r="G907" s="4" t="s">
        <v>5425</v>
      </c>
      <c r="H907" t="s">
        <v>322</v>
      </c>
      <c r="I907" t="s">
        <v>59</v>
      </c>
      <c r="J907" s="4" t="s">
        <v>60</v>
      </c>
      <c r="K907" t="s">
        <v>3068</v>
      </c>
      <c r="L907">
        <v>3</v>
      </c>
      <c r="M907" t="s">
        <v>102</v>
      </c>
      <c r="N907" t="s">
        <v>1122</v>
      </c>
      <c r="O907" t="s">
        <v>102</v>
      </c>
      <c r="P907" s="2" t="str">
        <f t="shared" si="42"/>
        <v>17/06/2025 to 20/06/2025</v>
      </c>
      <c r="Q907" s="3">
        <v>45827</v>
      </c>
      <c r="R907" t="str">
        <f t="shared" si="43"/>
        <v>On-Time</v>
      </c>
      <c r="S907" t="s">
        <v>78</v>
      </c>
      <c r="T907">
        <v>28</v>
      </c>
      <c r="U907" t="s">
        <v>65</v>
      </c>
      <c r="V907" t="s">
        <v>80</v>
      </c>
      <c r="W907" t="str">
        <f t="shared" ca="1" si="44"/>
        <v>Dormant</v>
      </c>
    </row>
    <row r="908" spans="1:23" x14ac:dyDescent="0.2">
      <c r="A908">
        <v>1807</v>
      </c>
      <c r="B908" t="s">
        <v>4975</v>
      </c>
      <c r="C908" t="s">
        <v>4976</v>
      </c>
      <c r="D908" s="1" t="s">
        <v>101</v>
      </c>
      <c r="E908" t="s">
        <v>4977</v>
      </c>
      <c r="F908" t="s">
        <v>881</v>
      </c>
      <c r="G908" s="4" t="s">
        <v>5420</v>
      </c>
      <c r="H908" t="s">
        <v>4978</v>
      </c>
      <c r="I908" t="s">
        <v>136</v>
      </c>
      <c r="J908" s="4" t="s">
        <v>74</v>
      </c>
      <c r="K908" t="s">
        <v>2024</v>
      </c>
      <c r="L908">
        <v>2</v>
      </c>
      <c r="M908" t="s">
        <v>102</v>
      </c>
      <c r="N908" t="s">
        <v>71</v>
      </c>
      <c r="O908" t="s">
        <v>1122</v>
      </c>
      <c r="P908" s="2" t="str">
        <f t="shared" si="42"/>
        <v>17/06/2025 to 20/06/2025</v>
      </c>
      <c r="Q908" s="3">
        <v>45825</v>
      </c>
      <c r="R908" t="str">
        <f t="shared" si="43"/>
        <v>On-Time</v>
      </c>
      <c r="S908" t="s">
        <v>78</v>
      </c>
      <c r="T908">
        <v>17</v>
      </c>
      <c r="U908" t="s">
        <v>65</v>
      </c>
      <c r="V908" t="s">
        <v>66</v>
      </c>
      <c r="W908" t="str">
        <f t="shared" ca="1" si="44"/>
        <v>Dormant</v>
      </c>
    </row>
    <row r="909" spans="1:23" x14ac:dyDescent="0.2">
      <c r="A909">
        <v>1808</v>
      </c>
      <c r="B909" t="s">
        <v>4975</v>
      </c>
      <c r="C909" t="s">
        <v>4979</v>
      </c>
      <c r="D909" s="1" t="s">
        <v>101</v>
      </c>
      <c r="E909" t="s">
        <v>4977</v>
      </c>
      <c r="F909" t="s">
        <v>881</v>
      </c>
      <c r="G909" s="4" t="s">
        <v>5428</v>
      </c>
      <c r="H909" t="s">
        <v>4978</v>
      </c>
      <c r="I909" t="s">
        <v>136</v>
      </c>
      <c r="J909" s="4" t="s">
        <v>74</v>
      </c>
      <c r="K909" t="s">
        <v>4980</v>
      </c>
      <c r="L909">
        <v>4</v>
      </c>
      <c r="M909" t="s">
        <v>98</v>
      </c>
      <c r="N909" t="s">
        <v>1122</v>
      </c>
      <c r="O909" t="s">
        <v>98</v>
      </c>
      <c r="P909" s="2" t="str">
        <f t="shared" si="42"/>
        <v>17/06/2025 to 20/06/2025</v>
      </c>
      <c r="Q909" s="3">
        <v>45826</v>
      </c>
      <c r="R909" t="str">
        <f t="shared" si="43"/>
        <v>On-Time</v>
      </c>
      <c r="S909" t="s">
        <v>664</v>
      </c>
      <c r="T909">
        <v>35.5</v>
      </c>
      <c r="U909" t="s">
        <v>79</v>
      </c>
      <c r="V909" t="s">
        <v>66</v>
      </c>
      <c r="W909" t="str">
        <f t="shared" ca="1" si="44"/>
        <v>Dormant</v>
      </c>
    </row>
    <row r="910" spans="1:23" x14ac:dyDescent="0.2">
      <c r="A910">
        <v>1809</v>
      </c>
      <c r="B910" t="s">
        <v>4975</v>
      </c>
      <c r="C910" t="s">
        <v>4981</v>
      </c>
      <c r="D910" s="1" t="s">
        <v>101</v>
      </c>
      <c r="E910" t="s">
        <v>4977</v>
      </c>
      <c r="F910" t="s">
        <v>881</v>
      </c>
      <c r="G910" s="4" t="s">
        <v>5426</v>
      </c>
      <c r="H910" t="s">
        <v>4978</v>
      </c>
      <c r="I910" t="s">
        <v>136</v>
      </c>
      <c r="J910" s="4" t="s">
        <v>74</v>
      </c>
      <c r="K910" t="s">
        <v>1845</v>
      </c>
      <c r="L910">
        <v>2</v>
      </c>
      <c r="M910" t="s">
        <v>102</v>
      </c>
      <c r="N910" t="s">
        <v>102</v>
      </c>
      <c r="O910" t="s">
        <v>102</v>
      </c>
      <c r="P910" s="2" t="str">
        <f t="shared" si="42"/>
        <v>17/06/2025 to 20/06/2025</v>
      </c>
      <c r="Q910" s="3">
        <v>45829</v>
      </c>
      <c r="R910" t="str">
        <f t="shared" si="43"/>
        <v>Late</v>
      </c>
      <c r="S910" t="s">
        <v>344</v>
      </c>
      <c r="T910">
        <v>25</v>
      </c>
      <c r="U910" t="s">
        <v>65</v>
      </c>
      <c r="V910" t="s">
        <v>66</v>
      </c>
      <c r="W910" t="str">
        <f t="shared" ca="1" si="44"/>
        <v>Dormant</v>
      </c>
    </row>
    <row r="911" spans="1:23" x14ac:dyDescent="0.2">
      <c r="A911">
        <v>284</v>
      </c>
      <c r="B911" t="s">
        <v>1210</v>
      </c>
      <c r="C911" t="s">
        <v>1211</v>
      </c>
      <c r="D911" s="1" t="s">
        <v>98</v>
      </c>
      <c r="E911" t="s">
        <v>1212</v>
      </c>
      <c r="F911" t="s">
        <v>424</v>
      </c>
      <c r="G911" s="4" t="s">
        <v>5428</v>
      </c>
      <c r="H911" t="s">
        <v>659</v>
      </c>
      <c r="I911" t="s">
        <v>201</v>
      </c>
      <c r="J911" s="4" t="s">
        <v>68</v>
      </c>
      <c r="K911" t="s">
        <v>1213</v>
      </c>
      <c r="L911">
        <v>2</v>
      </c>
      <c r="M911" t="s">
        <v>102</v>
      </c>
      <c r="N911" t="s">
        <v>1122</v>
      </c>
      <c r="O911" t="s">
        <v>1122</v>
      </c>
      <c r="P911" s="2" t="str">
        <f t="shared" si="42"/>
        <v>17/06/2025 to 20/06/2025</v>
      </c>
      <c r="Q911" s="3">
        <v>45827</v>
      </c>
      <c r="R911" t="str">
        <f t="shared" si="43"/>
        <v>On-Time</v>
      </c>
      <c r="S911" t="s">
        <v>344</v>
      </c>
      <c r="T911">
        <v>24</v>
      </c>
      <c r="U911" t="s">
        <v>79</v>
      </c>
      <c r="V911" t="s">
        <v>72</v>
      </c>
      <c r="W911" t="str">
        <f t="shared" ca="1" si="44"/>
        <v>Dormant</v>
      </c>
    </row>
    <row r="912" spans="1:23" x14ac:dyDescent="0.2">
      <c r="A912">
        <v>347</v>
      </c>
      <c r="B912" t="s">
        <v>1394</v>
      </c>
      <c r="C912" t="s">
        <v>1395</v>
      </c>
      <c r="D912" s="1" t="s">
        <v>102</v>
      </c>
      <c r="E912" t="s">
        <v>1396</v>
      </c>
      <c r="F912" t="s">
        <v>536</v>
      </c>
      <c r="G912" s="4" t="s">
        <v>5425</v>
      </c>
      <c r="H912" t="s">
        <v>1397</v>
      </c>
      <c r="I912" t="s">
        <v>136</v>
      </c>
      <c r="J912" s="4" t="s">
        <v>68</v>
      </c>
      <c r="K912" t="s">
        <v>1398</v>
      </c>
      <c r="L912">
        <v>4</v>
      </c>
      <c r="M912" t="s">
        <v>1122</v>
      </c>
      <c r="N912" t="s">
        <v>71</v>
      </c>
      <c r="O912" t="s">
        <v>71</v>
      </c>
      <c r="P912" s="2" t="str">
        <f t="shared" si="42"/>
        <v>18/06/2025 to 23/06/2025</v>
      </c>
      <c r="Q912" s="3">
        <v>45827</v>
      </c>
      <c r="R912" t="str">
        <f t="shared" si="43"/>
        <v>On-Time</v>
      </c>
      <c r="S912" t="s">
        <v>664</v>
      </c>
      <c r="T912">
        <v>39</v>
      </c>
      <c r="U912" t="s">
        <v>79</v>
      </c>
      <c r="V912" t="s">
        <v>72</v>
      </c>
      <c r="W912" t="str">
        <f t="shared" ca="1" si="44"/>
        <v>Dormant</v>
      </c>
    </row>
    <row r="913" spans="1:23" x14ac:dyDescent="0.2">
      <c r="A913">
        <v>348</v>
      </c>
      <c r="B913" t="s">
        <v>1394</v>
      </c>
      <c r="C913" t="s">
        <v>1399</v>
      </c>
      <c r="D913" s="1" t="s">
        <v>102</v>
      </c>
      <c r="E913" t="s">
        <v>1396</v>
      </c>
      <c r="F913" t="s">
        <v>536</v>
      </c>
      <c r="G913" s="4" t="s">
        <v>38</v>
      </c>
      <c r="H913" t="s">
        <v>1397</v>
      </c>
      <c r="I913" t="s">
        <v>136</v>
      </c>
      <c r="J913" s="4" t="s">
        <v>74</v>
      </c>
      <c r="K913" t="s">
        <v>8</v>
      </c>
      <c r="L913">
        <v>1</v>
      </c>
      <c r="M913" t="s">
        <v>102</v>
      </c>
      <c r="N913" t="s">
        <v>71</v>
      </c>
      <c r="O913" t="s">
        <v>71</v>
      </c>
      <c r="P913" s="2" t="str">
        <f t="shared" si="42"/>
        <v>17/06/2025 to 20/06/2025</v>
      </c>
      <c r="Q913" s="3">
        <v>45831</v>
      </c>
      <c r="R913" t="str">
        <f t="shared" si="43"/>
        <v>Late</v>
      </c>
      <c r="S913" t="s">
        <v>350</v>
      </c>
      <c r="T913">
        <v>9</v>
      </c>
      <c r="U913" t="s">
        <v>79</v>
      </c>
      <c r="V913" t="s">
        <v>66</v>
      </c>
      <c r="W913" t="str">
        <f t="shared" ca="1" si="44"/>
        <v>Dormant</v>
      </c>
    </row>
    <row r="914" spans="1:23" x14ac:dyDescent="0.2">
      <c r="A914">
        <v>349</v>
      </c>
      <c r="B914" t="s">
        <v>1394</v>
      </c>
      <c r="C914" t="s">
        <v>1400</v>
      </c>
      <c r="D914" s="1" t="s">
        <v>102</v>
      </c>
      <c r="E914" t="s">
        <v>1396</v>
      </c>
      <c r="F914" t="s">
        <v>536</v>
      </c>
      <c r="G914" s="4" t="s">
        <v>38</v>
      </c>
      <c r="H914" t="s">
        <v>1397</v>
      </c>
      <c r="I914" t="s">
        <v>136</v>
      </c>
      <c r="J914" s="4" t="s">
        <v>5417</v>
      </c>
      <c r="K914" t="s">
        <v>1401</v>
      </c>
      <c r="L914">
        <v>3</v>
      </c>
      <c r="M914" t="s">
        <v>1122</v>
      </c>
      <c r="N914" t="s">
        <v>71</v>
      </c>
      <c r="O914" t="s">
        <v>71</v>
      </c>
      <c r="P914" s="2" t="str">
        <f t="shared" si="42"/>
        <v>18/06/2025 to 23/06/2025</v>
      </c>
      <c r="Q914" s="3">
        <v>45827</v>
      </c>
      <c r="R914" t="str">
        <f t="shared" si="43"/>
        <v>On-Time</v>
      </c>
      <c r="S914" t="s">
        <v>78</v>
      </c>
      <c r="T914">
        <v>30</v>
      </c>
      <c r="U914" t="s">
        <v>79</v>
      </c>
      <c r="V914" t="s">
        <v>72</v>
      </c>
      <c r="W914" t="str">
        <f t="shared" ca="1" si="44"/>
        <v>Dormant</v>
      </c>
    </row>
    <row r="915" spans="1:23" x14ac:dyDescent="0.2">
      <c r="A915">
        <v>350</v>
      </c>
      <c r="B915" t="s">
        <v>1394</v>
      </c>
      <c r="C915" t="s">
        <v>1402</v>
      </c>
      <c r="D915" s="1" t="s">
        <v>102</v>
      </c>
      <c r="E915" t="s">
        <v>1396</v>
      </c>
      <c r="F915" t="s">
        <v>536</v>
      </c>
      <c r="G915" s="4" t="s">
        <v>38</v>
      </c>
      <c r="H915" t="s">
        <v>1397</v>
      </c>
      <c r="I915" t="s">
        <v>136</v>
      </c>
      <c r="J915" s="4" t="s">
        <v>5417</v>
      </c>
      <c r="K915" t="s">
        <v>1403</v>
      </c>
      <c r="L915">
        <v>3</v>
      </c>
      <c r="M915" t="s">
        <v>71</v>
      </c>
      <c r="N915" t="s">
        <v>86</v>
      </c>
      <c r="O915" t="s">
        <v>71</v>
      </c>
      <c r="P915" s="2" t="str">
        <f t="shared" si="42"/>
        <v>19/06/2025 to 24/06/2025</v>
      </c>
      <c r="Q915" s="3">
        <v>45826</v>
      </c>
      <c r="R915" t="str">
        <f t="shared" si="43"/>
        <v>Late</v>
      </c>
      <c r="S915" t="s">
        <v>661</v>
      </c>
      <c r="T915">
        <v>26.5</v>
      </c>
      <c r="U915" t="s">
        <v>79</v>
      </c>
      <c r="V915" t="s">
        <v>66</v>
      </c>
      <c r="W915" t="str">
        <f t="shared" ca="1" si="44"/>
        <v>Dormant</v>
      </c>
    </row>
    <row r="916" spans="1:23" x14ac:dyDescent="0.2">
      <c r="A916">
        <v>351</v>
      </c>
      <c r="B916" t="s">
        <v>1394</v>
      </c>
      <c r="C916" t="s">
        <v>1404</v>
      </c>
      <c r="D916" s="1" t="s">
        <v>102</v>
      </c>
      <c r="E916" t="s">
        <v>1396</v>
      </c>
      <c r="F916" t="s">
        <v>536</v>
      </c>
      <c r="G916" s="4" t="s">
        <v>5424</v>
      </c>
      <c r="H916" t="s">
        <v>1397</v>
      </c>
      <c r="I916" t="s">
        <v>136</v>
      </c>
      <c r="J916" s="4" t="s">
        <v>68</v>
      </c>
      <c r="K916" t="s">
        <v>6</v>
      </c>
      <c r="L916">
        <v>1</v>
      </c>
      <c r="M916" t="s">
        <v>102</v>
      </c>
      <c r="N916" t="s">
        <v>1122</v>
      </c>
      <c r="O916" t="s">
        <v>1122</v>
      </c>
      <c r="P916" s="2" t="str">
        <f t="shared" si="42"/>
        <v>17/06/2025 to 20/06/2025</v>
      </c>
      <c r="Q916" s="3">
        <v>45826</v>
      </c>
      <c r="R916" t="str">
        <f t="shared" si="43"/>
        <v>On-Time</v>
      </c>
      <c r="S916" t="s">
        <v>664</v>
      </c>
      <c r="T916">
        <v>7.5</v>
      </c>
      <c r="U916" t="s">
        <v>65</v>
      </c>
      <c r="V916" t="s">
        <v>72</v>
      </c>
      <c r="W916" t="str">
        <f t="shared" ca="1" si="44"/>
        <v>Dormant</v>
      </c>
    </row>
    <row r="917" spans="1:23" x14ac:dyDescent="0.2">
      <c r="A917">
        <v>593</v>
      </c>
      <c r="B917" t="s">
        <v>2060</v>
      </c>
      <c r="C917" t="s">
        <v>2061</v>
      </c>
      <c r="D917" s="1" t="s">
        <v>102</v>
      </c>
      <c r="E917" t="s">
        <v>2062</v>
      </c>
      <c r="F917" t="s">
        <v>1036</v>
      </c>
      <c r="G917" s="4" t="s">
        <v>5428</v>
      </c>
      <c r="H917" t="s">
        <v>2063</v>
      </c>
      <c r="I917" t="s">
        <v>93</v>
      </c>
      <c r="J917" s="4" t="s">
        <v>60</v>
      </c>
      <c r="K917" t="s">
        <v>2064</v>
      </c>
      <c r="L917">
        <v>3</v>
      </c>
      <c r="M917" t="s">
        <v>1122</v>
      </c>
      <c r="N917" t="s">
        <v>1122</v>
      </c>
      <c r="O917" t="s">
        <v>63</v>
      </c>
      <c r="P917" s="2" t="str">
        <f t="shared" si="42"/>
        <v>18/06/2025 to 23/06/2025</v>
      </c>
      <c r="Q917" s="3">
        <v>45829</v>
      </c>
      <c r="R917" t="str">
        <f t="shared" si="43"/>
        <v>On-Time</v>
      </c>
      <c r="S917" t="s">
        <v>344</v>
      </c>
      <c r="T917">
        <v>26.5</v>
      </c>
      <c r="U917" t="s">
        <v>79</v>
      </c>
      <c r="V917" t="s">
        <v>72</v>
      </c>
      <c r="W917" t="str">
        <f t="shared" ca="1" si="44"/>
        <v>Dormant</v>
      </c>
    </row>
    <row r="918" spans="1:23" x14ac:dyDescent="0.2">
      <c r="A918">
        <v>594</v>
      </c>
      <c r="B918" t="s">
        <v>2060</v>
      </c>
      <c r="C918" t="s">
        <v>2065</v>
      </c>
      <c r="D918" s="1" t="s">
        <v>102</v>
      </c>
      <c r="E918" t="s">
        <v>2062</v>
      </c>
      <c r="F918" t="s">
        <v>1036</v>
      </c>
      <c r="G918" s="4" t="s">
        <v>5427</v>
      </c>
      <c r="H918" t="s">
        <v>2063</v>
      </c>
      <c r="I918" t="s">
        <v>93</v>
      </c>
      <c r="J918" s="4" t="s">
        <v>5417</v>
      </c>
      <c r="K918" t="s">
        <v>2066</v>
      </c>
      <c r="L918">
        <v>4</v>
      </c>
      <c r="M918" t="s">
        <v>71</v>
      </c>
      <c r="N918" t="s">
        <v>71</v>
      </c>
      <c r="O918" t="s">
        <v>86</v>
      </c>
      <c r="P918" s="2" t="str">
        <f t="shared" si="42"/>
        <v>19/06/2025 to 24/06/2025</v>
      </c>
      <c r="Q918" s="3">
        <v>45832</v>
      </c>
      <c r="R918" t="str">
        <f t="shared" si="43"/>
        <v>On-Time</v>
      </c>
      <c r="S918" t="s">
        <v>349</v>
      </c>
      <c r="T918">
        <v>40</v>
      </c>
      <c r="U918" t="s">
        <v>65</v>
      </c>
      <c r="V918" t="s">
        <v>80</v>
      </c>
      <c r="W918" t="str">
        <f t="shared" ca="1" si="44"/>
        <v>Dormant</v>
      </c>
    </row>
    <row r="919" spans="1:23" x14ac:dyDescent="0.2">
      <c r="A919">
        <v>595</v>
      </c>
      <c r="B919" t="s">
        <v>2060</v>
      </c>
      <c r="C919" t="s">
        <v>2067</v>
      </c>
      <c r="D919" s="1" t="s">
        <v>102</v>
      </c>
      <c r="E919" t="s">
        <v>2062</v>
      </c>
      <c r="F919" t="s">
        <v>1036</v>
      </c>
      <c r="G919" s="4" t="s">
        <v>5423</v>
      </c>
      <c r="H919" t="s">
        <v>2063</v>
      </c>
      <c r="I919" t="s">
        <v>93</v>
      </c>
      <c r="J919" s="4" t="s">
        <v>74</v>
      </c>
      <c r="K919" t="s">
        <v>12</v>
      </c>
      <c r="L919">
        <v>1</v>
      </c>
      <c r="M919" t="s">
        <v>102</v>
      </c>
      <c r="N919" t="s">
        <v>102</v>
      </c>
      <c r="O919" t="s">
        <v>71</v>
      </c>
      <c r="P919" s="2" t="str">
        <f t="shared" si="42"/>
        <v>17/06/2025 to 20/06/2025</v>
      </c>
      <c r="Q919" s="3">
        <v>45827</v>
      </c>
      <c r="R919" t="str">
        <f t="shared" si="43"/>
        <v>On-Time</v>
      </c>
      <c r="S919" t="s">
        <v>664</v>
      </c>
      <c r="T919">
        <v>9.5</v>
      </c>
      <c r="U919" t="s">
        <v>79</v>
      </c>
      <c r="V919" t="s">
        <v>80</v>
      </c>
      <c r="W919" t="str">
        <f t="shared" ca="1" si="44"/>
        <v>Dormant</v>
      </c>
    </row>
    <row r="920" spans="1:23" x14ac:dyDescent="0.2">
      <c r="A920">
        <v>636</v>
      </c>
      <c r="B920" t="s">
        <v>2178</v>
      </c>
      <c r="C920" t="s">
        <v>2179</v>
      </c>
      <c r="D920" s="1" t="s">
        <v>102</v>
      </c>
      <c r="E920" t="s">
        <v>2180</v>
      </c>
      <c r="F920" t="s">
        <v>803</v>
      </c>
      <c r="G920" s="4" t="s">
        <v>5426</v>
      </c>
      <c r="H920" t="s">
        <v>2181</v>
      </c>
      <c r="I920" t="s">
        <v>201</v>
      </c>
      <c r="J920" s="4" t="s">
        <v>74</v>
      </c>
      <c r="K920" t="s">
        <v>2182</v>
      </c>
      <c r="L920">
        <v>2</v>
      </c>
      <c r="M920" t="s">
        <v>71</v>
      </c>
      <c r="N920" t="s">
        <v>63</v>
      </c>
      <c r="O920" t="s">
        <v>86</v>
      </c>
      <c r="P920" s="2" t="str">
        <f t="shared" si="42"/>
        <v>19/06/2025 to 24/06/2025</v>
      </c>
      <c r="Q920" s="3">
        <v>45827</v>
      </c>
      <c r="R920" t="str">
        <f t="shared" si="43"/>
        <v>On-Time</v>
      </c>
      <c r="S920" t="s">
        <v>344</v>
      </c>
      <c r="T920">
        <v>23.5</v>
      </c>
      <c r="U920" t="s">
        <v>65</v>
      </c>
      <c r="V920" t="s">
        <v>72</v>
      </c>
      <c r="W920" t="str">
        <f t="shared" ca="1" si="44"/>
        <v>Dormant</v>
      </c>
    </row>
    <row r="921" spans="1:23" x14ac:dyDescent="0.2">
      <c r="A921">
        <v>1274</v>
      </c>
      <c r="B921" t="s">
        <v>3718</v>
      </c>
      <c r="C921" t="s">
        <v>3719</v>
      </c>
      <c r="D921" s="1" t="s">
        <v>102</v>
      </c>
      <c r="E921" t="s">
        <v>3720</v>
      </c>
      <c r="F921" t="s">
        <v>1267</v>
      </c>
      <c r="G921" s="4" t="s">
        <v>5426</v>
      </c>
      <c r="H921" t="s">
        <v>2063</v>
      </c>
      <c r="I921" t="s">
        <v>136</v>
      </c>
      <c r="J921" s="4" t="s">
        <v>5417</v>
      </c>
      <c r="K921" t="s">
        <v>30</v>
      </c>
      <c r="L921">
        <v>1</v>
      </c>
      <c r="M921" t="s">
        <v>102</v>
      </c>
      <c r="N921" t="s">
        <v>1122</v>
      </c>
      <c r="O921" t="s">
        <v>102</v>
      </c>
      <c r="P921" s="2" t="str">
        <f t="shared" si="42"/>
        <v>17/06/2025 to 20/06/2025</v>
      </c>
      <c r="Q921" s="3">
        <v>45829</v>
      </c>
      <c r="R921" t="str">
        <f t="shared" si="43"/>
        <v>Late</v>
      </c>
      <c r="S921" t="s">
        <v>348</v>
      </c>
      <c r="T921">
        <v>12</v>
      </c>
      <c r="U921" t="s">
        <v>79</v>
      </c>
      <c r="V921" t="s">
        <v>66</v>
      </c>
      <c r="W921" t="str">
        <f t="shared" ca="1" si="44"/>
        <v>Dormant</v>
      </c>
    </row>
    <row r="922" spans="1:23" x14ac:dyDescent="0.2">
      <c r="A922">
        <v>1275</v>
      </c>
      <c r="B922" t="s">
        <v>3718</v>
      </c>
      <c r="C922" t="s">
        <v>3721</v>
      </c>
      <c r="D922" s="1" t="s">
        <v>102</v>
      </c>
      <c r="E922" t="s">
        <v>3720</v>
      </c>
      <c r="F922" t="s">
        <v>1267</v>
      </c>
      <c r="G922" s="4" t="s">
        <v>5426</v>
      </c>
      <c r="H922" t="s">
        <v>2063</v>
      </c>
      <c r="I922" t="s">
        <v>136</v>
      </c>
      <c r="J922" s="4" t="s">
        <v>5417</v>
      </c>
      <c r="K922" t="s">
        <v>24</v>
      </c>
      <c r="L922">
        <v>1</v>
      </c>
      <c r="M922" t="s">
        <v>71</v>
      </c>
      <c r="N922" t="s">
        <v>86</v>
      </c>
      <c r="O922" t="s">
        <v>71</v>
      </c>
      <c r="P922" s="2" t="str">
        <f t="shared" si="42"/>
        <v>19/06/2025 to 24/06/2025</v>
      </c>
      <c r="Q922" s="3">
        <v>45829</v>
      </c>
      <c r="R922" t="str">
        <f t="shared" si="43"/>
        <v>On-Time</v>
      </c>
      <c r="S922" t="s">
        <v>523</v>
      </c>
      <c r="T922">
        <v>8</v>
      </c>
      <c r="U922" t="s">
        <v>65</v>
      </c>
      <c r="V922" t="s">
        <v>66</v>
      </c>
      <c r="W922" t="str">
        <f t="shared" ca="1" si="44"/>
        <v>Dormant</v>
      </c>
    </row>
    <row r="923" spans="1:23" x14ac:dyDescent="0.2">
      <c r="A923">
        <v>1276</v>
      </c>
      <c r="B923" t="s">
        <v>3718</v>
      </c>
      <c r="C923" t="s">
        <v>3722</v>
      </c>
      <c r="D923" s="1" t="s">
        <v>102</v>
      </c>
      <c r="E923" t="s">
        <v>3720</v>
      </c>
      <c r="F923" t="s">
        <v>1267</v>
      </c>
      <c r="G923" s="4" t="s">
        <v>5420</v>
      </c>
      <c r="H923" t="s">
        <v>2063</v>
      </c>
      <c r="I923" t="s">
        <v>136</v>
      </c>
      <c r="J923" s="4" t="s">
        <v>68</v>
      </c>
      <c r="K923" t="s">
        <v>3723</v>
      </c>
      <c r="L923">
        <v>4</v>
      </c>
      <c r="M923" t="s">
        <v>102</v>
      </c>
      <c r="N923" t="s">
        <v>102</v>
      </c>
      <c r="O923" t="s">
        <v>1122</v>
      </c>
      <c r="P923" s="2" t="str">
        <f t="shared" si="42"/>
        <v>17/06/2025 to 20/06/2025</v>
      </c>
      <c r="Q923" s="3">
        <v>45825</v>
      </c>
      <c r="R923" t="str">
        <f t="shared" si="43"/>
        <v>On-Time</v>
      </c>
      <c r="S923" t="s">
        <v>78</v>
      </c>
      <c r="T923">
        <v>37.5</v>
      </c>
      <c r="U923" t="s">
        <v>79</v>
      </c>
      <c r="V923" t="s">
        <v>72</v>
      </c>
      <c r="W923" t="str">
        <f t="shared" ca="1" si="44"/>
        <v>Dormant</v>
      </c>
    </row>
    <row r="924" spans="1:23" x14ac:dyDescent="0.2">
      <c r="A924">
        <v>1277</v>
      </c>
      <c r="B924" t="s">
        <v>3718</v>
      </c>
      <c r="C924" t="s">
        <v>3724</v>
      </c>
      <c r="D924" s="1" t="s">
        <v>102</v>
      </c>
      <c r="E924" t="s">
        <v>3720</v>
      </c>
      <c r="F924" t="s">
        <v>1267</v>
      </c>
      <c r="G924" s="4" t="s">
        <v>5420</v>
      </c>
      <c r="H924" t="s">
        <v>2063</v>
      </c>
      <c r="I924" t="s">
        <v>136</v>
      </c>
      <c r="J924" s="4" t="s">
        <v>74</v>
      </c>
      <c r="K924" t="s">
        <v>3725</v>
      </c>
      <c r="L924">
        <v>3</v>
      </c>
      <c r="M924" t="s">
        <v>71</v>
      </c>
      <c r="N924" t="s">
        <v>86</v>
      </c>
      <c r="O924" t="s">
        <v>86</v>
      </c>
      <c r="P924" s="2" t="str">
        <f t="shared" si="42"/>
        <v>19/06/2025 to 24/06/2025</v>
      </c>
      <c r="Q924" s="3">
        <v>45830</v>
      </c>
      <c r="R924" t="str">
        <f t="shared" si="43"/>
        <v>On-Time</v>
      </c>
      <c r="S924" t="s">
        <v>350</v>
      </c>
      <c r="T924">
        <v>29.5</v>
      </c>
      <c r="U924" t="s">
        <v>65</v>
      </c>
      <c r="V924" t="s">
        <v>80</v>
      </c>
      <c r="W924" t="str">
        <f t="shared" ca="1" si="44"/>
        <v>Dormant</v>
      </c>
    </row>
    <row r="925" spans="1:23" x14ac:dyDescent="0.2">
      <c r="A925">
        <v>1278</v>
      </c>
      <c r="B925" t="s">
        <v>3718</v>
      </c>
      <c r="C925" t="s">
        <v>3726</v>
      </c>
      <c r="D925" s="1" t="s">
        <v>102</v>
      </c>
      <c r="E925" t="s">
        <v>3720</v>
      </c>
      <c r="F925" t="s">
        <v>1267</v>
      </c>
      <c r="G925" s="4" t="s">
        <v>38</v>
      </c>
      <c r="H925" t="s">
        <v>2063</v>
      </c>
      <c r="I925" t="s">
        <v>136</v>
      </c>
      <c r="J925" s="4" t="s">
        <v>74</v>
      </c>
      <c r="K925" t="s">
        <v>3727</v>
      </c>
      <c r="L925">
        <v>3</v>
      </c>
      <c r="M925" t="s">
        <v>1122</v>
      </c>
      <c r="N925" t="s">
        <v>63</v>
      </c>
      <c r="O925" t="s">
        <v>63</v>
      </c>
      <c r="P925" s="2" t="str">
        <f t="shared" si="42"/>
        <v>18/06/2025 to 23/06/2025</v>
      </c>
      <c r="Q925" s="3">
        <v>45827</v>
      </c>
      <c r="R925" t="str">
        <f t="shared" si="43"/>
        <v>On-Time</v>
      </c>
      <c r="S925" t="s">
        <v>664</v>
      </c>
      <c r="T925">
        <v>28.5</v>
      </c>
      <c r="U925" t="s">
        <v>65</v>
      </c>
      <c r="V925" t="s">
        <v>72</v>
      </c>
      <c r="W925" t="str">
        <f t="shared" ca="1" si="44"/>
        <v>Dormant</v>
      </c>
    </row>
    <row r="926" spans="1:23" x14ac:dyDescent="0.2">
      <c r="A926">
        <v>1723</v>
      </c>
      <c r="B926" t="s">
        <v>4791</v>
      </c>
      <c r="C926" t="s">
        <v>4792</v>
      </c>
      <c r="D926" s="1" t="s">
        <v>1122</v>
      </c>
      <c r="E926" t="s">
        <v>4793</v>
      </c>
      <c r="F926" t="s">
        <v>1154</v>
      </c>
      <c r="G926" s="4" t="s">
        <v>5419</v>
      </c>
      <c r="H926" t="s">
        <v>608</v>
      </c>
      <c r="I926" t="s">
        <v>201</v>
      </c>
      <c r="J926" s="4" t="s">
        <v>74</v>
      </c>
      <c r="K926" t="s">
        <v>711</v>
      </c>
      <c r="L926">
        <v>2</v>
      </c>
      <c r="M926" t="s">
        <v>63</v>
      </c>
      <c r="N926" t="s">
        <v>86</v>
      </c>
      <c r="O926" t="s">
        <v>63</v>
      </c>
      <c r="P926" s="2" t="str">
        <f t="shared" si="42"/>
        <v>20/06/2025 to 25/06/2025</v>
      </c>
      <c r="Q926" s="3">
        <v>45831</v>
      </c>
      <c r="R926" t="str">
        <f t="shared" si="43"/>
        <v>On-Time</v>
      </c>
      <c r="S926" t="s">
        <v>350</v>
      </c>
      <c r="T926">
        <v>17</v>
      </c>
      <c r="U926" t="s">
        <v>79</v>
      </c>
      <c r="V926" t="s">
        <v>80</v>
      </c>
      <c r="W926" t="str">
        <f t="shared" ca="1" si="44"/>
        <v>Dormant</v>
      </c>
    </row>
    <row r="927" spans="1:23" x14ac:dyDescent="0.2">
      <c r="A927">
        <v>1724</v>
      </c>
      <c r="B927" t="s">
        <v>4791</v>
      </c>
      <c r="C927" t="s">
        <v>4794</v>
      </c>
      <c r="D927" s="1" t="s">
        <v>1122</v>
      </c>
      <c r="E927" t="s">
        <v>4793</v>
      </c>
      <c r="F927" t="s">
        <v>1154</v>
      </c>
      <c r="G927" s="4" t="s">
        <v>5420</v>
      </c>
      <c r="H927" t="s">
        <v>608</v>
      </c>
      <c r="I927" t="s">
        <v>201</v>
      </c>
      <c r="J927" s="4" t="s">
        <v>74</v>
      </c>
      <c r="K927" t="s">
        <v>4086</v>
      </c>
      <c r="L927">
        <v>2</v>
      </c>
      <c r="M927" t="s">
        <v>1122</v>
      </c>
      <c r="N927" t="s">
        <v>71</v>
      </c>
      <c r="O927" t="s">
        <v>71</v>
      </c>
      <c r="P927" s="2" t="str">
        <f t="shared" si="42"/>
        <v>18/06/2025 to 23/06/2025</v>
      </c>
      <c r="Q927" s="3">
        <v>45827</v>
      </c>
      <c r="R927" t="str">
        <f t="shared" si="43"/>
        <v>On-Time</v>
      </c>
      <c r="S927" t="s">
        <v>78</v>
      </c>
      <c r="T927">
        <v>21.5</v>
      </c>
      <c r="U927" t="s">
        <v>79</v>
      </c>
      <c r="V927" t="s">
        <v>72</v>
      </c>
      <c r="W927" t="str">
        <f t="shared" ca="1" si="44"/>
        <v>Dormant</v>
      </c>
    </row>
    <row r="928" spans="1:23" x14ac:dyDescent="0.2">
      <c r="A928">
        <v>1725</v>
      </c>
      <c r="B928" t="s">
        <v>4791</v>
      </c>
      <c r="C928" t="s">
        <v>4795</v>
      </c>
      <c r="D928" s="1" t="s">
        <v>1122</v>
      </c>
      <c r="E928" t="s">
        <v>4793</v>
      </c>
      <c r="F928" t="s">
        <v>1154</v>
      </c>
      <c r="G928" s="4" t="s">
        <v>5422</v>
      </c>
      <c r="H928" t="s">
        <v>608</v>
      </c>
      <c r="I928" t="s">
        <v>201</v>
      </c>
      <c r="J928" s="4" t="s">
        <v>60</v>
      </c>
      <c r="K928" t="s">
        <v>304</v>
      </c>
      <c r="L928">
        <v>2</v>
      </c>
      <c r="M928" t="s">
        <v>1122</v>
      </c>
      <c r="N928" t="s">
        <v>71</v>
      </c>
      <c r="O928" t="s">
        <v>1122</v>
      </c>
      <c r="P928" s="2" t="str">
        <f t="shared" si="42"/>
        <v>18/06/2025 to 23/06/2025</v>
      </c>
      <c r="Q928" s="3">
        <v>45830</v>
      </c>
      <c r="R928" t="str">
        <f t="shared" si="43"/>
        <v>On-Time</v>
      </c>
      <c r="S928" t="s">
        <v>348</v>
      </c>
      <c r="T928">
        <v>21</v>
      </c>
      <c r="U928" t="s">
        <v>79</v>
      </c>
      <c r="V928" t="s">
        <v>72</v>
      </c>
      <c r="W928" t="str">
        <f t="shared" ca="1" si="44"/>
        <v>Dormant</v>
      </c>
    </row>
    <row r="929" spans="1:23" x14ac:dyDescent="0.2">
      <c r="A929">
        <v>1726</v>
      </c>
      <c r="B929" t="s">
        <v>4791</v>
      </c>
      <c r="C929" t="s">
        <v>4796</v>
      </c>
      <c r="D929" s="1" t="s">
        <v>1122</v>
      </c>
      <c r="E929" t="s">
        <v>4793</v>
      </c>
      <c r="F929" t="s">
        <v>1154</v>
      </c>
      <c r="G929" s="4" t="s">
        <v>5420</v>
      </c>
      <c r="H929" t="s">
        <v>608</v>
      </c>
      <c r="I929" t="s">
        <v>201</v>
      </c>
      <c r="J929" s="4" t="s">
        <v>5417</v>
      </c>
      <c r="K929" t="s">
        <v>4797</v>
      </c>
      <c r="L929">
        <v>4</v>
      </c>
      <c r="M929" t="s">
        <v>71</v>
      </c>
      <c r="N929" t="s">
        <v>63</v>
      </c>
      <c r="O929" t="s">
        <v>63</v>
      </c>
      <c r="P929" s="2" t="str">
        <f t="shared" si="42"/>
        <v>19/06/2025 to 24/06/2025</v>
      </c>
      <c r="Q929" s="3">
        <v>45832</v>
      </c>
      <c r="R929" t="str">
        <f t="shared" si="43"/>
        <v>On-Time</v>
      </c>
      <c r="S929" t="s">
        <v>349</v>
      </c>
      <c r="T929">
        <v>33.5</v>
      </c>
      <c r="U929" t="s">
        <v>79</v>
      </c>
      <c r="V929" t="s">
        <v>80</v>
      </c>
      <c r="W929" t="str">
        <f t="shared" ca="1" si="44"/>
        <v>Dormant</v>
      </c>
    </row>
    <row r="930" spans="1:23" x14ac:dyDescent="0.2">
      <c r="A930">
        <v>1727</v>
      </c>
      <c r="B930" t="s">
        <v>4791</v>
      </c>
      <c r="C930" t="s">
        <v>4798</v>
      </c>
      <c r="D930" s="1" t="s">
        <v>1122</v>
      </c>
      <c r="E930" t="s">
        <v>4793</v>
      </c>
      <c r="F930" t="s">
        <v>1154</v>
      </c>
      <c r="G930" s="4" t="s">
        <v>38</v>
      </c>
      <c r="H930" t="s">
        <v>608</v>
      </c>
      <c r="I930" t="s">
        <v>201</v>
      </c>
      <c r="J930" s="4" t="s">
        <v>5417</v>
      </c>
      <c r="K930" t="s">
        <v>4799</v>
      </c>
      <c r="L930">
        <v>3</v>
      </c>
      <c r="M930" t="s">
        <v>71</v>
      </c>
      <c r="N930" t="s">
        <v>71</v>
      </c>
      <c r="O930" t="s">
        <v>71</v>
      </c>
      <c r="P930" s="2" t="str">
        <f t="shared" si="42"/>
        <v>19/06/2025 to 24/06/2025</v>
      </c>
      <c r="Q930" s="3">
        <v>45829</v>
      </c>
      <c r="R930" t="str">
        <f t="shared" si="43"/>
        <v>On-Time</v>
      </c>
      <c r="S930" t="s">
        <v>348</v>
      </c>
      <c r="T930">
        <v>25.5</v>
      </c>
      <c r="U930" t="s">
        <v>79</v>
      </c>
      <c r="V930" t="s">
        <v>72</v>
      </c>
      <c r="W930" t="str">
        <f t="shared" ca="1" si="44"/>
        <v>Dormant</v>
      </c>
    </row>
    <row r="931" spans="1:23" x14ac:dyDescent="0.2">
      <c r="A931">
        <v>568</v>
      </c>
      <c r="B931" t="s">
        <v>2003</v>
      </c>
      <c r="C931" t="s">
        <v>2004</v>
      </c>
      <c r="D931" s="1" t="s">
        <v>71</v>
      </c>
      <c r="E931" t="s">
        <v>2005</v>
      </c>
      <c r="F931" t="s">
        <v>1217</v>
      </c>
      <c r="G931" s="4" t="s">
        <v>5422</v>
      </c>
      <c r="H931" t="s">
        <v>210</v>
      </c>
      <c r="I931" t="s">
        <v>93</v>
      </c>
      <c r="J931" s="4" t="s">
        <v>5417</v>
      </c>
      <c r="K931" t="s">
        <v>2006</v>
      </c>
      <c r="L931">
        <v>4</v>
      </c>
      <c r="M931" t="s">
        <v>86</v>
      </c>
      <c r="N931" t="s">
        <v>64</v>
      </c>
      <c r="O931" t="s">
        <v>64</v>
      </c>
      <c r="P931" s="2" t="str">
        <f t="shared" si="42"/>
        <v>23/06/2025 to 26/06/2025</v>
      </c>
      <c r="Q931" s="3">
        <v>45832</v>
      </c>
      <c r="R931" t="str">
        <f t="shared" si="43"/>
        <v>On-Time</v>
      </c>
      <c r="S931" t="s">
        <v>108</v>
      </c>
      <c r="T931">
        <v>36</v>
      </c>
      <c r="U931" t="s">
        <v>65</v>
      </c>
      <c r="V931" t="s">
        <v>72</v>
      </c>
      <c r="W931" t="str">
        <f t="shared" ca="1" si="44"/>
        <v>Dormant</v>
      </c>
    </row>
    <row r="932" spans="1:23" x14ac:dyDescent="0.2">
      <c r="A932">
        <v>569</v>
      </c>
      <c r="B932" t="s">
        <v>2003</v>
      </c>
      <c r="C932" t="s">
        <v>2007</v>
      </c>
      <c r="D932" s="1" t="s">
        <v>71</v>
      </c>
      <c r="E932" t="s">
        <v>2005</v>
      </c>
      <c r="F932" t="s">
        <v>1217</v>
      </c>
      <c r="G932" s="4" t="s">
        <v>5418</v>
      </c>
      <c r="H932" t="s">
        <v>210</v>
      </c>
      <c r="I932" t="s">
        <v>93</v>
      </c>
      <c r="J932" s="4" t="s">
        <v>60</v>
      </c>
      <c r="K932" t="s">
        <v>2008</v>
      </c>
      <c r="L932">
        <v>3</v>
      </c>
      <c r="M932" t="s">
        <v>71</v>
      </c>
      <c r="N932" t="s">
        <v>71</v>
      </c>
      <c r="O932" t="s">
        <v>63</v>
      </c>
      <c r="P932" s="2" t="str">
        <f t="shared" si="42"/>
        <v>19/06/2025 to 24/06/2025</v>
      </c>
      <c r="Q932" s="3">
        <v>45828</v>
      </c>
      <c r="R932" t="str">
        <f t="shared" si="43"/>
        <v>On-Time</v>
      </c>
      <c r="S932" t="s">
        <v>664</v>
      </c>
      <c r="T932">
        <v>32.5</v>
      </c>
      <c r="U932" t="s">
        <v>79</v>
      </c>
      <c r="V932" t="s">
        <v>66</v>
      </c>
      <c r="W932" t="str">
        <f t="shared" ca="1" si="44"/>
        <v>Dormant</v>
      </c>
    </row>
    <row r="933" spans="1:23" x14ac:dyDescent="0.2">
      <c r="A933">
        <v>302</v>
      </c>
      <c r="B933" t="s">
        <v>1260</v>
      </c>
      <c r="C933" t="s">
        <v>1261</v>
      </c>
      <c r="D933" s="1" t="s">
        <v>63</v>
      </c>
      <c r="E933" t="s">
        <v>1262</v>
      </c>
      <c r="F933" t="s">
        <v>356</v>
      </c>
      <c r="G933" s="4" t="s">
        <v>5425</v>
      </c>
      <c r="H933" t="s">
        <v>1263</v>
      </c>
      <c r="I933" t="s">
        <v>59</v>
      </c>
      <c r="J933" s="4" t="s">
        <v>68</v>
      </c>
      <c r="K933" t="s">
        <v>896</v>
      </c>
      <c r="L933">
        <v>2</v>
      </c>
      <c r="M933" t="s">
        <v>63</v>
      </c>
      <c r="N933" t="s">
        <v>63</v>
      </c>
      <c r="O933" t="s">
        <v>86</v>
      </c>
      <c r="P933" s="2" t="str">
        <f t="shared" si="42"/>
        <v>20/06/2025 to 25/06/2025</v>
      </c>
      <c r="Q933" s="3">
        <v>45827</v>
      </c>
      <c r="R933" t="str">
        <f t="shared" si="43"/>
        <v>Late</v>
      </c>
      <c r="S933" t="s">
        <v>344</v>
      </c>
      <c r="T933">
        <v>18.5</v>
      </c>
      <c r="U933" t="s">
        <v>65</v>
      </c>
      <c r="V933" t="s">
        <v>80</v>
      </c>
      <c r="W933" t="str">
        <f t="shared" ca="1" si="44"/>
        <v>Dormant</v>
      </c>
    </row>
    <row r="934" spans="1:23" x14ac:dyDescent="0.2">
      <c r="A934">
        <v>352</v>
      </c>
      <c r="B934" t="s">
        <v>1405</v>
      </c>
      <c r="C934" t="s">
        <v>1406</v>
      </c>
      <c r="D934" s="1" t="s">
        <v>63</v>
      </c>
      <c r="E934" t="s">
        <v>1407</v>
      </c>
      <c r="F934" t="s">
        <v>881</v>
      </c>
      <c r="G934" s="4" t="s">
        <v>5420</v>
      </c>
      <c r="H934" t="s">
        <v>1408</v>
      </c>
      <c r="I934" t="s">
        <v>112</v>
      </c>
      <c r="J934" s="4" t="s">
        <v>60</v>
      </c>
      <c r="K934" t="s">
        <v>1409</v>
      </c>
      <c r="L934">
        <v>4</v>
      </c>
      <c r="M934" t="s">
        <v>64</v>
      </c>
      <c r="N934" t="s">
        <v>514</v>
      </c>
      <c r="O934" t="s">
        <v>514</v>
      </c>
      <c r="P934" s="2" t="str">
        <f t="shared" si="42"/>
        <v>24/06/2025 to 27/06/2025</v>
      </c>
      <c r="Q934" s="3">
        <v>45832</v>
      </c>
      <c r="R934" t="str">
        <f t="shared" si="43"/>
        <v>On-Time</v>
      </c>
      <c r="S934" t="s">
        <v>108</v>
      </c>
      <c r="T934">
        <v>36</v>
      </c>
      <c r="U934" t="s">
        <v>79</v>
      </c>
      <c r="V934" t="s">
        <v>72</v>
      </c>
      <c r="W934" t="str">
        <f t="shared" ca="1" si="44"/>
        <v>Dormant</v>
      </c>
    </row>
    <row r="935" spans="1:23" x14ac:dyDescent="0.2">
      <c r="A935">
        <v>353</v>
      </c>
      <c r="B935" t="s">
        <v>1405</v>
      </c>
      <c r="C935" t="s">
        <v>1410</v>
      </c>
      <c r="D935" s="1" t="s">
        <v>63</v>
      </c>
      <c r="E935" t="s">
        <v>1407</v>
      </c>
      <c r="F935" t="s">
        <v>881</v>
      </c>
      <c r="G935" s="4" t="s">
        <v>38</v>
      </c>
      <c r="H935" t="s">
        <v>1408</v>
      </c>
      <c r="I935" t="s">
        <v>112</v>
      </c>
      <c r="J935" s="4" t="s">
        <v>74</v>
      </c>
      <c r="K935" t="s">
        <v>6</v>
      </c>
      <c r="L935">
        <v>1</v>
      </c>
      <c r="M935" t="s">
        <v>86</v>
      </c>
      <c r="N935" t="s">
        <v>64</v>
      </c>
      <c r="O935" t="s">
        <v>86</v>
      </c>
      <c r="P935" s="2" t="str">
        <f t="shared" si="42"/>
        <v>23/06/2025 to 26/06/2025</v>
      </c>
      <c r="Q935" s="3">
        <v>45827</v>
      </c>
      <c r="R935" t="str">
        <f t="shared" si="43"/>
        <v>Late</v>
      </c>
      <c r="S935" t="s">
        <v>78</v>
      </c>
      <c r="T935">
        <v>7.5</v>
      </c>
      <c r="U935" t="s">
        <v>79</v>
      </c>
      <c r="V935" t="s">
        <v>80</v>
      </c>
      <c r="W935" t="str">
        <f t="shared" ca="1" si="44"/>
        <v>Dormant</v>
      </c>
    </row>
    <row r="936" spans="1:23" x14ac:dyDescent="0.2">
      <c r="A936">
        <v>354</v>
      </c>
      <c r="B936" t="s">
        <v>1405</v>
      </c>
      <c r="C936" t="s">
        <v>1411</v>
      </c>
      <c r="D936" s="1" t="s">
        <v>63</v>
      </c>
      <c r="E936" t="s">
        <v>1407</v>
      </c>
      <c r="F936" t="s">
        <v>881</v>
      </c>
      <c r="G936" s="4" t="s">
        <v>5421</v>
      </c>
      <c r="H936" t="s">
        <v>1408</v>
      </c>
      <c r="I936" t="s">
        <v>112</v>
      </c>
      <c r="J936" s="4" t="s">
        <v>60</v>
      </c>
      <c r="K936" t="s">
        <v>1412</v>
      </c>
      <c r="L936">
        <v>2</v>
      </c>
      <c r="M936" t="s">
        <v>86</v>
      </c>
      <c r="N936" t="s">
        <v>509</v>
      </c>
      <c r="O936" t="s">
        <v>64</v>
      </c>
      <c r="P936" s="2" t="str">
        <f t="shared" si="42"/>
        <v>23/06/2025 to 26/06/2025</v>
      </c>
      <c r="Q936" s="3">
        <v>45832</v>
      </c>
      <c r="R936" t="str">
        <f t="shared" si="43"/>
        <v>On-Time</v>
      </c>
      <c r="S936" t="s">
        <v>350</v>
      </c>
      <c r="T936">
        <v>18</v>
      </c>
      <c r="U936" t="s">
        <v>65</v>
      </c>
      <c r="V936" t="s">
        <v>72</v>
      </c>
      <c r="W936" t="str">
        <f t="shared" ca="1" si="44"/>
        <v>Dormant</v>
      </c>
    </row>
    <row r="937" spans="1:23" x14ac:dyDescent="0.2">
      <c r="A937">
        <v>355</v>
      </c>
      <c r="B937" t="s">
        <v>1405</v>
      </c>
      <c r="C937" t="s">
        <v>1413</v>
      </c>
      <c r="D937" s="1" t="s">
        <v>63</v>
      </c>
      <c r="E937" t="s">
        <v>1407</v>
      </c>
      <c r="F937" t="s">
        <v>881</v>
      </c>
      <c r="G937" s="4" t="s">
        <v>38</v>
      </c>
      <c r="H937" t="s">
        <v>1408</v>
      </c>
      <c r="I937" t="s">
        <v>112</v>
      </c>
      <c r="J937" s="4" t="s">
        <v>5417</v>
      </c>
      <c r="K937" t="s">
        <v>20</v>
      </c>
      <c r="L937">
        <v>1</v>
      </c>
      <c r="M937" t="s">
        <v>63</v>
      </c>
      <c r="N937" t="s">
        <v>86</v>
      </c>
      <c r="O937" t="s">
        <v>63</v>
      </c>
      <c r="P937" s="2" t="str">
        <f t="shared" si="42"/>
        <v>20/06/2025 to 25/06/2025</v>
      </c>
      <c r="Q937" s="3">
        <v>45832</v>
      </c>
      <c r="R937" t="str">
        <f t="shared" si="43"/>
        <v>On-Time</v>
      </c>
      <c r="S937" t="s">
        <v>349</v>
      </c>
      <c r="T937">
        <v>10.5</v>
      </c>
      <c r="U937" t="s">
        <v>79</v>
      </c>
      <c r="V937" t="s">
        <v>80</v>
      </c>
      <c r="W937" t="str">
        <f t="shared" ca="1" si="44"/>
        <v>Dormant</v>
      </c>
    </row>
    <row r="938" spans="1:23" x14ac:dyDescent="0.2">
      <c r="A938">
        <v>515</v>
      </c>
      <c r="B938" t="s">
        <v>1856</v>
      </c>
      <c r="C938" t="s">
        <v>1857</v>
      </c>
      <c r="D938" s="1" t="s">
        <v>63</v>
      </c>
      <c r="E938" t="s">
        <v>1858</v>
      </c>
      <c r="F938" t="s">
        <v>110</v>
      </c>
      <c r="G938" s="4" t="s">
        <v>38</v>
      </c>
      <c r="H938" t="s">
        <v>1859</v>
      </c>
      <c r="I938" t="s">
        <v>136</v>
      </c>
      <c r="J938" s="4" t="s">
        <v>68</v>
      </c>
      <c r="K938" t="s">
        <v>12</v>
      </c>
      <c r="L938">
        <v>1</v>
      </c>
      <c r="M938" t="s">
        <v>86</v>
      </c>
      <c r="N938" t="s">
        <v>64</v>
      </c>
      <c r="O938" t="s">
        <v>86</v>
      </c>
      <c r="P938" s="2" t="str">
        <f t="shared" si="42"/>
        <v>23/06/2025 to 26/06/2025</v>
      </c>
      <c r="Q938" s="3">
        <v>45827</v>
      </c>
      <c r="R938" t="str">
        <f t="shared" si="43"/>
        <v>Late</v>
      </c>
      <c r="S938" t="s">
        <v>78</v>
      </c>
      <c r="T938">
        <v>9.5</v>
      </c>
      <c r="U938" t="s">
        <v>65</v>
      </c>
      <c r="V938" t="s">
        <v>80</v>
      </c>
      <c r="W938" t="str">
        <f t="shared" ca="1" si="44"/>
        <v>Dormant</v>
      </c>
    </row>
    <row r="939" spans="1:23" x14ac:dyDescent="0.2">
      <c r="A939">
        <v>621</v>
      </c>
      <c r="B939" t="s">
        <v>2138</v>
      </c>
      <c r="C939" t="s">
        <v>2139</v>
      </c>
      <c r="D939" s="1" t="s">
        <v>86</v>
      </c>
      <c r="E939" t="s">
        <v>2140</v>
      </c>
      <c r="F939" t="s">
        <v>1154</v>
      </c>
      <c r="G939" s="4" t="s">
        <v>5420</v>
      </c>
      <c r="H939" t="s">
        <v>1728</v>
      </c>
      <c r="I939" t="s">
        <v>201</v>
      </c>
      <c r="J939" s="4" t="s">
        <v>5417</v>
      </c>
      <c r="K939" t="s">
        <v>30</v>
      </c>
      <c r="L939">
        <v>1</v>
      </c>
      <c r="M939" t="s">
        <v>509</v>
      </c>
      <c r="N939" t="s">
        <v>509</v>
      </c>
      <c r="O939" t="s">
        <v>515</v>
      </c>
      <c r="P939" s="2" t="str">
        <f t="shared" si="42"/>
        <v>24/06/2025 to 27/06/2025</v>
      </c>
      <c r="Q939" s="3">
        <v>45833</v>
      </c>
      <c r="R939" t="str">
        <f t="shared" si="43"/>
        <v>On-Time</v>
      </c>
      <c r="S939" t="s">
        <v>349</v>
      </c>
      <c r="T939">
        <v>12</v>
      </c>
      <c r="U939" t="s">
        <v>79</v>
      </c>
      <c r="V939" t="s">
        <v>66</v>
      </c>
      <c r="W939" t="str">
        <f t="shared" ca="1" si="44"/>
        <v>Dormant</v>
      </c>
    </row>
    <row r="940" spans="1:23" x14ac:dyDescent="0.2">
      <c r="A940">
        <v>750</v>
      </c>
      <c r="B940" t="s">
        <v>2451</v>
      </c>
      <c r="C940" t="s">
        <v>2452</v>
      </c>
      <c r="D940" s="1" t="s">
        <v>86</v>
      </c>
      <c r="E940" t="s">
        <v>2453</v>
      </c>
      <c r="F940" t="s">
        <v>121</v>
      </c>
      <c r="G940" s="4" t="s">
        <v>5427</v>
      </c>
      <c r="H940" t="s">
        <v>2454</v>
      </c>
      <c r="I940" t="s">
        <v>201</v>
      </c>
      <c r="J940" s="4" t="s">
        <v>68</v>
      </c>
      <c r="K940" t="s">
        <v>2455</v>
      </c>
      <c r="L940">
        <v>3</v>
      </c>
      <c r="M940" t="s">
        <v>86</v>
      </c>
      <c r="N940" t="s">
        <v>509</v>
      </c>
      <c r="O940" t="s">
        <v>86</v>
      </c>
      <c r="P940" s="2" t="str">
        <f t="shared" si="42"/>
        <v>23/06/2025 to 26/06/2025</v>
      </c>
      <c r="Q940" s="3">
        <v>45830</v>
      </c>
      <c r="R940" t="str">
        <f t="shared" si="43"/>
        <v>Late</v>
      </c>
      <c r="S940" t="s">
        <v>523</v>
      </c>
      <c r="T940">
        <v>30</v>
      </c>
      <c r="U940" t="s">
        <v>65</v>
      </c>
      <c r="V940" t="s">
        <v>72</v>
      </c>
      <c r="W940" t="str">
        <f t="shared" ca="1" si="44"/>
        <v>Dormant</v>
      </c>
    </row>
    <row r="941" spans="1:23" x14ac:dyDescent="0.2">
      <c r="A941">
        <v>751</v>
      </c>
      <c r="B941" t="s">
        <v>2451</v>
      </c>
      <c r="C941" t="s">
        <v>2456</v>
      </c>
      <c r="D941" s="1" t="s">
        <v>86</v>
      </c>
      <c r="E941" t="s">
        <v>2453</v>
      </c>
      <c r="F941" t="s">
        <v>121</v>
      </c>
      <c r="G941" s="4" t="s">
        <v>5422</v>
      </c>
      <c r="H941" t="s">
        <v>2454</v>
      </c>
      <c r="I941" t="s">
        <v>201</v>
      </c>
      <c r="J941" s="4" t="s">
        <v>74</v>
      </c>
      <c r="K941" t="s">
        <v>2457</v>
      </c>
      <c r="L941">
        <v>3</v>
      </c>
      <c r="M941" t="s">
        <v>509</v>
      </c>
      <c r="N941" t="s">
        <v>514</v>
      </c>
      <c r="O941" t="s">
        <v>509</v>
      </c>
      <c r="P941" s="2" t="str">
        <f t="shared" si="42"/>
        <v>24/06/2025 to 27/06/2025</v>
      </c>
      <c r="Q941" s="3">
        <v>45832</v>
      </c>
      <c r="R941" t="str">
        <f t="shared" si="43"/>
        <v>On-Time</v>
      </c>
      <c r="S941" t="s">
        <v>108</v>
      </c>
      <c r="T941">
        <v>29</v>
      </c>
      <c r="U941" t="s">
        <v>79</v>
      </c>
      <c r="V941" t="s">
        <v>72</v>
      </c>
      <c r="W941" t="str">
        <f t="shared" ca="1" si="44"/>
        <v>Dormant</v>
      </c>
    </row>
    <row r="942" spans="1:23" x14ac:dyDescent="0.2">
      <c r="A942">
        <v>752</v>
      </c>
      <c r="B942" t="s">
        <v>2451</v>
      </c>
      <c r="C942" t="s">
        <v>2458</v>
      </c>
      <c r="D942" s="1" t="s">
        <v>86</v>
      </c>
      <c r="E942" t="s">
        <v>2453</v>
      </c>
      <c r="F942" t="s">
        <v>121</v>
      </c>
      <c r="G942" s="4" t="s">
        <v>38</v>
      </c>
      <c r="H942" t="s">
        <v>2454</v>
      </c>
      <c r="I942" t="s">
        <v>201</v>
      </c>
      <c r="J942" s="4" t="s">
        <v>60</v>
      </c>
      <c r="K942" t="s">
        <v>2459</v>
      </c>
      <c r="L942">
        <v>4</v>
      </c>
      <c r="M942" t="s">
        <v>86</v>
      </c>
      <c r="N942" t="s">
        <v>509</v>
      </c>
      <c r="O942" t="s">
        <v>509</v>
      </c>
      <c r="P942" s="2" t="str">
        <f t="shared" si="42"/>
        <v>23/06/2025 to 26/06/2025</v>
      </c>
      <c r="Q942" s="3">
        <v>45833</v>
      </c>
      <c r="R942" t="str">
        <f t="shared" si="43"/>
        <v>On-Time</v>
      </c>
      <c r="S942" t="s">
        <v>517</v>
      </c>
      <c r="T942">
        <v>34.5</v>
      </c>
      <c r="U942" t="s">
        <v>79</v>
      </c>
      <c r="V942" t="s">
        <v>80</v>
      </c>
      <c r="W942" t="str">
        <f t="shared" ca="1" si="44"/>
        <v>Dormant</v>
      </c>
    </row>
    <row r="943" spans="1:23" x14ac:dyDescent="0.2">
      <c r="A943">
        <v>1105</v>
      </c>
      <c r="B943" t="s">
        <v>3316</v>
      </c>
      <c r="C943" t="s">
        <v>3317</v>
      </c>
      <c r="D943" s="1" t="s">
        <v>86</v>
      </c>
      <c r="E943" t="s">
        <v>3318</v>
      </c>
      <c r="F943" t="s">
        <v>553</v>
      </c>
      <c r="G943" s="4" t="s">
        <v>5419</v>
      </c>
      <c r="H943" t="s">
        <v>3319</v>
      </c>
      <c r="I943" t="s">
        <v>201</v>
      </c>
      <c r="J943" s="4" t="s">
        <v>60</v>
      </c>
      <c r="K943" t="s">
        <v>211</v>
      </c>
      <c r="L943">
        <v>2</v>
      </c>
      <c r="M943" t="s">
        <v>86</v>
      </c>
      <c r="N943" t="s">
        <v>509</v>
      </c>
      <c r="O943" t="s">
        <v>64</v>
      </c>
      <c r="P943" s="2" t="str">
        <f t="shared" si="42"/>
        <v>23/06/2025 to 26/06/2025</v>
      </c>
      <c r="Q943" s="3">
        <v>45830</v>
      </c>
      <c r="R943" t="str">
        <f t="shared" si="43"/>
        <v>Late</v>
      </c>
      <c r="S943" t="s">
        <v>523</v>
      </c>
      <c r="T943">
        <v>17</v>
      </c>
      <c r="U943" t="s">
        <v>65</v>
      </c>
      <c r="V943" t="s">
        <v>72</v>
      </c>
      <c r="W943" t="str">
        <f t="shared" ca="1" si="44"/>
        <v>Dormant</v>
      </c>
    </row>
    <row r="944" spans="1:23" x14ac:dyDescent="0.2">
      <c r="A944">
        <v>1106</v>
      </c>
      <c r="B944" t="s">
        <v>3316</v>
      </c>
      <c r="C944" t="s">
        <v>3320</v>
      </c>
      <c r="D944" s="1" t="s">
        <v>86</v>
      </c>
      <c r="E944" t="s">
        <v>3318</v>
      </c>
      <c r="F944" t="s">
        <v>553</v>
      </c>
      <c r="G944" s="4" t="s">
        <v>38</v>
      </c>
      <c r="H944" t="s">
        <v>3319</v>
      </c>
      <c r="I944" t="s">
        <v>201</v>
      </c>
      <c r="J944" s="4" t="s">
        <v>74</v>
      </c>
      <c r="K944" t="s">
        <v>6</v>
      </c>
      <c r="L944">
        <v>1</v>
      </c>
      <c r="M944" t="s">
        <v>86</v>
      </c>
      <c r="N944" t="s">
        <v>86</v>
      </c>
      <c r="O944" t="s">
        <v>64</v>
      </c>
      <c r="P944" s="2" t="str">
        <f t="shared" si="42"/>
        <v>23/06/2025 to 26/06/2025</v>
      </c>
      <c r="Q944" s="3">
        <v>45834</v>
      </c>
      <c r="R944" t="str">
        <f t="shared" si="43"/>
        <v>On-Time</v>
      </c>
      <c r="S944" t="s">
        <v>517</v>
      </c>
      <c r="T944">
        <v>7.5</v>
      </c>
      <c r="U944" t="s">
        <v>65</v>
      </c>
      <c r="V944" t="s">
        <v>72</v>
      </c>
      <c r="W944" t="str">
        <f t="shared" ca="1" si="44"/>
        <v>Dormant</v>
      </c>
    </row>
    <row r="945" spans="1:23" x14ac:dyDescent="0.2">
      <c r="A945">
        <v>1107</v>
      </c>
      <c r="B945" t="s">
        <v>3316</v>
      </c>
      <c r="C945" t="s">
        <v>3321</v>
      </c>
      <c r="D945" s="1" t="s">
        <v>86</v>
      </c>
      <c r="E945" t="s">
        <v>3318</v>
      </c>
      <c r="F945" t="s">
        <v>553</v>
      </c>
      <c r="G945" s="4" t="s">
        <v>5418</v>
      </c>
      <c r="H945" t="s">
        <v>3319</v>
      </c>
      <c r="I945" t="s">
        <v>201</v>
      </c>
      <c r="J945" s="4" t="s">
        <v>68</v>
      </c>
      <c r="K945" t="s">
        <v>14</v>
      </c>
      <c r="L945">
        <v>1</v>
      </c>
      <c r="M945" t="s">
        <v>86</v>
      </c>
      <c r="N945" t="s">
        <v>64</v>
      </c>
      <c r="O945" t="s">
        <v>64</v>
      </c>
      <c r="P945" s="2" t="str">
        <f t="shared" si="42"/>
        <v>23/06/2025 to 26/06/2025</v>
      </c>
      <c r="Q945" s="3">
        <v>45831</v>
      </c>
      <c r="R945" t="str">
        <f t="shared" si="43"/>
        <v>On-Time</v>
      </c>
      <c r="S945" t="s">
        <v>349</v>
      </c>
      <c r="T945">
        <v>9.5</v>
      </c>
      <c r="U945" t="s">
        <v>79</v>
      </c>
      <c r="V945" t="s">
        <v>80</v>
      </c>
      <c r="W945" t="str">
        <f t="shared" ca="1" si="44"/>
        <v>Dormant</v>
      </c>
    </row>
    <row r="946" spans="1:23" x14ac:dyDescent="0.2">
      <c r="A946">
        <v>1108</v>
      </c>
      <c r="B946" t="s">
        <v>3316</v>
      </c>
      <c r="C946" t="s">
        <v>3322</v>
      </c>
      <c r="D946" s="1" t="s">
        <v>86</v>
      </c>
      <c r="E946" t="s">
        <v>3318</v>
      </c>
      <c r="F946" t="s">
        <v>553</v>
      </c>
      <c r="G946" s="4" t="s">
        <v>5420</v>
      </c>
      <c r="H946" t="s">
        <v>3319</v>
      </c>
      <c r="I946" t="s">
        <v>201</v>
      </c>
      <c r="J946" s="4" t="s">
        <v>60</v>
      </c>
      <c r="K946" t="s">
        <v>12</v>
      </c>
      <c r="L946">
        <v>1</v>
      </c>
      <c r="M946" t="s">
        <v>86</v>
      </c>
      <c r="N946" t="s">
        <v>86</v>
      </c>
      <c r="O946" t="s">
        <v>64</v>
      </c>
      <c r="P946" s="2" t="str">
        <f t="shared" si="42"/>
        <v>23/06/2025 to 26/06/2025</v>
      </c>
      <c r="Q946" s="3">
        <v>45830</v>
      </c>
      <c r="R946" t="str">
        <f t="shared" si="43"/>
        <v>Late</v>
      </c>
      <c r="S946" t="s">
        <v>523</v>
      </c>
      <c r="T946">
        <v>9.5</v>
      </c>
      <c r="U946" t="s">
        <v>65</v>
      </c>
      <c r="V946" t="s">
        <v>80</v>
      </c>
      <c r="W946" t="str">
        <f t="shared" ca="1" si="44"/>
        <v>Dormant</v>
      </c>
    </row>
    <row r="947" spans="1:23" x14ac:dyDescent="0.2">
      <c r="A947">
        <v>718</v>
      </c>
      <c r="B947" t="s">
        <v>2381</v>
      </c>
      <c r="C947" t="s">
        <v>2382</v>
      </c>
      <c r="D947" s="1" t="s">
        <v>64</v>
      </c>
      <c r="E947" t="s">
        <v>2383</v>
      </c>
      <c r="F947" t="s">
        <v>1036</v>
      </c>
      <c r="G947" s="4" t="s">
        <v>5418</v>
      </c>
      <c r="H947" t="s">
        <v>2384</v>
      </c>
      <c r="I947" t="s">
        <v>93</v>
      </c>
      <c r="J947" s="4" t="s">
        <v>60</v>
      </c>
      <c r="K947" t="s">
        <v>32</v>
      </c>
      <c r="L947">
        <v>1</v>
      </c>
      <c r="M947" t="s">
        <v>509</v>
      </c>
      <c r="N947" t="s">
        <v>515</v>
      </c>
      <c r="O947" t="s">
        <v>509</v>
      </c>
      <c r="P947" s="2" t="str">
        <f t="shared" si="42"/>
        <v>24/06/2025 to 27/06/2025</v>
      </c>
      <c r="Q947" s="3">
        <v>45829</v>
      </c>
      <c r="R947" t="str">
        <f t="shared" si="43"/>
        <v>Late</v>
      </c>
      <c r="S947" t="s">
        <v>344</v>
      </c>
      <c r="T947">
        <v>14</v>
      </c>
      <c r="U947" t="s">
        <v>79</v>
      </c>
      <c r="V947" t="s">
        <v>66</v>
      </c>
      <c r="W947" t="str">
        <f t="shared" ca="1" si="44"/>
        <v>Dormant</v>
      </c>
    </row>
    <row r="948" spans="1:23" x14ac:dyDescent="0.2">
      <c r="A948">
        <v>719</v>
      </c>
      <c r="B948" t="s">
        <v>2381</v>
      </c>
      <c r="C948" t="s">
        <v>2385</v>
      </c>
      <c r="D948" s="1" t="s">
        <v>64</v>
      </c>
      <c r="E948" t="s">
        <v>2383</v>
      </c>
      <c r="F948" t="s">
        <v>1036</v>
      </c>
      <c r="G948" s="4" t="s">
        <v>5419</v>
      </c>
      <c r="H948" t="s">
        <v>2384</v>
      </c>
      <c r="I948" t="s">
        <v>93</v>
      </c>
      <c r="J948" s="4" t="s">
        <v>60</v>
      </c>
      <c r="K948" t="s">
        <v>24</v>
      </c>
      <c r="L948">
        <v>1</v>
      </c>
      <c r="M948" t="s">
        <v>514</v>
      </c>
      <c r="N948" t="s">
        <v>514</v>
      </c>
      <c r="O948" t="s">
        <v>515</v>
      </c>
      <c r="P948" s="2" t="str">
        <f t="shared" si="42"/>
        <v>24/06/2025 to 27/06/2025</v>
      </c>
      <c r="Q948" s="3">
        <v>45837</v>
      </c>
      <c r="R948" t="str">
        <f t="shared" si="43"/>
        <v>Late</v>
      </c>
      <c r="S948" t="s">
        <v>358</v>
      </c>
      <c r="T948">
        <v>8</v>
      </c>
      <c r="U948" t="s">
        <v>65</v>
      </c>
      <c r="V948" t="s">
        <v>80</v>
      </c>
      <c r="W948" t="str">
        <f t="shared" ca="1" si="44"/>
        <v>Dormant</v>
      </c>
    </row>
    <row r="949" spans="1:23" x14ac:dyDescent="0.2">
      <c r="A949">
        <v>720</v>
      </c>
      <c r="B949" t="s">
        <v>2381</v>
      </c>
      <c r="C949" t="s">
        <v>2386</v>
      </c>
      <c r="D949" s="1" t="s">
        <v>64</v>
      </c>
      <c r="E949" t="s">
        <v>2383</v>
      </c>
      <c r="F949" t="s">
        <v>1036</v>
      </c>
      <c r="G949" s="4" t="s">
        <v>5419</v>
      </c>
      <c r="H949" t="s">
        <v>2384</v>
      </c>
      <c r="I949" t="s">
        <v>93</v>
      </c>
      <c r="J949" s="4" t="s">
        <v>60</v>
      </c>
      <c r="K949" t="s">
        <v>2387</v>
      </c>
      <c r="L949">
        <v>4</v>
      </c>
      <c r="M949" t="s">
        <v>64</v>
      </c>
      <c r="N949" t="s">
        <v>514</v>
      </c>
      <c r="O949" t="s">
        <v>514</v>
      </c>
      <c r="P949" s="2" t="str">
        <f t="shared" si="42"/>
        <v>24/06/2025 to 27/06/2025</v>
      </c>
      <c r="Q949" s="3">
        <v>45832</v>
      </c>
      <c r="R949" t="str">
        <f t="shared" si="43"/>
        <v>On-Time</v>
      </c>
      <c r="S949" t="s">
        <v>349</v>
      </c>
      <c r="T949">
        <v>36.5</v>
      </c>
      <c r="U949" t="s">
        <v>65</v>
      </c>
      <c r="V949" t="s">
        <v>72</v>
      </c>
      <c r="W949" t="str">
        <f t="shared" ca="1" si="44"/>
        <v>Dormant</v>
      </c>
    </row>
    <row r="950" spans="1:23" x14ac:dyDescent="0.2">
      <c r="A950">
        <v>721</v>
      </c>
      <c r="B950" t="s">
        <v>2381</v>
      </c>
      <c r="C950" t="s">
        <v>2388</v>
      </c>
      <c r="D950" s="1" t="s">
        <v>64</v>
      </c>
      <c r="E950" t="s">
        <v>2383</v>
      </c>
      <c r="F950" t="s">
        <v>1036</v>
      </c>
      <c r="G950" s="4" t="s">
        <v>5425</v>
      </c>
      <c r="H950" t="s">
        <v>2384</v>
      </c>
      <c r="I950" t="s">
        <v>93</v>
      </c>
      <c r="J950" s="4" t="s">
        <v>74</v>
      </c>
      <c r="K950" t="s">
        <v>2389</v>
      </c>
      <c r="L950">
        <v>2</v>
      </c>
      <c r="M950" t="s">
        <v>514</v>
      </c>
      <c r="N950" t="s">
        <v>515</v>
      </c>
      <c r="O950" t="s">
        <v>514</v>
      </c>
      <c r="P950" s="2" t="str">
        <f t="shared" si="42"/>
        <v>24/06/2025 to 27/06/2025</v>
      </c>
      <c r="Q950" s="3">
        <v>45831</v>
      </c>
      <c r="R950" t="str">
        <f t="shared" si="43"/>
        <v>Late</v>
      </c>
      <c r="S950" t="s">
        <v>348</v>
      </c>
      <c r="T950">
        <v>18</v>
      </c>
      <c r="U950" t="s">
        <v>79</v>
      </c>
      <c r="V950" t="s">
        <v>80</v>
      </c>
      <c r="W950" t="str">
        <f t="shared" ca="1" si="44"/>
        <v>Dormant</v>
      </c>
    </row>
    <row r="951" spans="1:23" x14ac:dyDescent="0.2">
      <c r="A951">
        <v>722</v>
      </c>
      <c r="B951" t="s">
        <v>2381</v>
      </c>
      <c r="C951" t="s">
        <v>2390</v>
      </c>
      <c r="D951" s="1" t="s">
        <v>64</v>
      </c>
      <c r="E951" t="s">
        <v>2383</v>
      </c>
      <c r="F951" t="s">
        <v>1036</v>
      </c>
      <c r="G951" s="4" t="s">
        <v>5418</v>
      </c>
      <c r="H951" t="s">
        <v>2384</v>
      </c>
      <c r="I951" t="s">
        <v>93</v>
      </c>
      <c r="J951" s="4" t="s">
        <v>74</v>
      </c>
      <c r="K951" t="s">
        <v>2032</v>
      </c>
      <c r="L951">
        <v>2</v>
      </c>
      <c r="M951" t="s">
        <v>64</v>
      </c>
      <c r="N951" t="s">
        <v>514</v>
      </c>
      <c r="O951" t="s">
        <v>514</v>
      </c>
      <c r="P951" s="2" t="str">
        <f t="shared" si="42"/>
        <v>24/06/2025 to 27/06/2025</v>
      </c>
      <c r="Q951" s="3">
        <v>45835</v>
      </c>
      <c r="R951" t="str">
        <f t="shared" si="43"/>
        <v>On-Time</v>
      </c>
      <c r="S951" t="s">
        <v>113</v>
      </c>
      <c r="T951">
        <v>18</v>
      </c>
      <c r="U951" t="s">
        <v>65</v>
      </c>
      <c r="V951" t="s">
        <v>80</v>
      </c>
      <c r="W951" t="str">
        <f t="shared" ca="1" si="44"/>
        <v>Dormant</v>
      </c>
    </row>
    <row r="952" spans="1:23" x14ac:dyDescent="0.2">
      <c r="A952">
        <v>728</v>
      </c>
      <c r="B952" t="s">
        <v>2401</v>
      </c>
      <c r="C952" t="s">
        <v>2402</v>
      </c>
      <c r="D952" s="1" t="s">
        <v>64</v>
      </c>
      <c r="E952" t="s">
        <v>2403</v>
      </c>
      <c r="F952" t="s">
        <v>511</v>
      </c>
      <c r="G952" s="4" t="s">
        <v>5426</v>
      </c>
      <c r="H952" t="s">
        <v>2404</v>
      </c>
      <c r="I952" t="s">
        <v>93</v>
      </c>
      <c r="J952" s="4" t="s">
        <v>74</v>
      </c>
      <c r="K952" t="s">
        <v>2405</v>
      </c>
      <c r="L952">
        <v>4</v>
      </c>
      <c r="M952" t="s">
        <v>509</v>
      </c>
      <c r="N952" t="s">
        <v>509</v>
      </c>
      <c r="O952" t="s">
        <v>509</v>
      </c>
      <c r="P952" s="2" t="str">
        <f t="shared" si="42"/>
        <v>24/06/2025 to 27/06/2025</v>
      </c>
      <c r="Q952" s="3">
        <v>45832</v>
      </c>
      <c r="R952" t="str">
        <f t="shared" si="43"/>
        <v>On-Time</v>
      </c>
      <c r="S952" t="s">
        <v>108</v>
      </c>
      <c r="T952">
        <v>34.5</v>
      </c>
      <c r="U952" t="s">
        <v>79</v>
      </c>
      <c r="V952" t="s">
        <v>66</v>
      </c>
      <c r="W952" t="str">
        <f t="shared" ca="1" si="44"/>
        <v>Dormant</v>
      </c>
    </row>
    <row r="953" spans="1:23" x14ac:dyDescent="0.2">
      <c r="A953">
        <v>729</v>
      </c>
      <c r="B953" t="s">
        <v>2401</v>
      </c>
      <c r="C953" t="s">
        <v>2406</v>
      </c>
      <c r="D953" s="1" t="s">
        <v>64</v>
      </c>
      <c r="E953" t="s">
        <v>2403</v>
      </c>
      <c r="F953" t="s">
        <v>511</v>
      </c>
      <c r="G953" s="4" t="s">
        <v>5420</v>
      </c>
      <c r="H953" t="s">
        <v>2404</v>
      </c>
      <c r="I953" t="s">
        <v>93</v>
      </c>
      <c r="J953" s="4" t="s">
        <v>60</v>
      </c>
      <c r="K953" t="s">
        <v>2407</v>
      </c>
      <c r="L953">
        <v>4</v>
      </c>
      <c r="M953" t="s">
        <v>64</v>
      </c>
      <c r="N953" t="s">
        <v>509</v>
      </c>
      <c r="O953" t="s">
        <v>514</v>
      </c>
      <c r="P953" s="2" t="str">
        <f t="shared" si="42"/>
        <v>24/06/2025 to 27/06/2025</v>
      </c>
      <c r="Q953" s="3">
        <v>45834</v>
      </c>
      <c r="R953" t="str">
        <f t="shared" si="43"/>
        <v>On-Time</v>
      </c>
      <c r="S953" t="s">
        <v>108</v>
      </c>
      <c r="T953">
        <v>35</v>
      </c>
      <c r="U953" t="s">
        <v>79</v>
      </c>
      <c r="V953" t="s">
        <v>66</v>
      </c>
      <c r="W953" t="str">
        <f t="shared" ca="1" si="44"/>
        <v>Dormant</v>
      </c>
    </row>
    <row r="954" spans="1:23" x14ac:dyDescent="0.2">
      <c r="A954">
        <v>730</v>
      </c>
      <c r="B954" t="s">
        <v>2401</v>
      </c>
      <c r="C954" t="s">
        <v>2408</v>
      </c>
      <c r="D954" s="1" t="s">
        <v>64</v>
      </c>
      <c r="E954" t="s">
        <v>2403</v>
      </c>
      <c r="F954" t="s">
        <v>511</v>
      </c>
      <c r="G954" s="4" t="s">
        <v>5424</v>
      </c>
      <c r="H954" t="s">
        <v>2404</v>
      </c>
      <c r="I954" t="s">
        <v>93</v>
      </c>
      <c r="J954" s="4" t="s">
        <v>68</v>
      </c>
      <c r="K954" t="s">
        <v>2409</v>
      </c>
      <c r="L954">
        <v>3</v>
      </c>
      <c r="M954" t="s">
        <v>64</v>
      </c>
      <c r="N954" t="s">
        <v>514</v>
      </c>
      <c r="O954" t="s">
        <v>514</v>
      </c>
      <c r="P954" s="2" t="str">
        <f t="shared" si="42"/>
        <v>24/06/2025 to 27/06/2025</v>
      </c>
      <c r="Q954" s="3">
        <v>45834</v>
      </c>
      <c r="R954" t="str">
        <f t="shared" si="43"/>
        <v>On-Time</v>
      </c>
      <c r="S954" t="s">
        <v>113</v>
      </c>
      <c r="T954">
        <v>25</v>
      </c>
      <c r="U954" t="s">
        <v>65</v>
      </c>
      <c r="V954" t="s">
        <v>80</v>
      </c>
      <c r="W954" t="str">
        <f t="shared" ca="1" si="44"/>
        <v>Dormant</v>
      </c>
    </row>
    <row r="955" spans="1:23" x14ac:dyDescent="0.2">
      <c r="A955">
        <v>731</v>
      </c>
      <c r="B955" t="s">
        <v>2401</v>
      </c>
      <c r="C955" t="s">
        <v>2410</v>
      </c>
      <c r="D955" s="1" t="s">
        <v>64</v>
      </c>
      <c r="E955" t="s">
        <v>2403</v>
      </c>
      <c r="F955" t="s">
        <v>511</v>
      </c>
      <c r="G955" s="4" t="s">
        <v>5426</v>
      </c>
      <c r="H955" t="s">
        <v>2404</v>
      </c>
      <c r="I955" t="s">
        <v>93</v>
      </c>
      <c r="J955" s="4" t="s">
        <v>68</v>
      </c>
      <c r="K955" t="s">
        <v>8</v>
      </c>
      <c r="L955">
        <v>1</v>
      </c>
      <c r="M955" t="s">
        <v>514</v>
      </c>
      <c r="N955" t="s">
        <v>515</v>
      </c>
      <c r="O955" t="s">
        <v>515</v>
      </c>
      <c r="P955" s="2" t="str">
        <f t="shared" si="42"/>
        <v>24/06/2025 to 27/06/2025</v>
      </c>
      <c r="Q955" s="3">
        <v>45831</v>
      </c>
      <c r="R955" t="str">
        <f t="shared" si="43"/>
        <v>Late</v>
      </c>
      <c r="S955" t="s">
        <v>349</v>
      </c>
      <c r="T955">
        <v>9</v>
      </c>
      <c r="U955" t="s">
        <v>79</v>
      </c>
      <c r="V955" t="s">
        <v>72</v>
      </c>
      <c r="W955" t="str">
        <f t="shared" ca="1" si="44"/>
        <v>Dormant</v>
      </c>
    </row>
    <row r="956" spans="1:23" x14ac:dyDescent="0.2">
      <c r="A956">
        <v>1279</v>
      </c>
      <c r="B956" t="s">
        <v>3728</v>
      </c>
      <c r="C956" t="s">
        <v>3729</v>
      </c>
      <c r="D956" s="1" t="s">
        <v>64</v>
      </c>
      <c r="E956" t="s">
        <v>3730</v>
      </c>
      <c r="F956" t="s">
        <v>511</v>
      </c>
      <c r="G956" s="4" t="s">
        <v>38</v>
      </c>
      <c r="H956" t="s">
        <v>3731</v>
      </c>
      <c r="I956" t="s">
        <v>59</v>
      </c>
      <c r="J956" s="4" t="s">
        <v>74</v>
      </c>
      <c r="K956" t="s">
        <v>3732</v>
      </c>
      <c r="L956">
        <v>4</v>
      </c>
      <c r="M956" t="s">
        <v>64</v>
      </c>
      <c r="N956" t="s">
        <v>514</v>
      </c>
      <c r="O956" t="s">
        <v>64</v>
      </c>
      <c r="P956" s="2" t="str">
        <f t="shared" si="42"/>
        <v>24/06/2025 to 27/06/2025</v>
      </c>
      <c r="Q956" s="3">
        <v>45833</v>
      </c>
      <c r="R956" t="str">
        <f t="shared" si="43"/>
        <v>On-Time</v>
      </c>
      <c r="S956" t="s">
        <v>349</v>
      </c>
      <c r="T956">
        <v>34.5</v>
      </c>
      <c r="U956" t="s">
        <v>65</v>
      </c>
      <c r="V956" t="s">
        <v>80</v>
      </c>
      <c r="W956" t="str">
        <f t="shared" ca="1" si="44"/>
        <v>Dormant</v>
      </c>
    </row>
    <row r="957" spans="1:23" x14ac:dyDescent="0.2">
      <c r="A957">
        <v>1280</v>
      </c>
      <c r="B957" t="s">
        <v>3728</v>
      </c>
      <c r="C957" t="s">
        <v>3733</v>
      </c>
      <c r="D957" s="1" t="s">
        <v>64</v>
      </c>
      <c r="E957" t="s">
        <v>3730</v>
      </c>
      <c r="F957" t="s">
        <v>511</v>
      </c>
      <c r="G957" s="4" t="s">
        <v>5426</v>
      </c>
      <c r="H957" t="s">
        <v>3731</v>
      </c>
      <c r="I957" t="s">
        <v>59</v>
      </c>
      <c r="J957" s="4" t="s">
        <v>60</v>
      </c>
      <c r="K957" t="s">
        <v>3734</v>
      </c>
      <c r="L957">
        <v>4</v>
      </c>
      <c r="M957" t="s">
        <v>514</v>
      </c>
      <c r="N957" t="s">
        <v>77</v>
      </c>
      <c r="O957" t="s">
        <v>515</v>
      </c>
      <c r="P957" s="2" t="str">
        <f t="shared" si="42"/>
        <v>24/06/2025 to 27/06/2025</v>
      </c>
      <c r="Q957" s="3">
        <v>45832</v>
      </c>
      <c r="R957" t="str">
        <f t="shared" si="43"/>
        <v>On-Time</v>
      </c>
      <c r="S957" t="s">
        <v>108</v>
      </c>
      <c r="T957">
        <v>42.5</v>
      </c>
      <c r="U957" t="s">
        <v>65</v>
      </c>
      <c r="V957" t="s">
        <v>66</v>
      </c>
      <c r="W957" t="str">
        <f t="shared" ca="1" si="44"/>
        <v>Dormant</v>
      </c>
    </row>
    <row r="958" spans="1:23" x14ac:dyDescent="0.2">
      <c r="A958">
        <v>1281</v>
      </c>
      <c r="B958" t="s">
        <v>3728</v>
      </c>
      <c r="C958" t="s">
        <v>3735</v>
      </c>
      <c r="D958" s="1" t="s">
        <v>64</v>
      </c>
      <c r="E958" t="s">
        <v>3730</v>
      </c>
      <c r="F958" t="s">
        <v>511</v>
      </c>
      <c r="G958" s="4" t="s">
        <v>5421</v>
      </c>
      <c r="H958" t="s">
        <v>3731</v>
      </c>
      <c r="I958" t="s">
        <v>59</v>
      </c>
      <c r="J958" s="4" t="s">
        <v>5417</v>
      </c>
      <c r="K958" t="s">
        <v>8</v>
      </c>
      <c r="L958">
        <v>1</v>
      </c>
      <c r="M958" t="s">
        <v>509</v>
      </c>
      <c r="N958" t="s">
        <v>509</v>
      </c>
      <c r="O958" t="s">
        <v>515</v>
      </c>
      <c r="P958" s="2" t="str">
        <f t="shared" si="42"/>
        <v>24/06/2025 to 27/06/2025</v>
      </c>
      <c r="Q958" s="3">
        <v>45834</v>
      </c>
      <c r="R958" t="str">
        <f t="shared" si="43"/>
        <v>On-Time</v>
      </c>
      <c r="S958" t="s">
        <v>113</v>
      </c>
      <c r="T958">
        <v>9</v>
      </c>
      <c r="U958" t="s">
        <v>65</v>
      </c>
      <c r="V958" t="s">
        <v>80</v>
      </c>
      <c r="W958" t="str">
        <f t="shared" ca="1" si="44"/>
        <v>Dormant</v>
      </c>
    </row>
    <row r="959" spans="1:23" x14ac:dyDescent="0.2">
      <c r="A959">
        <v>1282</v>
      </c>
      <c r="B959" t="s">
        <v>3728</v>
      </c>
      <c r="C959" t="s">
        <v>3736</v>
      </c>
      <c r="D959" s="1" t="s">
        <v>64</v>
      </c>
      <c r="E959" t="s">
        <v>3730</v>
      </c>
      <c r="F959" t="s">
        <v>511</v>
      </c>
      <c r="G959" s="4" t="s">
        <v>5427</v>
      </c>
      <c r="H959" t="s">
        <v>3731</v>
      </c>
      <c r="I959" t="s">
        <v>59</v>
      </c>
      <c r="J959" s="4" t="s">
        <v>68</v>
      </c>
      <c r="K959" t="s">
        <v>3737</v>
      </c>
      <c r="L959">
        <v>4</v>
      </c>
      <c r="M959" t="s">
        <v>509</v>
      </c>
      <c r="N959" t="s">
        <v>515</v>
      </c>
      <c r="O959" t="s">
        <v>515</v>
      </c>
      <c r="P959" s="2" t="str">
        <f t="shared" si="42"/>
        <v>24/06/2025 to 27/06/2025</v>
      </c>
      <c r="Q959" s="3">
        <v>45834</v>
      </c>
      <c r="R959" t="str">
        <f t="shared" si="43"/>
        <v>On-Time</v>
      </c>
      <c r="S959" t="s">
        <v>113</v>
      </c>
      <c r="T959">
        <v>39</v>
      </c>
      <c r="U959" t="s">
        <v>79</v>
      </c>
      <c r="V959" t="s">
        <v>72</v>
      </c>
      <c r="W959" t="str">
        <f t="shared" ca="1" si="44"/>
        <v>Dormant</v>
      </c>
    </row>
    <row r="960" spans="1:23" x14ac:dyDescent="0.2">
      <c r="A960">
        <v>1555</v>
      </c>
      <c r="B960" t="s">
        <v>4400</v>
      </c>
      <c r="C960" t="s">
        <v>4401</v>
      </c>
      <c r="D960" s="1" t="s">
        <v>64</v>
      </c>
      <c r="E960" t="s">
        <v>4402</v>
      </c>
      <c r="F960" t="s">
        <v>356</v>
      </c>
      <c r="G960" s="4" t="s">
        <v>5419</v>
      </c>
      <c r="H960" t="s">
        <v>4403</v>
      </c>
      <c r="I960" t="s">
        <v>93</v>
      </c>
      <c r="J960" s="4" t="s">
        <v>68</v>
      </c>
      <c r="K960" t="s">
        <v>30</v>
      </c>
      <c r="L960">
        <v>1</v>
      </c>
      <c r="M960" t="s">
        <v>514</v>
      </c>
      <c r="N960" t="s">
        <v>515</v>
      </c>
      <c r="O960" t="s">
        <v>515</v>
      </c>
      <c r="P960" s="2" t="str">
        <f t="shared" si="42"/>
        <v>24/06/2025 to 27/06/2025</v>
      </c>
      <c r="Q960" s="3">
        <v>45832</v>
      </c>
      <c r="R960" t="str">
        <f t="shared" si="43"/>
        <v>On-Time</v>
      </c>
      <c r="S960" t="s">
        <v>350</v>
      </c>
      <c r="T960">
        <v>12</v>
      </c>
      <c r="U960" t="s">
        <v>65</v>
      </c>
      <c r="V960" t="s">
        <v>66</v>
      </c>
      <c r="W960" t="str">
        <f t="shared" ca="1" si="44"/>
        <v>Dormant</v>
      </c>
    </row>
    <row r="961" spans="1:23" x14ac:dyDescent="0.2">
      <c r="A961">
        <v>92</v>
      </c>
      <c r="B961" t="s">
        <v>507</v>
      </c>
      <c r="C961" t="s">
        <v>508</v>
      </c>
      <c r="D961" s="1" t="s">
        <v>509</v>
      </c>
      <c r="E961" t="s">
        <v>510</v>
      </c>
      <c r="F961" t="s">
        <v>511</v>
      </c>
      <c r="G961" s="4" t="s">
        <v>5427</v>
      </c>
      <c r="H961" t="s">
        <v>512</v>
      </c>
      <c r="I961" t="s">
        <v>93</v>
      </c>
      <c r="J961" s="4" t="s">
        <v>5417</v>
      </c>
      <c r="K961" t="s">
        <v>513</v>
      </c>
      <c r="L961">
        <v>2</v>
      </c>
      <c r="M961" t="s">
        <v>509</v>
      </c>
      <c r="N961" t="s">
        <v>514</v>
      </c>
      <c r="O961" t="s">
        <v>515</v>
      </c>
      <c r="P961" s="2" t="str">
        <f t="shared" si="42"/>
        <v>24/06/2025 to 27/06/2025</v>
      </c>
      <c r="Q961" s="3">
        <v>45831</v>
      </c>
      <c r="R961" t="str">
        <f t="shared" si="43"/>
        <v>Late</v>
      </c>
      <c r="S961" t="s">
        <v>350</v>
      </c>
      <c r="T961">
        <v>17.5</v>
      </c>
      <c r="U961" t="s">
        <v>79</v>
      </c>
      <c r="V961" t="s">
        <v>80</v>
      </c>
      <c r="W961" t="str">
        <f t="shared" ca="1" si="44"/>
        <v>Dormant</v>
      </c>
    </row>
    <row r="962" spans="1:23" x14ac:dyDescent="0.2">
      <c r="A962">
        <v>93</v>
      </c>
      <c r="B962" t="s">
        <v>507</v>
      </c>
      <c r="C962" t="s">
        <v>516</v>
      </c>
      <c r="D962" s="1" t="s">
        <v>509</v>
      </c>
      <c r="E962" t="s">
        <v>510</v>
      </c>
      <c r="F962" t="s">
        <v>511</v>
      </c>
      <c r="G962" s="4" t="s">
        <v>38</v>
      </c>
      <c r="H962" t="s">
        <v>512</v>
      </c>
      <c r="I962" t="s">
        <v>93</v>
      </c>
      <c r="J962" s="4" t="s">
        <v>5417</v>
      </c>
      <c r="K962" t="s">
        <v>216</v>
      </c>
      <c r="L962">
        <v>2</v>
      </c>
      <c r="M962" t="s">
        <v>514</v>
      </c>
      <c r="N962" t="s">
        <v>77</v>
      </c>
      <c r="O962" t="s">
        <v>515</v>
      </c>
      <c r="P962" s="2" t="str">
        <f t="shared" ref="P962:P1025" si="45">IF(ISBLANK(M962), "", TEXT(WORKDAY(M962, 7), "dd/mm/yyyy") &amp; " to " &amp; TEXT(WORKDAY(M962, 10), "dd/mm/yyyy"))</f>
        <v>24/06/2025 to 27/06/2025</v>
      </c>
      <c r="Q962" s="3">
        <v>45835</v>
      </c>
      <c r="R962" t="str">
        <f t="shared" ref="R962:R1025" si="46">IF(Q962="","In Progress",
IF(AND(--Q962&gt;=DATEVALUE(LEFT(P962,10)),
       --Q962&lt;=DATEVALUE(TRIM(MID(P962,FIND("to",P962)+3,10)))),
   "On-Time","Late"))</f>
        <v>On-Time</v>
      </c>
      <c r="S962" t="s">
        <v>517</v>
      </c>
      <c r="T962">
        <v>19</v>
      </c>
      <c r="U962" t="s">
        <v>65</v>
      </c>
      <c r="V962" t="s">
        <v>80</v>
      </c>
      <c r="W962" t="str">
        <f t="shared" ca="1" si="44"/>
        <v>Dormant</v>
      </c>
    </row>
    <row r="963" spans="1:23" x14ac:dyDescent="0.2">
      <c r="A963">
        <v>94</v>
      </c>
      <c r="B963" t="s">
        <v>507</v>
      </c>
      <c r="C963" t="s">
        <v>518</v>
      </c>
      <c r="D963" s="1" t="s">
        <v>509</v>
      </c>
      <c r="E963" t="s">
        <v>510</v>
      </c>
      <c r="F963" t="s">
        <v>511</v>
      </c>
      <c r="G963" s="4" t="s">
        <v>5419</v>
      </c>
      <c r="H963" t="s">
        <v>512</v>
      </c>
      <c r="I963" t="s">
        <v>93</v>
      </c>
      <c r="J963" s="4" t="s">
        <v>5417</v>
      </c>
      <c r="K963" t="s">
        <v>24</v>
      </c>
      <c r="L963">
        <v>1</v>
      </c>
      <c r="M963" t="s">
        <v>509</v>
      </c>
      <c r="N963" t="s">
        <v>514</v>
      </c>
      <c r="O963" t="s">
        <v>514</v>
      </c>
      <c r="P963" s="2" t="str">
        <f t="shared" si="45"/>
        <v>24/06/2025 to 27/06/2025</v>
      </c>
      <c r="Q963" s="3">
        <v>45836</v>
      </c>
      <c r="R963" t="str">
        <f t="shared" si="46"/>
        <v>Late</v>
      </c>
      <c r="S963" t="s">
        <v>113</v>
      </c>
      <c r="T963">
        <v>8</v>
      </c>
      <c r="U963" t="s">
        <v>79</v>
      </c>
      <c r="V963" t="s">
        <v>66</v>
      </c>
      <c r="W963" t="str">
        <f t="shared" ref="W963:W1026" ca="1" si="47">IF(D963="","",
IF(TODAY()-D963&lt;=120,"Active",
IF(TODAY()-D963&lt;=210,"At Risk",
IF(TODAY()-D963&lt;=395,"Dormant",
IF(TODAY()-D963&lt;=730,"Inactive","Archived")))))</f>
        <v>Dormant</v>
      </c>
    </row>
    <row r="964" spans="1:23" x14ac:dyDescent="0.2">
      <c r="A964">
        <v>95</v>
      </c>
      <c r="B964" t="s">
        <v>507</v>
      </c>
      <c r="C964" t="s">
        <v>519</v>
      </c>
      <c r="D964" s="1" t="s">
        <v>509</v>
      </c>
      <c r="E964" t="s">
        <v>510</v>
      </c>
      <c r="F964" t="s">
        <v>511</v>
      </c>
      <c r="G964" s="4" t="s">
        <v>5418</v>
      </c>
      <c r="H964" t="s">
        <v>512</v>
      </c>
      <c r="I964" t="s">
        <v>93</v>
      </c>
      <c r="J964" s="4" t="s">
        <v>74</v>
      </c>
      <c r="K964" t="s">
        <v>520</v>
      </c>
      <c r="L964">
        <v>2</v>
      </c>
      <c r="M964" t="s">
        <v>509</v>
      </c>
      <c r="N964" t="s">
        <v>509</v>
      </c>
      <c r="O964" t="s">
        <v>514</v>
      </c>
      <c r="P964" s="2" t="str">
        <f t="shared" si="45"/>
        <v>24/06/2025 to 27/06/2025</v>
      </c>
      <c r="Q964" s="3">
        <v>45831</v>
      </c>
      <c r="R964" t="str">
        <f t="shared" si="46"/>
        <v>Late</v>
      </c>
      <c r="S964" t="s">
        <v>348</v>
      </c>
      <c r="T964">
        <v>17</v>
      </c>
      <c r="U964" t="s">
        <v>79</v>
      </c>
      <c r="V964" t="s">
        <v>80</v>
      </c>
      <c r="W964" t="str">
        <f t="shared" ca="1" si="47"/>
        <v>Dormant</v>
      </c>
    </row>
    <row r="965" spans="1:23" x14ac:dyDescent="0.2">
      <c r="A965">
        <v>96</v>
      </c>
      <c r="B965" t="s">
        <v>507</v>
      </c>
      <c r="C965" t="s">
        <v>521</v>
      </c>
      <c r="D965" s="1" t="s">
        <v>509</v>
      </c>
      <c r="E965" t="s">
        <v>510</v>
      </c>
      <c r="F965" t="s">
        <v>511</v>
      </c>
      <c r="G965" s="4" t="s">
        <v>5421</v>
      </c>
      <c r="H965" t="s">
        <v>512</v>
      </c>
      <c r="I965" t="s">
        <v>93</v>
      </c>
      <c r="J965" s="4" t="s">
        <v>68</v>
      </c>
      <c r="K965" t="s">
        <v>522</v>
      </c>
      <c r="L965">
        <v>4</v>
      </c>
      <c r="M965" t="s">
        <v>509</v>
      </c>
      <c r="N965" t="s">
        <v>514</v>
      </c>
      <c r="O965" t="s">
        <v>509</v>
      </c>
      <c r="P965" s="2" t="str">
        <f t="shared" si="45"/>
        <v>24/06/2025 to 27/06/2025</v>
      </c>
      <c r="Q965" s="3">
        <v>45830</v>
      </c>
      <c r="R965" t="str">
        <f t="shared" si="46"/>
        <v>Late</v>
      </c>
      <c r="S965" t="s">
        <v>348</v>
      </c>
      <c r="T965">
        <v>36</v>
      </c>
      <c r="U965" t="s">
        <v>65</v>
      </c>
      <c r="V965" t="s">
        <v>66</v>
      </c>
      <c r="W965" t="str">
        <f t="shared" ca="1" si="47"/>
        <v>Dormant</v>
      </c>
    </row>
    <row r="966" spans="1:23" x14ac:dyDescent="0.2">
      <c r="A966">
        <v>171</v>
      </c>
      <c r="B966" t="s">
        <v>839</v>
      </c>
      <c r="C966" t="s">
        <v>840</v>
      </c>
      <c r="D966" s="1" t="s">
        <v>509</v>
      </c>
      <c r="E966" t="s">
        <v>841</v>
      </c>
      <c r="F966" t="s">
        <v>303</v>
      </c>
      <c r="G966" s="4" t="s">
        <v>5426</v>
      </c>
      <c r="H966" t="s">
        <v>842</v>
      </c>
      <c r="I966" t="s">
        <v>201</v>
      </c>
      <c r="J966" s="4" t="s">
        <v>74</v>
      </c>
      <c r="K966" t="s">
        <v>12</v>
      </c>
      <c r="L966">
        <v>1</v>
      </c>
      <c r="M966" t="s">
        <v>509</v>
      </c>
      <c r="N966" t="s">
        <v>515</v>
      </c>
      <c r="O966" t="s">
        <v>514</v>
      </c>
      <c r="P966" s="2" t="str">
        <f t="shared" si="45"/>
        <v>24/06/2025 to 27/06/2025</v>
      </c>
      <c r="Q966" s="3">
        <v>45835</v>
      </c>
      <c r="R966" t="str">
        <f t="shared" si="46"/>
        <v>On-Time</v>
      </c>
      <c r="S966" t="s">
        <v>113</v>
      </c>
      <c r="T966">
        <v>9.5</v>
      </c>
      <c r="U966" t="s">
        <v>79</v>
      </c>
      <c r="V966" t="s">
        <v>72</v>
      </c>
      <c r="W966" t="str">
        <f t="shared" ca="1" si="47"/>
        <v>Dormant</v>
      </c>
    </row>
    <row r="967" spans="1:23" x14ac:dyDescent="0.2">
      <c r="A967">
        <v>172</v>
      </c>
      <c r="B967" t="s">
        <v>839</v>
      </c>
      <c r="C967" t="s">
        <v>843</v>
      </c>
      <c r="D967" s="1" t="s">
        <v>509</v>
      </c>
      <c r="E967" t="s">
        <v>841</v>
      </c>
      <c r="F967" t="s">
        <v>303</v>
      </c>
      <c r="G967" s="4" t="s">
        <v>38</v>
      </c>
      <c r="H967" t="s">
        <v>842</v>
      </c>
      <c r="I967" t="s">
        <v>201</v>
      </c>
      <c r="J967" s="4" t="s">
        <v>5417</v>
      </c>
      <c r="K967" t="s">
        <v>620</v>
      </c>
      <c r="L967">
        <v>3</v>
      </c>
      <c r="M967" t="s">
        <v>509</v>
      </c>
      <c r="N967" t="s">
        <v>515</v>
      </c>
      <c r="O967" t="s">
        <v>515</v>
      </c>
      <c r="P967" s="2" t="str">
        <f t="shared" si="45"/>
        <v>24/06/2025 to 27/06/2025</v>
      </c>
      <c r="Q967" s="3">
        <v>45833</v>
      </c>
      <c r="R967" t="str">
        <f t="shared" si="46"/>
        <v>On-Time</v>
      </c>
      <c r="S967" t="s">
        <v>517</v>
      </c>
      <c r="T967">
        <v>27.5</v>
      </c>
      <c r="U967" t="s">
        <v>79</v>
      </c>
      <c r="V967" t="s">
        <v>66</v>
      </c>
      <c r="W967" t="str">
        <f t="shared" ca="1" si="47"/>
        <v>Dormant</v>
      </c>
    </row>
    <row r="968" spans="1:23" x14ac:dyDescent="0.2">
      <c r="A968">
        <v>173</v>
      </c>
      <c r="B968" t="s">
        <v>839</v>
      </c>
      <c r="C968" t="s">
        <v>844</v>
      </c>
      <c r="D968" s="1" t="s">
        <v>509</v>
      </c>
      <c r="E968" t="s">
        <v>841</v>
      </c>
      <c r="F968" t="s">
        <v>303</v>
      </c>
      <c r="G968" s="4" t="s">
        <v>5418</v>
      </c>
      <c r="H968" t="s">
        <v>842</v>
      </c>
      <c r="I968" t="s">
        <v>201</v>
      </c>
      <c r="J968" s="4" t="s">
        <v>60</v>
      </c>
      <c r="K968" t="s">
        <v>845</v>
      </c>
      <c r="L968">
        <v>3</v>
      </c>
      <c r="M968" t="s">
        <v>515</v>
      </c>
      <c r="N968" t="s">
        <v>515</v>
      </c>
      <c r="O968" t="s">
        <v>515</v>
      </c>
      <c r="P968" s="2" t="str">
        <f t="shared" si="45"/>
        <v>25/06/2025 to 30/06/2025</v>
      </c>
      <c r="Q968" s="3">
        <v>45835</v>
      </c>
      <c r="R968" t="str">
        <f t="shared" si="46"/>
        <v>On-Time</v>
      </c>
      <c r="S968" t="s">
        <v>113</v>
      </c>
      <c r="T968">
        <v>30.5</v>
      </c>
      <c r="U968" t="s">
        <v>65</v>
      </c>
      <c r="V968" t="s">
        <v>80</v>
      </c>
      <c r="W968" t="str">
        <f t="shared" ca="1" si="47"/>
        <v>Dormant</v>
      </c>
    </row>
    <row r="969" spans="1:23" x14ac:dyDescent="0.2">
      <c r="A969">
        <v>174</v>
      </c>
      <c r="B969" t="s">
        <v>839</v>
      </c>
      <c r="C969" t="s">
        <v>846</v>
      </c>
      <c r="D969" s="1" t="s">
        <v>509</v>
      </c>
      <c r="E969" t="s">
        <v>841</v>
      </c>
      <c r="F969" t="s">
        <v>303</v>
      </c>
      <c r="G969" s="4" t="s">
        <v>5423</v>
      </c>
      <c r="H969" t="s">
        <v>842</v>
      </c>
      <c r="I969" t="s">
        <v>201</v>
      </c>
      <c r="J969" s="4" t="s">
        <v>60</v>
      </c>
      <c r="K969" t="s">
        <v>847</v>
      </c>
      <c r="L969">
        <v>3</v>
      </c>
      <c r="M969" t="s">
        <v>509</v>
      </c>
      <c r="N969" t="s">
        <v>515</v>
      </c>
      <c r="O969" t="s">
        <v>514</v>
      </c>
      <c r="P969" s="2" t="str">
        <f t="shared" si="45"/>
        <v>24/06/2025 to 27/06/2025</v>
      </c>
      <c r="Q969" s="3">
        <v>45836</v>
      </c>
      <c r="R969" t="str">
        <f t="shared" si="46"/>
        <v>Late</v>
      </c>
      <c r="S969" t="s">
        <v>113</v>
      </c>
      <c r="T969">
        <v>28.5</v>
      </c>
      <c r="U969" t="s">
        <v>65</v>
      </c>
      <c r="V969" t="s">
        <v>72</v>
      </c>
      <c r="W969" t="str">
        <f t="shared" ca="1" si="47"/>
        <v>Dormant</v>
      </c>
    </row>
    <row r="970" spans="1:23" x14ac:dyDescent="0.2">
      <c r="A970">
        <v>175</v>
      </c>
      <c r="B970" t="s">
        <v>839</v>
      </c>
      <c r="C970" t="s">
        <v>848</v>
      </c>
      <c r="D970" s="1" t="s">
        <v>509</v>
      </c>
      <c r="E970" t="s">
        <v>841</v>
      </c>
      <c r="F970" t="s">
        <v>303</v>
      </c>
      <c r="G970" s="4" t="s">
        <v>5421</v>
      </c>
      <c r="H970" t="s">
        <v>842</v>
      </c>
      <c r="I970" t="s">
        <v>201</v>
      </c>
      <c r="J970" s="4" t="s">
        <v>60</v>
      </c>
      <c r="K970" t="s">
        <v>849</v>
      </c>
      <c r="L970">
        <v>4</v>
      </c>
      <c r="M970" t="s">
        <v>509</v>
      </c>
      <c r="N970" t="s">
        <v>515</v>
      </c>
      <c r="O970" t="s">
        <v>515</v>
      </c>
      <c r="P970" s="2" t="str">
        <f t="shared" si="45"/>
        <v>24/06/2025 to 27/06/2025</v>
      </c>
      <c r="Q970" s="3">
        <v>45835</v>
      </c>
      <c r="R970" t="str">
        <f t="shared" si="46"/>
        <v>On-Time</v>
      </c>
      <c r="S970" t="s">
        <v>113</v>
      </c>
      <c r="T970">
        <v>44.5</v>
      </c>
      <c r="U970" t="s">
        <v>65</v>
      </c>
      <c r="V970" t="s">
        <v>80</v>
      </c>
      <c r="W970" t="str">
        <f t="shared" ca="1" si="47"/>
        <v>Dormant</v>
      </c>
    </row>
    <row r="971" spans="1:23" x14ac:dyDescent="0.2">
      <c r="A971">
        <v>550</v>
      </c>
      <c r="B971" t="s">
        <v>1953</v>
      </c>
      <c r="C971" t="s">
        <v>1954</v>
      </c>
      <c r="D971" s="1" t="s">
        <v>509</v>
      </c>
      <c r="E971" t="s">
        <v>1955</v>
      </c>
      <c r="F971" t="s">
        <v>286</v>
      </c>
      <c r="G971" s="4" t="s">
        <v>5426</v>
      </c>
      <c r="H971" t="s">
        <v>1956</v>
      </c>
      <c r="I971" t="s">
        <v>201</v>
      </c>
      <c r="J971" s="4" t="s">
        <v>74</v>
      </c>
      <c r="K971" t="s">
        <v>6</v>
      </c>
      <c r="L971">
        <v>1</v>
      </c>
      <c r="M971" t="s">
        <v>509</v>
      </c>
      <c r="N971" t="s">
        <v>509</v>
      </c>
      <c r="O971" t="s">
        <v>515</v>
      </c>
      <c r="P971" s="2" t="str">
        <f t="shared" si="45"/>
        <v>24/06/2025 to 27/06/2025</v>
      </c>
      <c r="Q971" s="3">
        <v>45834</v>
      </c>
      <c r="R971" t="str">
        <f t="shared" si="46"/>
        <v>On-Time</v>
      </c>
      <c r="S971" t="s">
        <v>113</v>
      </c>
      <c r="T971">
        <v>7.5</v>
      </c>
      <c r="U971" t="s">
        <v>79</v>
      </c>
      <c r="V971" t="s">
        <v>66</v>
      </c>
      <c r="W971" t="str">
        <f t="shared" ca="1" si="47"/>
        <v>Dormant</v>
      </c>
    </row>
    <row r="972" spans="1:23" x14ac:dyDescent="0.2">
      <c r="A972">
        <v>551</v>
      </c>
      <c r="B972" t="s">
        <v>1953</v>
      </c>
      <c r="C972" t="s">
        <v>1957</v>
      </c>
      <c r="D972" s="1" t="s">
        <v>509</v>
      </c>
      <c r="E972" t="s">
        <v>1955</v>
      </c>
      <c r="F972" t="s">
        <v>286</v>
      </c>
      <c r="G972" s="4" t="s">
        <v>5419</v>
      </c>
      <c r="H972" t="s">
        <v>1956</v>
      </c>
      <c r="I972" t="s">
        <v>201</v>
      </c>
      <c r="J972" s="4" t="s">
        <v>5417</v>
      </c>
      <c r="K972" t="s">
        <v>1958</v>
      </c>
      <c r="L972">
        <v>4</v>
      </c>
      <c r="M972" t="s">
        <v>514</v>
      </c>
      <c r="N972" t="s">
        <v>515</v>
      </c>
      <c r="O972" t="s">
        <v>514</v>
      </c>
      <c r="P972" s="2" t="str">
        <f t="shared" si="45"/>
        <v>24/06/2025 to 27/06/2025</v>
      </c>
      <c r="Q972" s="3">
        <v>45833</v>
      </c>
      <c r="R972" t="str">
        <f t="shared" si="46"/>
        <v>On-Time</v>
      </c>
      <c r="S972" t="s">
        <v>349</v>
      </c>
      <c r="T972">
        <v>35.5</v>
      </c>
      <c r="U972" t="s">
        <v>65</v>
      </c>
      <c r="V972" t="s">
        <v>72</v>
      </c>
      <c r="W972" t="str">
        <f t="shared" ca="1" si="47"/>
        <v>Dormant</v>
      </c>
    </row>
    <row r="973" spans="1:23" x14ac:dyDescent="0.2">
      <c r="A973">
        <v>552</v>
      </c>
      <c r="B973" t="s">
        <v>1953</v>
      </c>
      <c r="C973" t="s">
        <v>1959</v>
      </c>
      <c r="D973" s="1" t="s">
        <v>509</v>
      </c>
      <c r="E973" t="s">
        <v>1955</v>
      </c>
      <c r="F973" t="s">
        <v>286</v>
      </c>
      <c r="G973" s="4" t="s">
        <v>5421</v>
      </c>
      <c r="H973" t="s">
        <v>1956</v>
      </c>
      <c r="I973" t="s">
        <v>201</v>
      </c>
      <c r="J973" s="4" t="s">
        <v>5417</v>
      </c>
      <c r="K973" t="s">
        <v>308</v>
      </c>
      <c r="L973">
        <v>2</v>
      </c>
      <c r="M973" t="s">
        <v>515</v>
      </c>
      <c r="N973" t="s">
        <v>515</v>
      </c>
      <c r="O973" t="s">
        <v>515</v>
      </c>
      <c r="P973" s="2" t="str">
        <f t="shared" si="45"/>
        <v>25/06/2025 to 30/06/2025</v>
      </c>
      <c r="Q973" s="3">
        <v>45835</v>
      </c>
      <c r="R973" t="str">
        <f t="shared" si="46"/>
        <v>On-Time</v>
      </c>
      <c r="S973" t="s">
        <v>114</v>
      </c>
      <c r="T973">
        <v>18.5</v>
      </c>
      <c r="U973" t="s">
        <v>79</v>
      </c>
      <c r="V973" t="s">
        <v>72</v>
      </c>
      <c r="W973" t="str">
        <f t="shared" ca="1" si="47"/>
        <v>Dormant</v>
      </c>
    </row>
    <row r="974" spans="1:23" x14ac:dyDescent="0.2">
      <c r="A974">
        <v>553</v>
      </c>
      <c r="B974" t="s">
        <v>1953</v>
      </c>
      <c r="C974" t="s">
        <v>1960</v>
      </c>
      <c r="D974" s="1" t="s">
        <v>509</v>
      </c>
      <c r="E974" t="s">
        <v>1955</v>
      </c>
      <c r="F974" t="s">
        <v>286</v>
      </c>
      <c r="G974" s="4" t="s">
        <v>5424</v>
      </c>
      <c r="H974" t="s">
        <v>1956</v>
      </c>
      <c r="I974" t="s">
        <v>201</v>
      </c>
      <c r="J974" s="4" t="s">
        <v>5417</v>
      </c>
      <c r="K974" t="s">
        <v>1961</v>
      </c>
      <c r="L974">
        <v>4</v>
      </c>
      <c r="M974" t="s">
        <v>514</v>
      </c>
      <c r="N974" t="s">
        <v>514</v>
      </c>
      <c r="O974" t="s">
        <v>514</v>
      </c>
      <c r="P974" s="2" t="str">
        <f t="shared" si="45"/>
        <v>24/06/2025 to 27/06/2025</v>
      </c>
      <c r="Q974" s="3">
        <v>45832</v>
      </c>
      <c r="R974" t="str">
        <f t="shared" si="46"/>
        <v>On-Time</v>
      </c>
      <c r="S974" t="s">
        <v>350</v>
      </c>
      <c r="T974">
        <v>42</v>
      </c>
      <c r="U974" t="s">
        <v>65</v>
      </c>
      <c r="V974" t="s">
        <v>66</v>
      </c>
      <c r="W974" t="str">
        <f t="shared" ca="1" si="47"/>
        <v>Dormant</v>
      </c>
    </row>
    <row r="975" spans="1:23" x14ac:dyDescent="0.2">
      <c r="A975">
        <v>917</v>
      </c>
      <c r="B975" t="s">
        <v>2856</v>
      </c>
      <c r="C975" t="s">
        <v>2857</v>
      </c>
      <c r="D975" s="1" t="s">
        <v>509</v>
      </c>
      <c r="E975" t="s">
        <v>2858</v>
      </c>
      <c r="F975" t="s">
        <v>286</v>
      </c>
      <c r="G975" s="4" t="s">
        <v>5426</v>
      </c>
      <c r="H975" t="s">
        <v>1339</v>
      </c>
      <c r="I975" t="s">
        <v>136</v>
      </c>
      <c r="J975" s="4" t="s">
        <v>60</v>
      </c>
      <c r="K975" t="s">
        <v>2859</v>
      </c>
      <c r="L975">
        <v>3</v>
      </c>
      <c r="M975" t="s">
        <v>509</v>
      </c>
      <c r="N975" t="s">
        <v>509</v>
      </c>
      <c r="O975" t="s">
        <v>515</v>
      </c>
      <c r="P975" s="2" t="str">
        <f t="shared" si="45"/>
        <v>24/06/2025 to 27/06/2025</v>
      </c>
      <c r="Q975" s="3">
        <v>45837</v>
      </c>
      <c r="R975" t="str">
        <f t="shared" si="46"/>
        <v>Late</v>
      </c>
      <c r="S975" t="s">
        <v>114</v>
      </c>
      <c r="T975">
        <v>32</v>
      </c>
      <c r="U975" t="s">
        <v>65</v>
      </c>
      <c r="V975" t="s">
        <v>72</v>
      </c>
      <c r="W975" t="str">
        <f t="shared" ca="1" si="47"/>
        <v>Dormant</v>
      </c>
    </row>
    <row r="976" spans="1:23" x14ac:dyDescent="0.2">
      <c r="A976">
        <v>918</v>
      </c>
      <c r="B976" t="s">
        <v>2856</v>
      </c>
      <c r="C976" t="s">
        <v>2860</v>
      </c>
      <c r="D976" s="1" t="s">
        <v>509</v>
      </c>
      <c r="E976" t="s">
        <v>2858</v>
      </c>
      <c r="F976" t="s">
        <v>286</v>
      </c>
      <c r="G976" s="4" t="s">
        <v>5422</v>
      </c>
      <c r="H976" t="s">
        <v>1339</v>
      </c>
      <c r="I976" t="s">
        <v>136</v>
      </c>
      <c r="J976" s="4" t="s">
        <v>60</v>
      </c>
      <c r="K976" t="s">
        <v>161</v>
      </c>
      <c r="L976">
        <v>3</v>
      </c>
      <c r="M976" t="s">
        <v>514</v>
      </c>
      <c r="N976" t="s">
        <v>77</v>
      </c>
      <c r="O976" t="s">
        <v>515</v>
      </c>
      <c r="P976" s="2" t="str">
        <f t="shared" si="45"/>
        <v>24/06/2025 to 27/06/2025</v>
      </c>
      <c r="Q976" s="3">
        <v>45832</v>
      </c>
      <c r="R976" t="str">
        <f t="shared" si="46"/>
        <v>On-Time</v>
      </c>
      <c r="S976" t="s">
        <v>108</v>
      </c>
      <c r="T976">
        <v>30.5</v>
      </c>
      <c r="U976" t="s">
        <v>65</v>
      </c>
      <c r="V976" t="s">
        <v>80</v>
      </c>
      <c r="W976" t="str">
        <f t="shared" ca="1" si="47"/>
        <v>Dormant</v>
      </c>
    </row>
    <row r="977" spans="1:23" x14ac:dyDescent="0.2">
      <c r="A977">
        <v>434</v>
      </c>
      <c r="B977" t="s">
        <v>1632</v>
      </c>
      <c r="C977" t="s">
        <v>1633</v>
      </c>
      <c r="D977" s="1" t="s">
        <v>514</v>
      </c>
      <c r="E977" t="s">
        <v>1634</v>
      </c>
      <c r="F977" t="s">
        <v>490</v>
      </c>
      <c r="G977" s="4" t="s">
        <v>38</v>
      </c>
      <c r="H977" t="s">
        <v>1635</v>
      </c>
      <c r="I977" t="s">
        <v>93</v>
      </c>
      <c r="J977" s="4" t="s">
        <v>60</v>
      </c>
      <c r="K977" t="s">
        <v>1636</v>
      </c>
      <c r="L977">
        <v>4</v>
      </c>
      <c r="M977" t="s">
        <v>514</v>
      </c>
      <c r="N977" t="s">
        <v>514</v>
      </c>
      <c r="O977" t="s">
        <v>77</v>
      </c>
      <c r="P977" s="2" t="str">
        <f t="shared" si="45"/>
        <v>24/06/2025 to 27/06/2025</v>
      </c>
      <c r="Q977" s="3">
        <v>45832</v>
      </c>
      <c r="R977" t="str">
        <f t="shared" si="46"/>
        <v>On-Time</v>
      </c>
      <c r="S977" t="s">
        <v>350</v>
      </c>
      <c r="T977">
        <v>41</v>
      </c>
      <c r="U977" t="s">
        <v>65</v>
      </c>
      <c r="V977" t="s">
        <v>72</v>
      </c>
      <c r="W977" t="str">
        <f t="shared" ca="1" si="47"/>
        <v>Dormant</v>
      </c>
    </row>
    <row r="978" spans="1:23" x14ac:dyDescent="0.2">
      <c r="A978">
        <v>435</v>
      </c>
      <c r="B978" t="s">
        <v>1632</v>
      </c>
      <c r="C978" t="s">
        <v>1637</v>
      </c>
      <c r="D978" s="1" t="s">
        <v>514</v>
      </c>
      <c r="E978" t="s">
        <v>1634</v>
      </c>
      <c r="F978" t="s">
        <v>490</v>
      </c>
      <c r="G978" s="4" t="s">
        <v>5419</v>
      </c>
      <c r="H978" t="s">
        <v>1635</v>
      </c>
      <c r="I978" t="s">
        <v>93</v>
      </c>
      <c r="J978" s="4" t="s">
        <v>60</v>
      </c>
      <c r="K978" t="s">
        <v>8</v>
      </c>
      <c r="L978">
        <v>1</v>
      </c>
      <c r="M978" t="s">
        <v>515</v>
      </c>
      <c r="N978" t="s">
        <v>661</v>
      </c>
      <c r="O978" t="s">
        <v>661</v>
      </c>
      <c r="P978" s="2" t="str">
        <f t="shared" si="45"/>
        <v>25/06/2025 to 30/06/2025</v>
      </c>
      <c r="Q978" s="3">
        <v>45834</v>
      </c>
      <c r="R978" t="str">
        <f t="shared" si="46"/>
        <v>On-Time</v>
      </c>
      <c r="S978" t="s">
        <v>113</v>
      </c>
      <c r="T978">
        <v>9</v>
      </c>
      <c r="U978" t="s">
        <v>65</v>
      </c>
      <c r="V978" t="s">
        <v>72</v>
      </c>
      <c r="W978" t="str">
        <f t="shared" ca="1" si="47"/>
        <v>Dormant</v>
      </c>
    </row>
    <row r="979" spans="1:23" x14ac:dyDescent="0.2">
      <c r="A979">
        <v>436</v>
      </c>
      <c r="B979" t="s">
        <v>1632</v>
      </c>
      <c r="C979" t="s">
        <v>1638</v>
      </c>
      <c r="D979" s="1" t="s">
        <v>514</v>
      </c>
      <c r="E979" t="s">
        <v>1634</v>
      </c>
      <c r="F979" t="s">
        <v>490</v>
      </c>
      <c r="G979" s="4" t="s">
        <v>5428</v>
      </c>
      <c r="H979" t="s">
        <v>1635</v>
      </c>
      <c r="I979" t="s">
        <v>93</v>
      </c>
      <c r="J979" s="4" t="s">
        <v>74</v>
      </c>
      <c r="K979" t="s">
        <v>1639</v>
      </c>
      <c r="L979">
        <v>4</v>
      </c>
      <c r="M979" t="s">
        <v>77</v>
      </c>
      <c r="N979" t="s">
        <v>78</v>
      </c>
      <c r="O979" t="s">
        <v>77</v>
      </c>
      <c r="P979" s="2" t="str">
        <f t="shared" si="45"/>
        <v>26/06/2025 to 01/07/2025</v>
      </c>
      <c r="Q979" s="3">
        <v>45835</v>
      </c>
      <c r="R979" t="str">
        <f t="shared" si="46"/>
        <v>On-Time</v>
      </c>
      <c r="S979" t="s">
        <v>113</v>
      </c>
      <c r="T979">
        <v>36</v>
      </c>
      <c r="U979" t="s">
        <v>65</v>
      </c>
      <c r="V979" t="s">
        <v>72</v>
      </c>
      <c r="W979" t="str">
        <f t="shared" ca="1" si="47"/>
        <v>Dormant</v>
      </c>
    </row>
    <row r="980" spans="1:23" x14ac:dyDescent="0.2">
      <c r="A980">
        <v>437</v>
      </c>
      <c r="B980" t="s">
        <v>1632</v>
      </c>
      <c r="C980" t="s">
        <v>1640</v>
      </c>
      <c r="D980" s="1" t="s">
        <v>514</v>
      </c>
      <c r="E980" t="s">
        <v>1634</v>
      </c>
      <c r="F980" t="s">
        <v>490</v>
      </c>
      <c r="G980" s="4" t="s">
        <v>5422</v>
      </c>
      <c r="H980" t="s">
        <v>1635</v>
      </c>
      <c r="I980" t="s">
        <v>93</v>
      </c>
      <c r="J980" s="4" t="s">
        <v>5417</v>
      </c>
      <c r="K980" t="s">
        <v>1641</v>
      </c>
      <c r="L980">
        <v>3</v>
      </c>
      <c r="M980" t="s">
        <v>77</v>
      </c>
      <c r="N980" t="s">
        <v>661</v>
      </c>
      <c r="O980" t="s">
        <v>78</v>
      </c>
      <c r="P980" s="2" t="str">
        <f t="shared" si="45"/>
        <v>26/06/2025 to 01/07/2025</v>
      </c>
      <c r="Q980" s="3">
        <v>45840</v>
      </c>
      <c r="R980" t="str">
        <f t="shared" si="46"/>
        <v>Late</v>
      </c>
      <c r="S980" t="s">
        <v>921</v>
      </c>
      <c r="T980">
        <v>35</v>
      </c>
      <c r="U980" t="s">
        <v>65</v>
      </c>
      <c r="V980" t="s">
        <v>66</v>
      </c>
      <c r="W980" t="str">
        <f t="shared" ca="1" si="47"/>
        <v>Dormant</v>
      </c>
    </row>
    <row r="981" spans="1:23" x14ac:dyDescent="0.2">
      <c r="A981">
        <v>903</v>
      </c>
      <c r="B981" t="s">
        <v>2822</v>
      </c>
      <c r="C981" t="s">
        <v>2823</v>
      </c>
      <c r="D981" s="1" t="s">
        <v>514</v>
      </c>
      <c r="E981" t="s">
        <v>2824</v>
      </c>
      <c r="F981" t="s">
        <v>1204</v>
      </c>
      <c r="G981" s="4" t="s">
        <v>5418</v>
      </c>
      <c r="H981" t="s">
        <v>2825</v>
      </c>
      <c r="I981" t="s">
        <v>112</v>
      </c>
      <c r="J981" s="4" t="s">
        <v>74</v>
      </c>
      <c r="K981" t="s">
        <v>323</v>
      </c>
      <c r="L981">
        <v>2</v>
      </c>
      <c r="M981" t="s">
        <v>514</v>
      </c>
      <c r="N981" t="s">
        <v>77</v>
      </c>
      <c r="O981" t="s">
        <v>77</v>
      </c>
      <c r="P981" s="2" t="str">
        <f t="shared" si="45"/>
        <v>24/06/2025 to 27/06/2025</v>
      </c>
      <c r="Q981" s="3">
        <v>45834</v>
      </c>
      <c r="R981" t="str">
        <f t="shared" si="46"/>
        <v>On-Time</v>
      </c>
      <c r="S981" t="s">
        <v>108</v>
      </c>
      <c r="T981">
        <v>18</v>
      </c>
      <c r="U981" t="s">
        <v>65</v>
      </c>
      <c r="V981" t="s">
        <v>80</v>
      </c>
      <c r="W981" t="str">
        <f t="shared" ca="1" si="47"/>
        <v>Dormant</v>
      </c>
    </row>
    <row r="982" spans="1:23" x14ac:dyDescent="0.2">
      <c r="A982">
        <v>904</v>
      </c>
      <c r="B982" t="s">
        <v>2822</v>
      </c>
      <c r="C982" t="s">
        <v>2826</v>
      </c>
      <c r="D982" s="1" t="s">
        <v>514</v>
      </c>
      <c r="E982" t="s">
        <v>2824</v>
      </c>
      <c r="F982" t="s">
        <v>1204</v>
      </c>
      <c r="G982" s="4" t="s">
        <v>5418</v>
      </c>
      <c r="H982" t="s">
        <v>2825</v>
      </c>
      <c r="I982" t="s">
        <v>112</v>
      </c>
      <c r="J982" s="4" t="s">
        <v>5417</v>
      </c>
      <c r="K982" t="s">
        <v>10</v>
      </c>
      <c r="L982">
        <v>1</v>
      </c>
      <c r="M982" t="s">
        <v>77</v>
      </c>
      <c r="N982" t="s">
        <v>661</v>
      </c>
      <c r="O982" t="s">
        <v>661</v>
      </c>
      <c r="P982" s="2" t="str">
        <f t="shared" si="45"/>
        <v>26/06/2025 to 01/07/2025</v>
      </c>
      <c r="Q982" s="3">
        <v>45836</v>
      </c>
      <c r="R982" t="str">
        <f t="shared" si="46"/>
        <v>On-Time</v>
      </c>
      <c r="S982" t="s">
        <v>113</v>
      </c>
      <c r="T982">
        <v>10</v>
      </c>
      <c r="U982" t="s">
        <v>65</v>
      </c>
      <c r="V982" t="s">
        <v>72</v>
      </c>
      <c r="W982" t="str">
        <f t="shared" ca="1" si="47"/>
        <v>Dormant</v>
      </c>
    </row>
    <row r="983" spans="1:23" x14ac:dyDescent="0.2">
      <c r="A983">
        <v>1413</v>
      </c>
      <c r="B983" t="s">
        <v>4053</v>
      </c>
      <c r="C983" t="s">
        <v>4054</v>
      </c>
      <c r="D983" s="1" t="s">
        <v>514</v>
      </c>
      <c r="E983" t="s">
        <v>4055</v>
      </c>
      <c r="F983" t="s">
        <v>511</v>
      </c>
      <c r="G983" s="4" t="s">
        <v>5428</v>
      </c>
      <c r="H983" t="s">
        <v>2839</v>
      </c>
      <c r="I983" t="s">
        <v>201</v>
      </c>
      <c r="J983" s="4" t="s">
        <v>68</v>
      </c>
      <c r="K983" t="s">
        <v>1129</v>
      </c>
      <c r="L983">
        <v>2</v>
      </c>
      <c r="M983" t="s">
        <v>77</v>
      </c>
      <c r="N983" t="s">
        <v>661</v>
      </c>
      <c r="O983" t="s">
        <v>77</v>
      </c>
      <c r="P983" s="2" t="str">
        <f t="shared" si="45"/>
        <v>26/06/2025 to 01/07/2025</v>
      </c>
      <c r="Q983" s="3">
        <v>45836</v>
      </c>
      <c r="R983" t="str">
        <f t="shared" si="46"/>
        <v>On-Time</v>
      </c>
      <c r="S983" t="s">
        <v>113</v>
      </c>
      <c r="T983">
        <v>17</v>
      </c>
      <c r="U983" t="s">
        <v>65</v>
      </c>
      <c r="V983" t="s">
        <v>66</v>
      </c>
      <c r="W983" t="str">
        <f t="shared" ca="1" si="47"/>
        <v>Dormant</v>
      </c>
    </row>
    <row r="984" spans="1:23" x14ac:dyDescent="0.2">
      <c r="A984">
        <v>309</v>
      </c>
      <c r="B984" t="s">
        <v>1281</v>
      </c>
      <c r="C984" t="s">
        <v>1282</v>
      </c>
      <c r="D984" s="1" t="s">
        <v>515</v>
      </c>
      <c r="E984" t="s">
        <v>1283</v>
      </c>
      <c r="F984" t="s">
        <v>1139</v>
      </c>
      <c r="G984" s="4" t="s">
        <v>5420</v>
      </c>
      <c r="H984" t="s">
        <v>1284</v>
      </c>
      <c r="I984" t="s">
        <v>112</v>
      </c>
      <c r="J984" s="4" t="s">
        <v>68</v>
      </c>
      <c r="K984" t="s">
        <v>1285</v>
      </c>
      <c r="L984">
        <v>2</v>
      </c>
      <c r="M984" t="s">
        <v>661</v>
      </c>
      <c r="N984" t="s">
        <v>664</v>
      </c>
      <c r="O984" t="s">
        <v>664</v>
      </c>
      <c r="P984" s="2" t="str">
        <f t="shared" si="45"/>
        <v>27/06/2025 to 02/07/2025</v>
      </c>
      <c r="Q984" s="3">
        <v>45839</v>
      </c>
      <c r="R984" t="str">
        <f t="shared" si="46"/>
        <v>On-Time</v>
      </c>
      <c r="S984" t="s">
        <v>358</v>
      </c>
      <c r="T984">
        <v>18.5</v>
      </c>
      <c r="U984" t="s">
        <v>65</v>
      </c>
      <c r="V984" t="s">
        <v>80</v>
      </c>
      <c r="W984" t="str">
        <f t="shared" ca="1" si="47"/>
        <v>Dormant</v>
      </c>
    </row>
    <row r="985" spans="1:23" x14ac:dyDescent="0.2">
      <c r="A985">
        <v>431</v>
      </c>
      <c r="B985" t="s">
        <v>1624</v>
      </c>
      <c r="C985" t="s">
        <v>1625</v>
      </c>
      <c r="D985" s="1" t="s">
        <v>515</v>
      </c>
      <c r="E985" t="s">
        <v>1626</v>
      </c>
      <c r="F985" t="s">
        <v>803</v>
      </c>
      <c r="G985" s="4" t="s">
        <v>5427</v>
      </c>
      <c r="H985" t="s">
        <v>1627</v>
      </c>
      <c r="I985" t="s">
        <v>136</v>
      </c>
      <c r="J985" s="4" t="s">
        <v>74</v>
      </c>
      <c r="K985" t="s">
        <v>1628</v>
      </c>
      <c r="L985">
        <v>4</v>
      </c>
      <c r="M985" t="s">
        <v>77</v>
      </c>
      <c r="N985" t="s">
        <v>77</v>
      </c>
      <c r="O985" t="s">
        <v>78</v>
      </c>
      <c r="P985" s="2" t="str">
        <f t="shared" si="45"/>
        <v>26/06/2025 to 01/07/2025</v>
      </c>
      <c r="Q985" s="3">
        <v>45838</v>
      </c>
      <c r="R985" t="str">
        <f t="shared" si="46"/>
        <v>On-Time</v>
      </c>
      <c r="S985" t="s">
        <v>115</v>
      </c>
      <c r="T985">
        <v>34.5</v>
      </c>
      <c r="U985" t="s">
        <v>65</v>
      </c>
      <c r="V985" t="s">
        <v>66</v>
      </c>
      <c r="W985" t="str">
        <f t="shared" ca="1" si="47"/>
        <v>Dormant</v>
      </c>
    </row>
    <row r="986" spans="1:23" x14ac:dyDescent="0.2">
      <c r="A986">
        <v>432</v>
      </c>
      <c r="B986" t="s">
        <v>1624</v>
      </c>
      <c r="C986" t="s">
        <v>1629</v>
      </c>
      <c r="D986" s="1" t="s">
        <v>515</v>
      </c>
      <c r="E986" t="s">
        <v>1626</v>
      </c>
      <c r="F986" t="s">
        <v>803</v>
      </c>
      <c r="G986" s="4" t="s">
        <v>5422</v>
      </c>
      <c r="H986" t="s">
        <v>1627</v>
      </c>
      <c r="I986" t="s">
        <v>136</v>
      </c>
      <c r="J986" s="4" t="s">
        <v>74</v>
      </c>
      <c r="K986" t="s">
        <v>16</v>
      </c>
      <c r="L986">
        <v>1</v>
      </c>
      <c r="M986" t="s">
        <v>515</v>
      </c>
      <c r="N986" t="s">
        <v>515</v>
      </c>
      <c r="O986" t="s">
        <v>515</v>
      </c>
      <c r="P986" s="2" t="str">
        <f t="shared" si="45"/>
        <v>25/06/2025 to 30/06/2025</v>
      </c>
      <c r="Q986" s="3">
        <v>45835</v>
      </c>
      <c r="R986" t="str">
        <f t="shared" si="46"/>
        <v>On-Time</v>
      </c>
      <c r="S986" t="s">
        <v>114</v>
      </c>
      <c r="T986">
        <v>11</v>
      </c>
      <c r="U986" t="s">
        <v>79</v>
      </c>
      <c r="V986" t="s">
        <v>66</v>
      </c>
      <c r="W986" t="str">
        <f t="shared" ca="1" si="47"/>
        <v>Dormant</v>
      </c>
    </row>
    <row r="987" spans="1:23" x14ac:dyDescent="0.2">
      <c r="A987">
        <v>433</v>
      </c>
      <c r="B987" t="s">
        <v>1624</v>
      </c>
      <c r="C987" t="s">
        <v>1630</v>
      </c>
      <c r="D987" s="1" t="s">
        <v>515</v>
      </c>
      <c r="E987" t="s">
        <v>1626</v>
      </c>
      <c r="F987" t="s">
        <v>803</v>
      </c>
      <c r="G987" s="4" t="s">
        <v>5425</v>
      </c>
      <c r="H987" t="s">
        <v>1627</v>
      </c>
      <c r="I987" t="s">
        <v>136</v>
      </c>
      <c r="J987" s="4" t="s">
        <v>68</v>
      </c>
      <c r="K987" t="s">
        <v>1631</v>
      </c>
      <c r="L987">
        <v>3</v>
      </c>
      <c r="M987" t="s">
        <v>661</v>
      </c>
      <c r="N987" t="s">
        <v>78</v>
      </c>
      <c r="O987" t="s">
        <v>661</v>
      </c>
      <c r="P987" s="2" t="str">
        <f t="shared" si="45"/>
        <v>27/06/2025 to 02/07/2025</v>
      </c>
      <c r="Q987" s="3">
        <v>45834</v>
      </c>
      <c r="R987" t="str">
        <f t="shared" si="46"/>
        <v>Late</v>
      </c>
      <c r="S987" t="s">
        <v>517</v>
      </c>
      <c r="T987">
        <v>26.5</v>
      </c>
      <c r="U987" t="s">
        <v>65</v>
      </c>
      <c r="V987" t="s">
        <v>72</v>
      </c>
      <c r="W987" t="str">
        <f t="shared" ca="1" si="47"/>
        <v>Dormant</v>
      </c>
    </row>
    <row r="988" spans="1:23" x14ac:dyDescent="0.2">
      <c r="A988">
        <v>895</v>
      </c>
      <c r="B988" t="s">
        <v>2801</v>
      </c>
      <c r="C988" t="s">
        <v>2802</v>
      </c>
      <c r="D988" s="1" t="s">
        <v>515</v>
      </c>
      <c r="E988" t="s">
        <v>2803</v>
      </c>
      <c r="F988" t="s">
        <v>1756</v>
      </c>
      <c r="G988" s="4" t="s">
        <v>5426</v>
      </c>
      <c r="H988" t="s">
        <v>1728</v>
      </c>
      <c r="I988" t="s">
        <v>136</v>
      </c>
      <c r="J988" s="4" t="s">
        <v>74</v>
      </c>
      <c r="K988" t="s">
        <v>2804</v>
      </c>
      <c r="L988">
        <v>3</v>
      </c>
      <c r="M988" t="s">
        <v>515</v>
      </c>
      <c r="N988" t="s">
        <v>661</v>
      </c>
      <c r="O988" t="s">
        <v>661</v>
      </c>
      <c r="P988" s="2" t="str">
        <f t="shared" si="45"/>
        <v>25/06/2025 to 30/06/2025</v>
      </c>
      <c r="Q988" s="3">
        <v>45838</v>
      </c>
      <c r="R988" t="str">
        <f t="shared" si="46"/>
        <v>On-Time</v>
      </c>
      <c r="S988" t="s">
        <v>115</v>
      </c>
      <c r="T988">
        <v>33</v>
      </c>
      <c r="U988" t="s">
        <v>65</v>
      </c>
      <c r="V988" t="s">
        <v>66</v>
      </c>
      <c r="W988" t="str">
        <f t="shared" ca="1" si="47"/>
        <v>Dormant</v>
      </c>
    </row>
    <row r="989" spans="1:23" x14ac:dyDescent="0.2">
      <c r="A989">
        <v>896</v>
      </c>
      <c r="B989" t="s">
        <v>2801</v>
      </c>
      <c r="C989" t="s">
        <v>2805</v>
      </c>
      <c r="D989" s="1" t="s">
        <v>515</v>
      </c>
      <c r="E989" t="s">
        <v>2803</v>
      </c>
      <c r="F989" t="s">
        <v>1756</v>
      </c>
      <c r="G989" s="4" t="s">
        <v>5419</v>
      </c>
      <c r="H989" t="s">
        <v>1728</v>
      </c>
      <c r="I989" t="s">
        <v>136</v>
      </c>
      <c r="J989" s="4" t="s">
        <v>74</v>
      </c>
      <c r="K989" t="s">
        <v>22</v>
      </c>
      <c r="L989">
        <v>1</v>
      </c>
      <c r="M989" t="s">
        <v>515</v>
      </c>
      <c r="N989" t="s">
        <v>515</v>
      </c>
      <c r="O989" t="s">
        <v>77</v>
      </c>
      <c r="P989" s="2" t="str">
        <f t="shared" si="45"/>
        <v>25/06/2025 to 30/06/2025</v>
      </c>
      <c r="Q989" s="3">
        <v>45838</v>
      </c>
      <c r="R989" t="str">
        <f t="shared" si="46"/>
        <v>On-Time</v>
      </c>
      <c r="S989" t="s">
        <v>358</v>
      </c>
      <c r="T989">
        <v>8</v>
      </c>
      <c r="U989" t="s">
        <v>65</v>
      </c>
      <c r="V989" t="s">
        <v>66</v>
      </c>
      <c r="W989" t="str">
        <f t="shared" ca="1" si="47"/>
        <v>Dormant</v>
      </c>
    </row>
    <row r="990" spans="1:23" x14ac:dyDescent="0.2">
      <c r="A990">
        <v>897</v>
      </c>
      <c r="B990" t="s">
        <v>2801</v>
      </c>
      <c r="C990" t="s">
        <v>2806</v>
      </c>
      <c r="D990" s="1" t="s">
        <v>515</v>
      </c>
      <c r="E990" t="s">
        <v>2803</v>
      </c>
      <c r="F990" t="s">
        <v>1756</v>
      </c>
      <c r="G990" s="4" t="s">
        <v>5422</v>
      </c>
      <c r="H990" t="s">
        <v>1728</v>
      </c>
      <c r="I990" t="s">
        <v>136</v>
      </c>
      <c r="J990" s="4" t="s">
        <v>60</v>
      </c>
      <c r="K990" t="s">
        <v>2807</v>
      </c>
      <c r="L990">
        <v>4</v>
      </c>
      <c r="M990" t="s">
        <v>77</v>
      </c>
      <c r="N990" t="s">
        <v>661</v>
      </c>
      <c r="O990" t="s">
        <v>78</v>
      </c>
      <c r="P990" s="2" t="str">
        <f t="shared" si="45"/>
        <v>26/06/2025 to 01/07/2025</v>
      </c>
      <c r="Q990" s="3">
        <v>45834</v>
      </c>
      <c r="R990" t="str">
        <f t="shared" si="46"/>
        <v>On-Time</v>
      </c>
      <c r="S990" t="s">
        <v>517</v>
      </c>
      <c r="T990">
        <v>42.5</v>
      </c>
      <c r="U990" t="s">
        <v>65</v>
      </c>
      <c r="V990" t="s">
        <v>80</v>
      </c>
      <c r="W990" t="str">
        <f t="shared" ca="1" si="47"/>
        <v>Dormant</v>
      </c>
    </row>
    <row r="991" spans="1:23" x14ac:dyDescent="0.2">
      <c r="A991">
        <v>1380</v>
      </c>
      <c r="B991" t="s">
        <v>3974</v>
      </c>
      <c r="C991" t="s">
        <v>3975</v>
      </c>
      <c r="D991" s="1" t="s">
        <v>515</v>
      </c>
      <c r="E991" t="s">
        <v>3976</v>
      </c>
      <c r="F991" t="s">
        <v>579</v>
      </c>
      <c r="G991" s="4" t="s">
        <v>5419</v>
      </c>
      <c r="H991" t="s">
        <v>3977</v>
      </c>
      <c r="I991" t="s">
        <v>93</v>
      </c>
      <c r="J991" s="4" t="s">
        <v>5417</v>
      </c>
      <c r="K991" t="s">
        <v>3978</v>
      </c>
      <c r="L991">
        <v>3</v>
      </c>
      <c r="M991" t="s">
        <v>661</v>
      </c>
      <c r="N991" t="s">
        <v>661</v>
      </c>
      <c r="O991" t="s">
        <v>664</v>
      </c>
      <c r="P991" s="2" t="str">
        <f t="shared" si="45"/>
        <v>27/06/2025 to 02/07/2025</v>
      </c>
      <c r="Q991" s="3">
        <v>45838</v>
      </c>
      <c r="R991" t="str">
        <f t="shared" si="46"/>
        <v>On-Time</v>
      </c>
      <c r="S991" t="s">
        <v>358</v>
      </c>
      <c r="T991">
        <v>29</v>
      </c>
      <c r="U991" t="s">
        <v>65</v>
      </c>
      <c r="V991" t="s">
        <v>80</v>
      </c>
      <c r="W991" t="str">
        <f t="shared" ca="1" si="47"/>
        <v>Dormant</v>
      </c>
    </row>
    <row r="992" spans="1:23" x14ac:dyDescent="0.2">
      <c r="A992">
        <v>1381</v>
      </c>
      <c r="B992" t="s">
        <v>3974</v>
      </c>
      <c r="C992" t="s">
        <v>3979</v>
      </c>
      <c r="D992" s="1" t="s">
        <v>515</v>
      </c>
      <c r="E992" t="s">
        <v>3976</v>
      </c>
      <c r="F992" t="s">
        <v>579</v>
      </c>
      <c r="G992" s="4" t="s">
        <v>5425</v>
      </c>
      <c r="H992" t="s">
        <v>3977</v>
      </c>
      <c r="I992" t="s">
        <v>93</v>
      </c>
      <c r="J992" s="4" t="s">
        <v>5417</v>
      </c>
      <c r="K992" t="s">
        <v>3980</v>
      </c>
      <c r="L992">
        <v>2</v>
      </c>
      <c r="M992" t="s">
        <v>515</v>
      </c>
      <c r="N992" t="s">
        <v>515</v>
      </c>
      <c r="O992" t="s">
        <v>515</v>
      </c>
      <c r="P992" s="2" t="str">
        <f t="shared" si="45"/>
        <v>25/06/2025 to 30/06/2025</v>
      </c>
      <c r="Q992" s="3">
        <v>45833</v>
      </c>
      <c r="R992" t="str">
        <f t="shared" si="46"/>
        <v>On-Time</v>
      </c>
      <c r="S992" t="s">
        <v>517</v>
      </c>
      <c r="T992">
        <v>17</v>
      </c>
      <c r="U992" t="s">
        <v>79</v>
      </c>
      <c r="V992" t="s">
        <v>66</v>
      </c>
      <c r="W992" t="str">
        <f t="shared" ca="1" si="47"/>
        <v>Dormant</v>
      </c>
    </row>
    <row r="993" spans="1:23" x14ac:dyDescent="0.2">
      <c r="A993">
        <v>1382</v>
      </c>
      <c r="B993" t="s">
        <v>3974</v>
      </c>
      <c r="C993" t="s">
        <v>3981</v>
      </c>
      <c r="D993" s="1" t="s">
        <v>515</v>
      </c>
      <c r="E993" t="s">
        <v>3976</v>
      </c>
      <c r="F993" t="s">
        <v>579</v>
      </c>
      <c r="G993" s="4" t="s">
        <v>5420</v>
      </c>
      <c r="H993" t="s">
        <v>3977</v>
      </c>
      <c r="I993" t="s">
        <v>93</v>
      </c>
      <c r="J993" s="4" t="s">
        <v>74</v>
      </c>
      <c r="K993" t="s">
        <v>3982</v>
      </c>
      <c r="L993">
        <v>3</v>
      </c>
      <c r="M993" t="s">
        <v>77</v>
      </c>
      <c r="N993" t="s">
        <v>661</v>
      </c>
      <c r="O993" t="s">
        <v>77</v>
      </c>
      <c r="P993" s="2" t="str">
        <f t="shared" si="45"/>
        <v>26/06/2025 to 01/07/2025</v>
      </c>
      <c r="Q993" s="3">
        <v>45838</v>
      </c>
      <c r="R993" t="str">
        <f t="shared" si="46"/>
        <v>On-Time</v>
      </c>
      <c r="S993" t="s">
        <v>358</v>
      </c>
      <c r="T993">
        <v>30.5</v>
      </c>
      <c r="U993" t="s">
        <v>79</v>
      </c>
      <c r="V993" t="s">
        <v>66</v>
      </c>
      <c r="W993" t="str">
        <f t="shared" ca="1" si="47"/>
        <v>Dormant</v>
      </c>
    </row>
    <row r="994" spans="1:23" x14ac:dyDescent="0.2">
      <c r="A994">
        <v>1383</v>
      </c>
      <c r="B994" t="s">
        <v>3974</v>
      </c>
      <c r="C994" t="s">
        <v>3983</v>
      </c>
      <c r="D994" s="1" t="s">
        <v>515</v>
      </c>
      <c r="E994" t="s">
        <v>3976</v>
      </c>
      <c r="F994" t="s">
        <v>579</v>
      </c>
      <c r="G994" s="4" t="s">
        <v>5419</v>
      </c>
      <c r="H994" t="s">
        <v>3977</v>
      </c>
      <c r="I994" t="s">
        <v>93</v>
      </c>
      <c r="J994" s="4" t="s">
        <v>68</v>
      </c>
      <c r="K994" t="s">
        <v>4</v>
      </c>
      <c r="L994">
        <v>1</v>
      </c>
      <c r="M994" t="s">
        <v>661</v>
      </c>
      <c r="N994" t="s">
        <v>664</v>
      </c>
      <c r="O994" t="s">
        <v>664</v>
      </c>
      <c r="P994" s="2" t="str">
        <f t="shared" si="45"/>
        <v>27/06/2025 to 02/07/2025</v>
      </c>
      <c r="Q994" s="3">
        <v>45838</v>
      </c>
      <c r="R994" t="str">
        <f t="shared" si="46"/>
        <v>On-Time</v>
      </c>
      <c r="S994" t="s">
        <v>358</v>
      </c>
      <c r="T994">
        <v>8</v>
      </c>
      <c r="U994" t="s">
        <v>65</v>
      </c>
      <c r="V994" t="s">
        <v>72</v>
      </c>
      <c r="W994" t="str">
        <f t="shared" ca="1" si="47"/>
        <v>Dormant</v>
      </c>
    </row>
    <row r="995" spans="1:23" x14ac:dyDescent="0.2">
      <c r="A995">
        <v>1384</v>
      </c>
      <c r="B995" t="s">
        <v>3974</v>
      </c>
      <c r="C995" t="s">
        <v>3984</v>
      </c>
      <c r="D995" s="1" t="s">
        <v>515</v>
      </c>
      <c r="E995" t="s">
        <v>3976</v>
      </c>
      <c r="F995" t="s">
        <v>579</v>
      </c>
      <c r="G995" s="4" t="s">
        <v>5419</v>
      </c>
      <c r="H995" t="s">
        <v>3977</v>
      </c>
      <c r="I995" t="s">
        <v>93</v>
      </c>
      <c r="J995" s="4" t="s">
        <v>60</v>
      </c>
      <c r="K995" t="s">
        <v>3985</v>
      </c>
      <c r="L995">
        <v>4</v>
      </c>
      <c r="M995" t="s">
        <v>661</v>
      </c>
      <c r="N995" t="s">
        <v>78</v>
      </c>
      <c r="O995" t="s">
        <v>664</v>
      </c>
      <c r="P995" s="2" t="str">
        <f t="shared" si="45"/>
        <v>27/06/2025 to 02/07/2025</v>
      </c>
      <c r="Q995" s="3">
        <v>45837</v>
      </c>
      <c r="R995" t="str">
        <f t="shared" si="46"/>
        <v>On-Time</v>
      </c>
      <c r="S995" t="s">
        <v>358</v>
      </c>
      <c r="T995">
        <v>37.5</v>
      </c>
      <c r="U995" t="s">
        <v>65</v>
      </c>
      <c r="V995" t="s">
        <v>80</v>
      </c>
      <c r="W995" t="str">
        <f t="shared" ca="1" si="47"/>
        <v>Dormant</v>
      </c>
    </row>
    <row r="996" spans="1:23" x14ac:dyDescent="0.2">
      <c r="A996">
        <v>1606</v>
      </c>
      <c r="B996" t="s">
        <v>4526</v>
      </c>
      <c r="C996" t="s">
        <v>4527</v>
      </c>
      <c r="D996" s="1" t="s">
        <v>515</v>
      </c>
      <c r="E996" t="s">
        <v>4528</v>
      </c>
      <c r="F996" t="s">
        <v>110</v>
      </c>
      <c r="G996" s="4" t="s">
        <v>5418</v>
      </c>
      <c r="H996" t="s">
        <v>1476</v>
      </c>
      <c r="I996" t="s">
        <v>112</v>
      </c>
      <c r="J996" s="4" t="s">
        <v>60</v>
      </c>
      <c r="K996" t="s">
        <v>4529</v>
      </c>
      <c r="L996">
        <v>4</v>
      </c>
      <c r="M996" t="s">
        <v>515</v>
      </c>
      <c r="N996" t="s">
        <v>77</v>
      </c>
      <c r="O996" t="s">
        <v>515</v>
      </c>
      <c r="P996" s="2" t="str">
        <f t="shared" si="45"/>
        <v>25/06/2025 to 30/06/2025</v>
      </c>
      <c r="Q996" s="3">
        <v>45834</v>
      </c>
      <c r="R996" t="str">
        <f t="shared" si="46"/>
        <v>On-Time</v>
      </c>
      <c r="S996" t="s">
        <v>517</v>
      </c>
      <c r="T996">
        <v>42</v>
      </c>
      <c r="U996" t="s">
        <v>79</v>
      </c>
      <c r="V996" t="s">
        <v>66</v>
      </c>
      <c r="W996" t="str">
        <f t="shared" ca="1" si="47"/>
        <v>Dormant</v>
      </c>
    </row>
    <row r="997" spans="1:23" x14ac:dyDescent="0.2">
      <c r="A997">
        <v>1607</v>
      </c>
      <c r="B997" t="s">
        <v>4526</v>
      </c>
      <c r="C997" t="s">
        <v>4530</v>
      </c>
      <c r="D997" s="1" t="s">
        <v>515</v>
      </c>
      <c r="E997" t="s">
        <v>4528</v>
      </c>
      <c r="F997" t="s">
        <v>110</v>
      </c>
      <c r="G997" s="4" t="s">
        <v>5420</v>
      </c>
      <c r="H997" t="s">
        <v>1476</v>
      </c>
      <c r="I997" t="s">
        <v>112</v>
      </c>
      <c r="J997" s="4" t="s">
        <v>60</v>
      </c>
      <c r="K997" t="s">
        <v>2926</v>
      </c>
      <c r="L997">
        <v>2</v>
      </c>
      <c r="M997" t="s">
        <v>77</v>
      </c>
      <c r="N997" t="s">
        <v>78</v>
      </c>
      <c r="O997" t="s">
        <v>78</v>
      </c>
      <c r="P997" s="2" t="str">
        <f t="shared" si="45"/>
        <v>26/06/2025 to 01/07/2025</v>
      </c>
      <c r="Q997" s="3">
        <v>45840</v>
      </c>
      <c r="R997" t="str">
        <f t="shared" si="46"/>
        <v>Late</v>
      </c>
      <c r="S997" t="s">
        <v>921</v>
      </c>
      <c r="T997">
        <v>20</v>
      </c>
      <c r="U997" t="s">
        <v>79</v>
      </c>
      <c r="V997" t="s">
        <v>66</v>
      </c>
      <c r="W997" t="str">
        <f t="shared" ca="1" si="47"/>
        <v>Dormant</v>
      </c>
    </row>
    <row r="998" spans="1:23" x14ac:dyDescent="0.2">
      <c r="A998">
        <v>124</v>
      </c>
      <c r="B998" t="s">
        <v>656</v>
      </c>
      <c r="C998" t="s">
        <v>657</v>
      </c>
      <c r="D998" s="1" t="s">
        <v>77</v>
      </c>
      <c r="E998" t="s">
        <v>658</v>
      </c>
      <c r="F998" t="s">
        <v>424</v>
      </c>
      <c r="G998" s="4" t="s">
        <v>5418</v>
      </c>
      <c r="H998" t="s">
        <v>659</v>
      </c>
      <c r="I998" t="s">
        <v>93</v>
      </c>
      <c r="J998" s="4" t="s">
        <v>74</v>
      </c>
      <c r="K998" t="s">
        <v>660</v>
      </c>
      <c r="L998">
        <v>3</v>
      </c>
      <c r="M998" t="s">
        <v>661</v>
      </c>
      <c r="N998" t="s">
        <v>661</v>
      </c>
      <c r="O998" t="s">
        <v>78</v>
      </c>
      <c r="P998" s="2" t="str">
        <f t="shared" si="45"/>
        <v>27/06/2025 to 02/07/2025</v>
      </c>
      <c r="Q998" s="3">
        <v>45837</v>
      </c>
      <c r="R998" t="str">
        <f t="shared" si="46"/>
        <v>On-Time</v>
      </c>
      <c r="S998" t="s">
        <v>115</v>
      </c>
      <c r="T998">
        <v>30</v>
      </c>
      <c r="U998" t="s">
        <v>65</v>
      </c>
      <c r="V998" t="s">
        <v>80</v>
      </c>
      <c r="W998" t="str">
        <f t="shared" ca="1" si="47"/>
        <v>Dormant</v>
      </c>
    </row>
    <row r="999" spans="1:23" x14ac:dyDescent="0.2">
      <c r="A999">
        <v>125</v>
      </c>
      <c r="B999" t="s">
        <v>656</v>
      </c>
      <c r="C999" t="s">
        <v>662</v>
      </c>
      <c r="D999" s="1" t="s">
        <v>77</v>
      </c>
      <c r="E999" t="s">
        <v>658</v>
      </c>
      <c r="F999" t="s">
        <v>424</v>
      </c>
      <c r="G999" s="4" t="s">
        <v>38</v>
      </c>
      <c r="H999" t="s">
        <v>659</v>
      </c>
      <c r="I999" t="s">
        <v>93</v>
      </c>
      <c r="J999" s="4" t="s">
        <v>60</v>
      </c>
      <c r="K999" t="s">
        <v>663</v>
      </c>
      <c r="L999">
        <v>2</v>
      </c>
      <c r="M999" t="s">
        <v>78</v>
      </c>
      <c r="N999" t="s">
        <v>664</v>
      </c>
      <c r="O999" t="s">
        <v>78</v>
      </c>
      <c r="P999" s="2" t="str">
        <f t="shared" si="45"/>
        <v>30/06/2025 to 03/07/2025</v>
      </c>
      <c r="Q999" s="3">
        <v>45835</v>
      </c>
      <c r="R999" t="str">
        <f t="shared" si="46"/>
        <v>Late</v>
      </c>
      <c r="S999" t="s">
        <v>113</v>
      </c>
      <c r="T999">
        <v>18.5</v>
      </c>
      <c r="U999" t="s">
        <v>79</v>
      </c>
      <c r="V999" t="s">
        <v>66</v>
      </c>
      <c r="W999" t="str">
        <f t="shared" ca="1" si="47"/>
        <v>Dormant</v>
      </c>
    </row>
    <row r="1000" spans="1:23" x14ac:dyDescent="0.2">
      <c r="A1000">
        <v>1458</v>
      </c>
      <c r="B1000" t="s">
        <v>4165</v>
      </c>
      <c r="C1000" t="s">
        <v>4166</v>
      </c>
      <c r="D1000" s="1" t="s">
        <v>77</v>
      </c>
      <c r="E1000" t="s">
        <v>4167</v>
      </c>
      <c r="F1000" t="s">
        <v>995</v>
      </c>
      <c r="G1000" s="4" t="s">
        <v>5425</v>
      </c>
      <c r="H1000" t="s">
        <v>4168</v>
      </c>
      <c r="I1000" t="s">
        <v>112</v>
      </c>
      <c r="J1000" s="4" t="s">
        <v>60</v>
      </c>
      <c r="K1000" t="s">
        <v>1719</v>
      </c>
      <c r="L1000">
        <v>2</v>
      </c>
      <c r="M1000" t="s">
        <v>78</v>
      </c>
      <c r="N1000" t="s">
        <v>664</v>
      </c>
      <c r="O1000" t="s">
        <v>344</v>
      </c>
      <c r="P1000" s="2" t="str">
        <f t="shared" si="45"/>
        <v>30/06/2025 to 03/07/2025</v>
      </c>
      <c r="Q1000" s="3">
        <v>45841</v>
      </c>
      <c r="R1000" t="str">
        <f t="shared" si="46"/>
        <v>On-Time</v>
      </c>
      <c r="S1000" t="s">
        <v>404</v>
      </c>
      <c r="T1000">
        <v>21</v>
      </c>
      <c r="U1000" t="s">
        <v>79</v>
      </c>
      <c r="V1000" t="s">
        <v>66</v>
      </c>
      <c r="W1000" t="str">
        <f t="shared" ca="1" si="47"/>
        <v>Dormant</v>
      </c>
    </row>
    <row r="1001" spans="1:23" x14ac:dyDescent="0.2">
      <c r="A1001">
        <v>1459</v>
      </c>
      <c r="B1001" t="s">
        <v>4165</v>
      </c>
      <c r="C1001" t="s">
        <v>4169</v>
      </c>
      <c r="D1001" s="1" t="s">
        <v>77</v>
      </c>
      <c r="E1001" t="s">
        <v>4167</v>
      </c>
      <c r="F1001" t="s">
        <v>995</v>
      </c>
      <c r="G1001" s="4" t="s">
        <v>5418</v>
      </c>
      <c r="H1001" t="s">
        <v>4168</v>
      </c>
      <c r="I1001" t="s">
        <v>112</v>
      </c>
      <c r="J1001" s="4" t="s">
        <v>74</v>
      </c>
      <c r="K1001" t="s">
        <v>10</v>
      </c>
      <c r="L1001">
        <v>1</v>
      </c>
      <c r="M1001" t="s">
        <v>78</v>
      </c>
      <c r="N1001" t="s">
        <v>78</v>
      </c>
      <c r="O1001" t="s">
        <v>344</v>
      </c>
      <c r="P1001" s="2" t="str">
        <f t="shared" si="45"/>
        <v>30/06/2025 to 03/07/2025</v>
      </c>
      <c r="Q1001" s="3">
        <v>45840</v>
      </c>
      <c r="R1001" t="str">
        <f t="shared" si="46"/>
        <v>On-Time</v>
      </c>
      <c r="S1001" t="s">
        <v>924</v>
      </c>
      <c r="T1001">
        <v>10</v>
      </c>
      <c r="U1001" t="s">
        <v>79</v>
      </c>
      <c r="V1001" t="s">
        <v>72</v>
      </c>
      <c r="W1001" t="str">
        <f t="shared" ca="1" si="47"/>
        <v>Dormant</v>
      </c>
    </row>
    <row r="1002" spans="1:23" x14ac:dyDescent="0.2">
      <c r="A1002">
        <v>1460</v>
      </c>
      <c r="B1002" t="s">
        <v>4165</v>
      </c>
      <c r="C1002" t="s">
        <v>4170</v>
      </c>
      <c r="D1002" s="1" t="s">
        <v>77</v>
      </c>
      <c r="E1002" t="s">
        <v>4167</v>
      </c>
      <c r="F1002" t="s">
        <v>995</v>
      </c>
      <c r="G1002" s="4" t="s">
        <v>5426</v>
      </c>
      <c r="H1002" t="s">
        <v>4168</v>
      </c>
      <c r="I1002" t="s">
        <v>112</v>
      </c>
      <c r="J1002" s="4" t="s">
        <v>60</v>
      </c>
      <c r="K1002" t="s">
        <v>4171</v>
      </c>
      <c r="L1002">
        <v>3</v>
      </c>
      <c r="M1002" t="s">
        <v>661</v>
      </c>
      <c r="N1002" t="s">
        <v>661</v>
      </c>
      <c r="O1002" t="s">
        <v>664</v>
      </c>
      <c r="P1002" s="2" t="str">
        <f t="shared" si="45"/>
        <v>27/06/2025 to 02/07/2025</v>
      </c>
      <c r="Q1002" s="3">
        <v>45839</v>
      </c>
      <c r="R1002" t="str">
        <f t="shared" si="46"/>
        <v>On-Time</v>
      </c>
      <c r="S1002" t="s">
        <v>924</v>
      </c>
      <c r="T1002">
        <v>29</v>
      </c>
      <c r="U1002" t="s">
        <v>79</v>
      </c>
      <c r="V1002" t="s">
        <v>80</v>
      </c>
      <c r="W1002" t="str">
        <f t="shared" ca="1" si="47"/>
        <v>Dormant</v>
      </c>
    </row>
    <row r="1003" spans="1:23" x14ac:dyDescent="0.2">
      <c r="A1003">
        <v>1461</v>
      </c>
      <c r="B1003" t="s">
        <v>4165</v>
      </c>
      <c r="C1003" t="s">
        <v>4172</v>
      </c>
      <c r="D1003" s="1" t="s">
        <v>77</v>
      </c>
      <c r="E1003" t="s">
        <v>4167</v>
      </c>
      <c r="F1003" t="s">
        <v>995</v>
      </c>
      <c r="G1003" s="4" t="s">
        <v>5422</v>
      </c>
      <c r="H1003" t="s">
        <v>4168</v>
      </c>
      <c r="I1003" t="s">
        <v>112</v>
      </c>
      <c r="J1003" s="4" t="s">
        <v>68</v>
      </c>
      <c r="K1003" t="s">
        <v>4173</v>
      </c>
      <c r="L1003">
        <v>3</v>
      </c>
      <c r="M1003" t="s">
        <v>78</v>
      </c>
      <c r="N1003" t="s">
        <v>664</v>
      </c>
      <c r="O1003" t="s">
        <v>344</v>
      </c>
      <c r="P1003" s="2" t="str">
        <f t="shared" si="45"/>
        <v>30/06/2025 to 03/07/2025</v>
      </c>
      <c r="Q1003" s="3">
        <v>45839</v>
      </c>
      <c r="R1003" t="str">
        <f t="shared" si="46"/>
        <v>On-Time</v>
      </c>
      <c r="S1003" t="s">
        <v>924</v>
      </c>
      <c r="T1003">
        <v>26.5</v>
      </c>
      <c r="U1003" t="s">
        <v>79</v>
      </c>
      <c r="V1003" t="s">
        <v>80</v>
      </c>
      <c r="W1003" t="str">
        <f t="shared" ca="1" si="47"/>
        <v>Dormant</v>
      </c>
    </row>
    <row r="1004" spans="1:23" x14ac:dyDescent="0.2">
      <c r="A1004">
        <v>1462</v>
      </c>
      <c r="B1004" t="s">
        <v>4165</v>
      </c>
      <c r="C1004" t="s">
        <v>4174</v>
      </c>
      <c r="D1004" s="1" t="s">
        <v>77</v>
      </c>
      <c r="E1004" t="s">
        <v>4167</v>
      </c>
      <c r="F1004" t="s">
        <v>995</v>
      </c>
      <c r="G1004" s="4" t="s">
        <v>5427</v>
      </c>
      <c r="H1004" t="s">
        <v>4168</v>
      </c>
      <c r="I1004" t="s">
        <v>112</v>
      </c>
      <c r="J1004" s="4" t="s">
        <v>60</v>
      </c>
      <c r="K1004" t="s">
        <v>1926</v>
      </c>
      <c r="L1004">
        <v>2</v>
      </c>
      <c r="M1004" t="s">
        <v>661</v>
      </c>
      <c r="N1004" t="s">
        <v>78</v>
      </c>
      <c r="O1004" t="s">
        <v>664</v>
      </c>
      <c r="P1004" s="2" t="str">
        <f t="shared" si="45"/>
        <v>27/06/2025 to 02/07/2025</v>
      </c>
      <c r="Q1004" s="3">
        <v>45838</v>
      </c>
      <c r="R1004" t="str">
        <f t="shared" si="46"/>
        <v>On-Time</v>
      </c>
      <c r="S1004" t="s">
        <v>115</v>
      </c>
      <c r="T1004">
        <v>17</v>
      </c>
      <c r="U1004" t="s">
        <v>79</v>
      </c>
      <c r="V1004" t="s">
        <v>66</v>
      </c>
      <c r="W1004" t="str">
        <f t="shared" ca="1" si="47"/>
        <v>Dormant</v>
      </c>
    </row>
    <row r="1005" spans="1:23" x14ac:dyDescent="0.2">
      <c r="A1005">
        <v>1681</v>
      </c>
      <c r="B1005" t="s">
        <v>4692</v>
      </c>
      <c r="C1005" t="s">
        <v>4693</v>
      </c>
      <c r="D1005" s="1" t="s">
        <v>77</v>
      </c>
      <c r="E1005" t="s">
        <v>4694</v>
      </c>
      <c r="F1005" t="s">
        <v>579</v>
      </c>
      <c r="G1005" s="4" t="s">
        <v>5424</v>
      </c>
      <c r="H1005" t="s">
        <v>4695</v>
      </c>
      <c r="I1005" t="s">
        <v>201</v>
      </c>
      <c r="J1005" s="4" t="s">
        <v>74</v>
      </c>
      <c r="K1005" t="s">
        <v>24</v>
      </c>
      <c r="L1005">
        <v>1</v>
      </c>
      <c r="M1005" t="s">
        <v>77</v>
      </c>
      <c r="N1005" t="s">
        <v>661</v>
      </c>
      <c r="O1005" t="s">
        <v>661</v>
      </c>
      <c r="P1005" s="2" t="str">
        <f t="shared" si="45"/>
        <v>26/06/2025 to 01/07/2025</v>
      </c>
      <c r="Q1005" s="3">
        <v>45839</v>
      </c>
      <c r="R1005" t="str">
        <f t="shared" si="46"/>
        <v>On-Time</v>
      </c>
      <c r="S1005" t="s">
        <v>359</v>
      </c>
      <c r="T1005">
        <v>8</v>
      </c>
      <c r="U1005" t="s">
        <v>65</v>
      </c>
      <c r="V1005" t="s">
        <v>72</v>
      </c>
      <c r="W1005" t="str">
        <f t="shared" ca="1" si="47"/>
        <v>Dormant</v>
      </c>
    </row>
    <row r="1006" spans="1:23" x14ac:dyDescent="0.2">
      <c r="A1006">
        <v>1682</v>
      </c>
      <c r="B1006" t="s">
        <v>4692</v>
      </c>
      <c r="C1006" t="s">
        <v>4696</v>
      </c>
      <c r="D1006" s="1" t="s">
        <v>77</v>
      </c>
      <c r="E1006" t="s">
        <v>4694</v>
      </c>
      <c r="F1006" t="s">
        <v>579</v>
      </c>
      <c r="G1006" s="4" t="s">
        <v>5419</v>
      </c>
      <c r="H1006" t="s">
        <v>4695</v>
      </c>
      <c r="I1006" t="s">
        <v>201</v>
      </c>
      <c r="J1006" s="4" t="s">
        <v>5417</v>
      </c>
      <c r="K1006" t="s">
        <v>4697</v>
      </c>
      <c r="L1006">
        <v>4</v>
      </c>
      <c r="M1006" t="s">
        <v>78</v>
      </c>
      <c r="N1006" t="s">
        <v>664</v>
      </c>
      <c r="O1006" t="s">
        <v>78</v>
      </c>
      <c r="P1006" s="2" t="str">
        <f t="shared" si="45"/>
        <v>30/06/2025 to 03/07/2025</v>
      </c>
      <c r="Q1006" s="3">
        <v>45834</v>
      </c>
      <c r="R1006" t="str">
        <f t="shared" si="46"/>
        <v>Late</v>
      </c>
      <c r="S1006" t="s">
        <v>517</v>
      </c>
      <c r="T1006">
        <v>39</v>
      </c>
      <c r="U1006" t="s">
        <v>79</v>
      </c>
      <c r="V1006" t="s">
        <v>72</v>
      </c>
      <c r="W1006" t="str">
        <f t="shared" ca="1" si="47"/>
        <v>Dormant</v>
      </c>
    </row>
    <row r="1007" spans="1:23" x14ac:dyDescent="0.2">
      <c r="A1007">
        <v>1091</v>
      </c>
      <c r="B1007" t="s">
        <v>3282</v>
      </c>
      <c r="C1007" t="s">
        <v>3283</v>
      </c>
      <c r="D1007" s="1" t="s">
        <v>78</v>
      </c>
      <c r="E1007" t="s">
        <v>3284</v>
      </c>
      <c r="F1007" t="s">
        <v>553</v>
      </c>
      <c r="G1007" s="4" t="s">
        <v>5421</v>
      </c>
      <c r="H1007" t="s">
        <v>3285</v>
      </c>
      <c r="I1007" t="s">
        <v>201</v>
      </c>
      <c r="J1007" s="4" t="s">
        <v>5417</v>
      </c>
      <c r="K1007" t="s">
        <v>28</v>
      </c>
      <c r="L1007">
        <v>1</v>
      </c>
      <c r="M1007" t="s">
        <v>78</v>
      </c>
      <c r="N1007" t="s">
        <v>78</v>
      </c>
      <c r="O1007" t="s">
        <v>344</v>
      </c>
      <c r="P1007" s="2" t="str">
        <f t="shared" si="45"/>
        <v>30/06/2025 to 03/07/2025</v>
      </c>
      <c r="Q1007" s="3">
        <v>45837</v>
      </c>
      <c r="R1007" t="str">
        <f t="shared" si="46"/>
        <v>Late</v>
      </c>
      <c r="S1007" t="s">
        <v>115</v>
      </c>
      <c r="T1007">
        <v>9</v>
      </c>
      <c r="U1007" t="s">
        <v>79</v>
      </c>
      <c r="V1007" t="s">
        <v>80</v>
      </c>
      <c r="W1007" t="str">
        <f t="shared" ca="1" si="47"/>
        <v>Dormant</v>
      </c>
    </row>
    <row r="1008" spans="1:23" x14ac:dyDescent="0.2">
      <c r="A1008">
        <v>1092</v>
      </c>
      <c r="B1008" t="s">
        <v>3282</v>
      </c>
      <c r="C1008" t="s">
        <v>3286</v>
      </c>
      <c r="D1008" s="1" t="s">
        <v>78</v>
      </c>
      <c r="E1008" t="s">
        <v>3284</v>
      </c>
      <c r="F1008" t="s">
        <v>553</v>
      </c>
      <c r="G1008" s="4" t="s">
        <v>5422</v>
      </c>
      <c r="H1008" t="s">
        <v>3285</v>
      </c>
      <c r="I1008" t="s">
        <v>201</v>
      </c>
      <c r="J1008" s="4" t="s">
        <v>68</v>
      </c>
      <c r="K1008" t="s">
        <v>3287</v>
      </c>
      <c r="L1008">
        <v>3</v>
      </c>
      <c r="M1008" t="s">
        <v>344</v>
      </c>
      <c r="N1008" t="s">
        <v>523</v>
      </c>
      <c r="O1008" t="s">
        <v>344</v>
      </c>
      <c r="P1008" s="2" t="str">
        <f t="shared" si="45"/>
        <v>01/07/2025 to 04/07/2025</v>
      </c>
      <c r="Q1008" s="3">
        <v>45838</v>
      </c>
      <c r="R1008" t="str">
        <f t="shared" si="46"/>
        <v>Late</v>
      </c>
      <c r="S1008" t="s">
        <v>359</v>
      </c>
      <c r="T1008">
        <v>30.5</v>
      </c>
      <c r="U1008" t="s">
        <v>79</v>
      </c>
      <c r="V1008" t="s">
        <v>72</v>
      </c>
      <c r="W1008" t="str">
        <f t="shared" ca="1" si="47"/>
        <v>Dormant</v>
      </c>
    </row>
    <row r="1009" spans="1:23" x14ac:dyDescent="0.2">
      <c r="A1009">
        <v>1093</v>
      </c>
      <c r="B1009" t="s">
        <v>3282</v>
      </c>
      <c r="C1009" t="s">
        <v>3288</v>
      </c>
      <c r="D1009" s="1" t="s">
        <v>78</v>
      </c>
      <c r="E1009" t="s">
        <v>3284</v>
      </c>
      <c r="F1009" t="s">
        <v>553</v>
      </c>
      <c r="G1009" s="4" t="s">
        <v>5425</v>
      </c>
      <c r="H1009" t="s">
        <v>3285</v>
      </c>
      <c r="I1009" t="s">
        <v>201</v>
      </c>
      <c r="J1009" s="4" t="s">
        <v>60</v>
      </c>
      <c r="K1009" t="s">
        <v>6</v>
      </c>
      <c r="L1009">
        <v>1</v>
      </c>
      <c r="M1009" t="s">
        <v>664</v>
      </c>
      <c r="N1009" t="s">
        <v>523</v>
      </c>
      <c r="O1009" t="s">
        <v>523</v>
      </c>
      <c r="P1009" s="2" t="str">
        <f t="shared" si="45"/>
        <v>01/07/2025 to 04/07/2025</v>
      </c>
      <c r="Q1009" s="3">
        <v>45840</v>
      </c>
      <c r="R1009" t="str">
        <f t="shared" si="46"/>
        <v>On-Time</v>
      </c>
      <c r="S1009" t="s">
        <v>359</v>
      </c>
      <c r="T1009">
        <v>7.5</v>
      </c>
      <c r="U1009" t="s">
        <v>79</v>
      </c>
      <c r="V1009" t="s">
        <v>72</v>
      </c>
      <c r="W1009" t="str">
        <f t="shared" ca="1" si="47"/>
        <v>Dormant</v>
      </c>
    </row>
    <row r="1010" spans="1:23" x14ac:dyDescent="0.2">
      <c r="A1010">
        <v>1094</v>
      </c>
      <c r="B1010" t="s">
        <v>3282</v>
      </c>
      <c r="C1010" t="s">
        <v>3289</v>
      </c>
      <c r="D1010" s="1" t="s">
        <v>78</v>
      </c>
      <c r="E1010" t="s">
        <v>3284</v>
      </c>
      <c r="F1010" t="s">
        <v>553</v>
      </c>
      <c r="G1010" s="4" t="s">
        <v>5423</v>
      </c>
      <c r="H1010" t="s">
        <v>3285</v>
      </c>
      <c r="I1010" t="s">
        <v>201</v>
      </c>
      <c r="J1010" s="4" t="s">
        <v>68</v>
      </c>
      <c r="K1010" t="s">
        <v>3290</v>
      </c>
      <c r="L1010">
        <v>4</v>
      </c>
      <c r="M1010" t="s">
        <v>78</v>
      </c>
      <c r="N1010" t="s">
        <v>664</v>
      </c>
      <c r="O1010" t="s">
        <v>344</v>
      </c>
      <c r="P1010" s="2" t="str">
        <f t="shared" si="45"/>
        <v>30/06/2025 to 03/07/2025</v>
      </c>
      <c r="Q1010" s="3">
        <v>45841</v>
      </c>
      <c r="R1010" t="str">
        <f t="shared" si="46"/>
        <v>On-Time</v>
      </c>
      <c r="S1010" t="s">
        <v>921</v>
      </c>
      <c r="T1010">
        <v>42.5</v>
      </c>
      <c r="U1010" t="s">
        <v>65</v>
      </c>
      <c r="V1010" t="s">
        <v>80</v>
      </c>
      <c r="W1010" t="str">
        <f t="shared" ca="1" si="47"/>
        <v>Dormant</v>
      </c>
    </row>
    <row r="1011" spans="1:23" x14ac:dyDescent="0.2">
      <c r="A1011">
        <v>371</v>
      </c>
      <c r="B1011" t="s">
        <v>1454</v>
      </c>
      <c r="C1011" t="s">
        <v>1455</v>
      </c>
      <c r="D1011" s="1" t="s">
        <v>664</v>
      </c>
      <c r="E1011" t="s">
        <v>1456</v>
      </c>
      <c r="F1011" t="s">
        <v>134</v>
      </c>
      <c r="G1011" s="4" t="s">
        <v>5428</v>
      </c>
      <c r="H1011" t="s">
        <v>1457</v>
      </c>
      <c r="I1011" t="s">
        <v>59</v>
      </c>
      <c r="J1011" s="4" t="s">
        <v>5417</v>
      </c>
      <c r="K1011" t="s">
        <v>1458</v>
      </c>
      <c r="L1011">
        <v>2</v>
      </c>
      <c r="M1011" t="s">
        <v>664</v>
      </c>
      <c r="N1011" t="s">
        <v>523</v>
      </c>
      <c r="O1011" t="s">
        <v>344</v>
      </c>
      <c r="P1011" s="2" t="str">
        <f t="shared" si="45"/>
        <v>01/07/2025 to 04/07/2025</v>
      </c>
      <c r="Q1011" s="3">
        <v>45840</v>
      </c>
      <c r="R1011" t="str">
        <f t="shared" si="46"/>
        <v>On-Time</v>
      </c>
      <c r="S1011" t="s">
        <v>924</v>
      </c>
      <c r="T1011">
        <v>22</v>
      </c>
      <c r="U1011" t="s">
        <v>65</v>
      </c>
      <c r="V1011" t="s">
        <v>66</v>
      </c>
      <c r="W1011" t="str">
        <f t="shared" ca="1" si="47"/>
        <v>Dormant</v>
      </c>
    </row>
    <row r="1012" spans="1:23" x14ac:dyDescent="0.2">
      <c r="A1012">
        <v>372</v>
      </c>
      <c r="B1012" t="s">
        <v>1454</v>
      </c>
      <c r="C1012" t="s">
        <v>1459</v>
      </c>
      <c r="D1012" s="1" t="s">
        <v>664</v>
      </c>
      <c r="E1012" t="s">
        <v>1456</v>
      </c>
      <c r="F1012" t="s">
        <v>134</v>
      </c>
      <c r="G1012" s="4" t="s">
        <v>38</v>
      </c>
      <c r="H1012" t="s">
        <v>1457</v>
      </c>
      <c r="I1012" t="s">
        <v>59</v>
      </c>
      <c r="J1012" s="4" t="s">
        <v>60</v>
      </c>
      <c r="K1012" t="s">
        <v>1460</v>
      </c>
      <c r="L1012">
        <v>3</v>
      </c>
      <c r="M1012" t="s">
        <v>664</v>
      </c>
      <c r="N1012" t="s">
        <v>344</v>
      </c>
      <c r="O1012" t="s">
        <v>344</v>
      </c>
      <c r="P1012" s="2" t="str">
        <f t="shared" si="45"/>
        <v>01/07/2025 to 04/07/2025</v>
      </c>
      <c r="Q1012" s="3">
        <v>45837</v>
      </c>
      <c r="R1012" t="str">
        <f t="shared" si="46"/>
        <v>Late</v>
      </c>
      <c r="S1012" t="s">
        <v>114</v>
      </c>
      <c r="T1012">
        <v>24.5</v>
      </c>
      <c r="U1012" t="s">
        <v>65</v>
      </c>
      <c r="V1012" t="s">
        <v>72</v>
      </c>
      <c r="W1012" t="str">
        <f t="shared" ca="1" si="47"/>
        <v>Dormant</v>
      </c>
    </row>
    <row r="1013" spans="1:23" x14ac:dyDescent="0.2">
      <c r="A1013">
        <v>373</v>
      </c>
      <c r="B1013" t="s">
        <v>1454</v>
      </c>
      <c r="C1013" t="s">
        <v>1461</v>
      </c>
      <c r="D1013" s="1" t="s">
        <v>664</v>
      </c>
      <c r="E1013" t="s">
        <v>1456</v>
      </c>
      <c r="F1013" t="s">
        <v>134</v>
      </c>
      <c r="G1013" s="4" t="s">
        <v>5423</v>
      </c>
      <c r="H1013" t="s">
        <v>1457</v>
      </c>
      <c r="I1013" t="s">
        <v>59</v>
      </c>
      <c r="J1013" s="4" t="s">
        <v>74</v>
      </c>
      <c r="K1013" t="s">
        <v>1462</v>
      </c>
      <c r="L1013">
        <v>4</v>
      </c>
      <c r="M1013" t="s">
        <v>344</v>
      </c>
      <c r="N1013" t="s">
        <v>344</v>
      </c>
      <c r="O1013" t="s">
        <v>348</v>
      </c>
      <c r="P1013" s="2" t="str">
        <f t="shared" si="45"/>
        <v>01/07/2025 to 04/07/2025</v>
      </c>
      <c r="Q1013" s="3">
        <v>45842</v>
      </c>
      <c r="R1013" t="str">
        <f t="shared" si="46"/>
        <v>On-Time</v>
      </c>
      <c r="S1013" t="s">
        <v>411</v>
      </c>
      <c r="T1013">
        <v>33</v>
      </c>
      <c r="U1013" t="s">
        <v>79</v>
      </c>
      <c r="V1013" t="s">
        <v>80</v>
      </c>
      <c r="W1013" t="str">
        <f t="shared" ca="1" si="47"/>
        <v>Dormant</v>
      </c>
    </row>
    <row r="1014" spans="1:23" x14ac:dyDescent="0.2">
      <c r="A1014">
        <v>1825</v>
      </c>
      <c r="B1014" t="s">
        <v>5015</v>
      </c>
      <c r="C1014" t="s">
        <v>5016</v>
      </c>
      <c r="D1014" s="1" t="s">
        <v>664</v>
      </c>
      <c r="E1014" t="s">
        <v>5017</v>
      </c>
      <c r="F1014" t="s">
        <v>1920</v>
      </c>
      <c r="G1014" s="4" t="s">
        <v>5426</v>
      </c>
      <c r="H1014" t="s">
        <v>3574</v>
      </c>
      <c r="I1014" t="s">
        <v>93</v>
      </c>
      <c r="J1014" s="4" t="s">
        <v>74</v>
      </c>
      <c r="K1014" t="s">
        <v>32</v>
      </c>
      <c r="L1014">
        <v>1</v>
      </c>
      <c r="M1014" t="s">
        <v>664</v>
      </c>
      <c r="N1014" t="s">
        <v>664</v>
      </c>
      <c r="O1014" t="s">
        <v>523</v>
      </c>
      <c r="P1014" s="2" t="str">
        <f t="shared" si="45"/>
        <v>01/07/2025 to 04/07/2025</v>
      </c>
      <c r="Q1014" s="3">
        <v>45840</v>
      </c>
      <c r="R1014" t="str">
        <f t="shared" si="46"/>
        <v>On-Time</v>
      </c>
      <c r="S1014" t="s">
        <v>921</v>
      </c>
      <c r="T1014">
        <v>14</v>
      </c>
      <c r="U1014" t="s">
        <v>79</v>
      </c>
      <c r="V1014" t="s">
        <v>66</v>
      </c>
      <c r="W1014" t="str">
        <f t="shared" ca="1" si="47"/>
        <v>Dormant</v>
      </c>
    </row>
    <row r="1015" spans="1:23" x14ac:dyDescent="0.2">
      <c r="A1015">
        <v>1826</v>
      </c>
      <c r="B1015" t="s">
        <v>5015</v>
      </c>
      <c r="C1015" t="s">
        <v>5018</v>
      </c>
      <c r="D1015" s="1" t="s">
        <v>664</v>
      </c>
      <c r="E1015" t="s">
        <v>5017</v>
      </c>
      <c r="F1015" t="s">
        <v>1920</v>
      </c>
      <c r="G1015" s="4" t="s">
        <v>5424</v>
      </c>
      <c r="H1015" t="s">
        <v>3574</v>
      </c>
      <c r="I1015" t="s">
        <v>93</v>
      </c>
      <c r="J1015" s="4" t="s">
        <v>68</v>
      </c>
      <c r="K1015" t="s">
        <v>4790</v>
      </c>
      <c r="L1015">
        <v>2</v>
      </c>
      <c r="M1015" t="s">
        <v>344</v>
      </c>
      <c r="N1015" t="s">
        <v>523</v>
      </c>
      <c r="O1015" t="s">
        <v>348</v>
      </c>
      <c r="P1015" s="2" t="str">
        <f t="shared" si="45"/>
        <v>01/07/2025 to 04/07/2025</v>
      </c>
      <c r="Q1015" s="3">
        <v>45843</v>
      </c>
      <c r="R1015" t="str">
        <f t="shared" si="46"/>
        <v>Late</v>
      </c>
      <c r="S1015" t="s">
        <v>411</v>
      </c>
      <c r="T1015">
        <v>20</v>
      </c>
      <c r="U1015" t="s">
        <v>79</v>
      </c>
      <c r="V1015" t="s">
        <v>66</v>
      </c>
      <c r="W1015" t="str">
        <f t="shared" ca="1" si="47"/>
        <v>Dormant</v>
      </c>
    </row>
    <row r="1016" spans="1:23" x14ac:dyDescent="0.2">
      <c r="A1016">
        <v>1827</v>
      </c>
      <c r="B1016" t="s">
        <v>5015</v>
      </c>
      <c r="C1016" t="s">
        <v>5019</v>
      </c>
      <c r="D1016" s="1" t="s">
        <v>664</v>
      </c>
      <c r="E1016" t="s">
        <v>5017</v>
      </c>
      <c r="F1016" t="s">
        <v>1920</v>
      </c>
      <c r="G1016" s="4" t="s">
        <v>5428</v>
      </c>
      <c r="H1016" t="s">
        <v>3574</v>
      </c>
      <c r="I1016" t="s">
        <v>93</v>
      </c>
      <c r="J1016" s="4" t="s">
        <v>5417</v>
      </c>
      <c r="K1016" t="s">
        <v>1209</v>
      </c>
      <c r="L1016">
        <v>2</v>
      </c>
      <c r="M1016" t="s">
        <v>664</v>
      </c>
      <c r="N1016" t="s">
        <v>523</v>
      </c>
      <c r="O1016" t="s">
        <v>344</v>
      </c>
      <c r="P1016" s="2" t="str">
        <f t="shared" si="45"/>
        <v>01/07/2025 to 04/07/2025</v>
      </c>
      <c r="Q1016" s="3">
        <v>45839</v>
      </c>
      <c r="R1016" t="str">
        <f t="shared" si="46"/>
        <v>On-Time</v>
      </c>
      <c r="S1016" t="s">
        <v>358</v>
      </c>
      <c r="T1016">
        <v>19</v>
      </c>
      <c r="U1016" t="s">
        <v>65</v>
      </c>
      <c r="V1016" t="s">
        <v>66</v>
      </c>
      <c r="W1016" t="str">
        <f t="shared" ca="1" si="47"/>
        <v>Dormant</v>
      </c>
    </row>
    <row r="1017" spans="1:23" x14ac:dyDescent="0.2">
      <c r="A1017">
        <v>57</v>
      </c>
      <c r="B1017" t="s">
        <v>342</v>
      </c>
      <c r="C1017" t="s">
        <v>343</v>
      </c>
      <c r="D1017" s="1" t="s">
        <v>344</v>
      </c>
      <c r="E1017" t="s">
        <v>345</v>
      </c>
      <c r="F1017" t="s">
        <v>57</v>
      </c>
      <c r="G1017" s="4" t="s">
        <v>5426</v>
      </c>
      <c r="H1017" t="s">
        <v>346</v>
      </c>
      <c r="I1017" t="s">
        <v>93</v>
      </c>
      <c r="J1017" s="4" t="s">
        <v>60</v>
      </c>
      <c r="K1017" t="s">
        <v>347</v>
      </c>
      <c r="L1017">
        <v>3</v>
      </c>
      <c r="M1017" t="s">
        <v>348</v>
      </c>
      <c r="N1017" t="s">
        <v>349</v>
      </c>
      <c r="O1017" t="s">
        <v>350</v>
      </c>
      <c r="P1017" s="2" t="str">
        <f t="shared" si="45"/>
        <v>02/07/2025 to 07/07/2025</v>
      </c>
      <c r="Q1017" s="3">
        <v>45845</v>
      </c>
      <c r="R1017" t="str">
        <f t="shared" si="46"/>
        <v>On-Time</v>
      </c>
      <c r="S1017" t="s">
        <v>352</v>
      </c>
      <c r="T1017">
        <v>28</v>
      </c>
      <c r="U1017" t="s">
        <v>79</v>
      </c>
      <c r="V1017" t="s">
        <v>72</v>
      </c>
      <c r="W1017" t="str">
        <f t="shared" ca="1" si="47"/>
        <v>Dormant</v>
      </c>
    </row>
    <row r="1018" spans="1:23" x14ac:dyDescent="0.2">
      <c r="A1018">
        <v>1712</v>
      </c>
      <c r="B1018" t="s">
        <v>4764</v>
      </c>
      <c r="C1018" t="s">
        <v>4765</v>
      </c>
      <c r="D1018" s="1" t="s">
        <v>523</v>
      </c>
      <c r="E1018" t="s">
        <v>4766</v>
      </c>
      <c r="F1018" t="s">
        <v>579</v>
      </c>
      <c r="G1018" s="4" t="s">
        <v>38</v>
      </c>
      <c r="H1018" t="s">
        <v>4573</v>
      </c>
      <c r="I1018" t="s">
        <v>59</v>
      </c>
      <c r="J1018" s="4" t="s">
        <v>74</v>
      </c>
      <c r="K1018" t="s">
        <v>4767</v>
      </c>
      <c r="L1018">
        <v>4</v>
      </c>
      <c r="M1018" t="s">
        <v>348</v>
      </c>
      <c r="N1018" t="s">
        <v>350</v>
      </c>
      <c r="O1018" t="s">
        <v>348</v>
      </c>
      <c r="P1018" s="2" t="str">
        <f t="shared" si="45"/>
        <v>02/07/2025 to 07/07/2025</v>
      </c>
      <c r="Q1018" s="3">
        <v>45840</v>
      </c>
      <c r="R1018" t="str">
        <f t="shared" si="46"/>
        <v>On-Time</v>
      </c>
      <c r="S1018" t="s">
        <v>924</v>
      </c>
      <c r="T1018">
        <v>37.5</v>
      </c>
      <c r="U1018" t="s">
        <v>79</v>
      </c>
      <c r="V1018" t="s">
        <v>80</v>
      </c>
      <c r="W1018" t="str">
        <f t="shared" ca="1" si="47"/>
        <v>Dormant</v>
      </c>
    </row>
    <row r="1019" spans="1:23" x14ac:dyDescent="0.2">
      <c r="A1019">
        <v>1713</v>
      </c>
      <c r="B1019" t="s">
        <v>4764</v>
      </c>
      <c r="C1019" t="s">
        <v>4768</v>
      </c>
      <c r="D1019" s="1" t="s">
        <v>523</v>
      </c>
      <c r="E1019" t="s">
        <v>4766</v>
      </c>
      <c r="F1019" t="s">
        <v>579</v>
      </c>
      <c r="G1019" s="4" t="s">
        <v>5425</v>
      </c>
      <c r="H1019" t="s">
        <v>4573</v>
      </c>
      <c r="I1019" t="s">
        <v>59</v>
      </c>
      <c r="J1019" s="4" t="s">
        <v>74</v>
      </c>
      <c r="K1019" t="s">
        <v>1090</v>
      </c>
      <c r="L1019">
        <v>2</v>
      </c>
      <c r="M1019" t="s">
        <v>348</v>
      </c>
      <c r="N1019" t="s">
        <v>348</v>
      </c>
      <c r="O1019" t="s">
        <v>350</v>
      </c>
      <c r="P1019" s="2" t="str">
        <f t="shared" si="45"/>
        <v>02/07/2025 to 07/07/2025</v>
      </c>
      <c r="Q1019" s="3">
        <v>45845</v>
      </c>
      <c r="R1019" t="str">
        <f t="shared" si="46"/>
        <v>On-Time</v>
      </c>
      <c r="S1019" t="s">
        <v>351</v>
      </c>
      <c r="T1019">
        <v>18</v>
      </c>
      <c r="U1019" t="s">
        <v>79</v>
      </c>
      <c r="V1019" t="s">
        <v>72</v>
      </c>
      <c r="W1019" t="str">
        <f t="shared" ca="1" si="47"/>
        <v>Dormant</v>
      </c>
    </row>
    <row r="1020" spans="1:23" x14ac:dyDescent="0.2">
      <c r="A1020">
        <v>1714</v>
      </c>
      <c r="B1020" t="s">
        <v>4764</v>
      </c>
      <c r="C1020" t="s">
        <v>4769</v>
      </c>
      <c r="D1020" s="1" t="s">
        <v>523</v>
      </c>
      <c r="E1020" t="s">
        <v>4766</v>
      </c>
      <c r="F1020" t="s">
        <v>579</v>
      </c>
      <c r="G1020" s="4" t="s">
        <v>5425</v>
      </c>
      <c r="H1020" t="s">
        <v>4573</v>
      </c>
      <c r="I1020" t="s">
        <v>59</v>
      </c>
      <c r="J1020" s="4" t="s">
        <v>68</v>
      </c>
      <c r="K1020" t="s">
        <v>4770</v>
      </c>
      <c r="L1020">
        <v>4</v>
      </c>
      <c r="M1020" t="s">
        <v>523</v>
      </c>
      <c r="N1020" t="s">
        <v>523</v>
      </c>
      <c r="O1020" t="s">
        <v>523</v>
      </c>
      <c r="P1020" s="2" t="str">
        <f t="shared" si="45"/>
        <v>01/07/2025 to 04/07/2025</v>
      </c>
      <c r="Q1020" s="3">
        <v>45841</v>
      </c>
      <c r="R1020" t="str">
        <f t="shared" si="46"/>
        <v>On-Time</v>
      </c>
      <c r="S1020" t="s">
        <v>921</v>
      </c>
      <c r="T1020">
        <v>43</v>
      </c>
      <c r="U1020" t="s">
        <v>79</v>
      </c>
      <c r="V1020" t="s">
        <v>80</v>
      </c>
      <c r="W1020" t="str">
        <f t="shared" ca="1" si="47"/>
        <v>Dormant</v>
      </c>
    </row>
    <row r="1021" spans="1:23" x14ac:dyDescent="0.2">
      <c r="A1021">
        <v>193</v>
      </c>
      <c r="B1021" t="s">
        <v>914</v>
      </c>
      <c r="C1021" t="s">
        <v>915</v>
      </c>
      <c r="D1021" s="1" t="s">
        <v>348</v>
      </c>
      <c r="E1021" t="s">
        <v>916</v>
      </c>
      <c r="F1021" t="s">
        <v>490</v>
      </c>
      <c r="G1021" s="4" t="s">
        <v>5422</v>
      </c>
      <c r="H1021" t="s">
        <v>917</v>
      </c>
      <c r="I1021" t="s">
        <v>59</v>
      </c>
      <c r="J1021" s="4" t="s">
        <v>5417</v>
      </c>
      <c r="K1021" t="s">
        <v>918</v>
      </c>
      <c r="L1021">
        <v>2</v>
      </c>
      <c r="M1021" t="s">
        <v>348</v>
      </c>
      <c r="N1021" t="s">
        <v>349</v>
      </c>
      <c r="O1021" t="s">
        <v>349</v>
      </c>
      <c r="P1021" s="2" t="str">
        <f t="shared" si="45"/>
        <v>02/07/2025 to 07/07/2025</v>
      </c>
      <c r="Q1021" s="3">
        <v>45845</v>
      </c>
      <c r="R1021" t="str">
        <f t="shared" si="46"/>
        <v>On-Time</v>
      </c>
      <c r="S1021" t="s">
        <v>415</v>
      </c>
      <c r="T1021">
        <v>24</v>
      </c>
      <c r="U1021" t="s">
        <v>79</v>
      </c>
      <c r="V1021" t="s">
        <v>72</v>
      </c>
      <c r="W1021" t="str">
        <f t="shared" ca="1" si="47"/>
        <v>Dormant</v>
      </c>
    </row>
    <row r="1022" spans="1:23" x14ac:dyDescent="0.2">
      <c r="A1022">
        <v>194</v>
      </c>
      <c r="B1022" t="s">
        <v>914</v>
      </c>
      <c r="C1022" t="s">
        <v>919</v>
      </c>
      <c r="D1022" s="1" t="s">
        <v>348</v>
      </c>
      <c r="E1022" t="s">
        <v>916</v>
      </c>
      <c r="F1022" t="s">
        <v>490</v>
      </c>
      <c r="G1022" s="4" t="s">
        <v>5423</v>
      </c>
      <c r="H1022" t="s">
        <v>917</v>
      </c>
      <c r="I1022" t="s">
        <v>59</v>
      </c>
      <c r="J1022" s="4" t="s">
        <v>60</v>
      </c>
      <c r="K1022" t="s">
        <v>920</v>
      </c>
      <c r="L1022">
        <v>4</v>
      </c>
      <c r="M1022" t="s">
        <v>348</v>
      </c>
      <c r="N1022" t="s">
        <v>349</v>
      </c>
      <c r="O1022" t="s">
        <v>348</v>
      </c>
      <c r="P1022" s="2" t="str">
        <f t="shared" si="45"/>
        <v>02/07/2025 to 07/07/2025</v>
      </c>
      <c r="Q1022" s="3">
        <v>45842</v>
      </c>
      <c r="R1022" t="str">
        <f t="shared" si="46"/>
        <v>On-Time</v>
      </c>
      <c r="S1022" t="s">
        <v>411</v>
      </c>
      <c r="T1022">
        <v>43.5</v>
      </c>
      <c r="U1022" t="s">
        <v>79</v>
      </c>
      <c r="V1022" t="s">
        <v>66</v>
      </c>
      <c r="W1022" t="str">
        <f t="shared" ca="1" si="47"/>
        <v>Dormant</v>
      </c>
    </row>
    <row r="1023" spans="1:23" x14ac:dyDescent="0.2">
      <c r="A1023">
        <v>195</v>
      </c>
      <c r="B1023" t="s">
        <v>914</v>
      </c>
      <c r="C1023" t="s">
        <v>922</v>
      </c>
      <c r="D1023" s="1" t="s">
        <v>348</v>
      </c>
      <c r="E1023" t="s">
        <v>916</v>
      </c>
      <c r="F1023" t="s">
        <v>490</v>
      </c>
      <c r="G1023" s="4" t="s">
        <v>5418</v>
      </c>
      <c r="H1023" t="s">
        <v>917</v>
      </c>
      <c r="I1023" t="s">
        <v>59</v>
      </c>
      <c r="J1023" s="4" t="s">
        <v>68</v>
      </c>
      <c r="K1023" t="s">
        <v>923</v>
      </c>
      <c r="L1023">
        <v>4</v>
      </c>
      <c r="M1023" t="s">
        <v>350</v>
      </c>
      <c r="N1023" t="s">
        <v>108</v>
      </c>
      <c r="O1023" t="s">
        <v>108</v>
      </c>
      <c r="P1023" s="2" t="str">
        <f t="shared" si="45"/>
        <v>03/07/2025 to 08/07/2025</v>
      </c>
      <c r="Q1023" s="3">
        <v>45841</v>
      </c>
      <c r="R1023" t="str">
        <f t="shared" si="46"/>
        <v>On-Time</v>
      </c>
      <c r="S1023" t="s">
        <v>921</v>
      </c>
      <c r="T1023">
        <v>36.5</v>
      </c>
      <c r="U1023" t="s">
        <v>79</v>
      </c>
      <c r="V1023" t="s">
        <v>80</v>
      </c>
      <c r="W1023" t="str">
        <f t="shared" ca="1" si="47"/>
        <v>Dormant</v>
      </c>
    </row>
    <row r="1024" spans="1:23" x14ac:dyDescent="0.2">
      <c r="A1024">
        <v>196</v>
      </c>
      <c r="B1024" t="s">
        <v>914</v>
      </c>
      <c r="C1024" t="s">
        <v>925</v>
      </c>
      <c r="D1024" s="1" t="s">
        <v>348</v>
      </c>
      <c r="E1024" t="s">
        <v>916</v>
      </c>
      <c r="F1024" t="s">
        <v>490</v>
      </c>
      <c r="G1024" s="4" t="s">
        <v>5418</v>
      </c>
      <c r="H1024" t="s">
        <v>917</v>
      </c>
      <c r="I1024" t="s">
        <v>59</v>
      </c>
      <c r="J1024" s="4" t="s">
        <v>5417</v>
      </c>
      <c r="K1024" t="s">
        <v>26</v>
      </c>
      <c r="L1024">
        <v>1</v>
      </c>
      <c r="M1024" t="s">
        <v>349</v>
      </c>
      <c r="N1024" t="s">
        <v>108</v>
      </c>
      <c r="O1024" t="s">
        <v>517</v>
      </c>
      <c r="P1024" s="2" t="str">
        <f t="shared" si="45"/>
        <v>04/07/2025 to 09/07/2025</v>
      </c>
      <c r="Q1024" s="3">
        <v>45842</v>
      </c>
      <c r="R1024" t="str">
        <f t="shared" si="46"/>
        <v>On-Time</v>
      </c>
      <c r="S1024" t="s">
        <v>411</v>
      </c>
      <c r="T1024">
        <v>9</v>
      </c>
      <c r="U1024" t="s">
        <v>79</v>
      </c>
      <c r="V1024" t="s">
        <v>66</v>
      </c>
      <c r="W1024" t="str">
        <f t="shared" ca="1" si="47"/>
        <v>Dormant</v>
      </c>
    </row>
    <row r="1025" spans="1:23" x14ac:dyDescent="0.2">
      <c r="A1025">
        <v>290</v>
      </c>
      <c r="B1025" t="s">
        <v>1231</v>
      </c>
      <c r="C1025" t="s">
        <v>1232</v>
      </c>
      <c r="D1025" s="1" t="s">
        <v>348</v>
      </c>
      <c r="E1025" t="s">
        <v>1233</v>
      </c>
      <c r="F1025" t="s">
        <v>179</v>
      </c>
      <c r="G1025" s="4" t="s">
        <v>5423</v>
      </c>
      <c r="H1025" t="s">
        <v>267</v>
      </c>
      <c r="I1025" t="s">
        <v>59</v>
      </c>
      <c r="J1025" s="4" t="s">
        <v>68</v>
      </c>
      <c r="K1025" t="s">
        <v>1234</v>
      </c>
      <c r="L1025">
        <v>2</v>
      </c>
      <c r="M1025" t="s">
        <v>350</v>
      </c>
      <c r="N1025" t="s">
        <v>350</v>
      </c>
      <c r="O1025" t="s">
        <v>108</v>
      </c>
      <c r="P1025" s="2" t="str">
        <f t="shared" si="45"/>
        <v>03/07/2025 to 08/07/2025</v>
      </c>
      <c r="Q1025" s="3">
        <v>45846</v>
      </c>
      <c r="R1025" t="str">
        <f t="shared" si="46"/>
        <v>On-Time</v>
      </c>
      <c r="S1025" t="s">
        <v>352</v>
      </c>
      <c r="T1025">
        <v>17</v>
      </c>
      <c r="U1025" t="s">
        <v>65</v>
      </c>
      <c r="V1025" t="s">
        <v>66</v>
      </c>
      <c r="W1025" t="str">
        <f t="shared" ca="1" si="47"/>
        <v>Dormant</v>
      </c>
    </row>
    <row r="1026" spans="1:23" x14ac:dyDescent="0.2">
      <c r="A1026">
        <v>291</v>
      </c>
      <c r="B1026" t="s">
        <v>1231</v>
      </c>
      <c r="C1026" t="s">
        <v>1235</v>
      </c>
      <c r="D1026" s="1" t="s">
        <v>348</v>
      </c>
      <c r="E1026" t="s">
        <v>1233</v>
      </c>
      <c r="F1026" t="s">
        <v>179</v>
      </c>
      <c r="G1026" s="4" t="s">
        <v>5422</v>
      </c>
      <c r="H1026" t="s">
        <v>267</v>
      </c>
      <c r="I1026" t="s">
        <v>59</v>
      </c>
      <c r="J1026" s="4" t="s">
        <v>60</v>
      </c>
      <c r="K1026" t="s">
        <v>6</v>
      </c>
      <c r="L1026">
        <v>1</v>
      </c>
      <c r="M1026" t="s">
        <v>349</v>
      </c>
      <c r="N1026" t="s">
        <v>349</v>
      </c>
      <c r="O1026" t="s">
        <v>349</v>
      </c>
      <c r="P1026" s="2" t="str">
        <f t="shared" ref="P1026:P1089" si="48">IF(ISBLANK(M1026), "", TEXT(WORKDAY(M1026, 7), "dd/mm/yyyy") &amp; " to " &amp; TEXT(WORKDAY(M1026, 10), "dd/mm/yyyy"))</f>
        <v>04/07/2025 to 09/07/2025</v>
      </c>
      <c r="Q1026" s="3">
        <v>45840</v>
      </c>
      <c r="R1026" t="str">
        <f t="shared" ref="R1026:R1089" si="49">IF(Q1026="","In Progress",
IF(AND(--Q1026&gt;=DATEVALUE(LEFT(P1026,10)),
       --Q1026&lt;=DATEVALUE(TRIM(MID(P1026,FIND("to",P1026)+3,10)))),
   "On-Time","Late"))</f>
        <v>Late</v>
      </c>
      <c r="S1026" t="s">
        <v>924</v>
      </c>
      <c r="T1026">
        <v>7.5</v>
      </c>
      <c r="U1026" t="s">
        <v>65</v>
      </c>
      <c r="V1026" t="s">
        <v>80</v>
      </c>
      <c r="W1026" t="str">
        <f t="shared" ca="1" si="47"/>
        <v>Dormant</v>
      </c>
    </row>
    <row r="1027" spans="1:23" x14ac:dyDescent="0.2">
      <c r="A1027">
        <v>292</v>
      </c>
      <c r="B1027" t="s">
        <v>1231</v>
      </c>
      <c r="C1027" t="s">
        <v>1236</v>
      </c>
      <c r="D1027" s="1" t="s">
        <v>348</v>
      </c>
      <c r="E1027" t="s">
        <v>1233</v>
      </c>
      <c r="F1027" t="s">
        <v>179</v>
      </c>
      <c r="G1027" s="4" t="s">
        <v>5427</v>
      </c>
      <c r="H1027" t="s">
        <v>267</v>
      </c>
      <c r="I1027" t="s">
        <v>59</v>
      </c>
      <c r="J1027" s="4" t="s">
        <v>74</v>
      </c>
      <c r="K1027" t="s">
        <v>14</v>
      </c>
      <c r="L1027">
        <v>1</v>
      </c>
      <c r="M1027" t="s">
        <v>348</v>
      </c>
      <c r="N1027" t="s">
        <v>348</v>
      </c>
      <c r="O1027" t="s">
        <v>348</v>
      </c>
      <c r="P1027" s="2" t="str">
        <f t="shared" si="48"/>
        <v>02/07/2025 to 07/07/2025</v>
      </c>
      <c r="Q1027" s="3">
        <v>45844</v>
      </c>
      <c r="R1027" t="str">
        <f t="shared" si="49"/>
        <v>On-Time</v>
      </c>
      <c r="S1027" t="s">
        <v>411</v>
      </c>
      <c r="T1027">
        <v>9.5</v>
      </c>
      <c r="U1027" t="s">
        <v>79</v>
      </c>
      <c r="V1027" t="s">
        <v>72</v>
      </c>
      <c r="W1027" t="str">
        <f t="shared" ref="W1027:W1090" ca="1" si="50">IF(D1027="","",
IF(TODAY()-D1027&lt;=120,"Active",
IF(TODAY()-D1027&lt;=210,"At Risk",
IF(TODAY()-D1027&lt;=395,"Dormant",
IF(TODAY()-D1027&lt;=730,"Inactive","Archived")))))</f>
        <v>Dormant</v>
      </c>
    </row>
    <row r="1028" spans="1:23" x14ac:dyDescent="0.2">
      <c r="A1028">
        <v>1364</v>
      </c>
      <c r="B1028" t="s">
        <v>3931</v>
      </c>
      <c r="C1028" t="s">
        <v>3932</v>
      </c>
      <c r="D1028" s="1" t="s">
        <v>348</v>
      </c>
      <c r="E1028" t="s">
        <v>3933</v>
      </c>
      <c r="F1028" t="s">
        <v>121</v>
      </c>
      <c r="G1028" s="4" t="s">
        <v>5421</v>
      </c>
      <c r="H1028" t="s">
        <v>3934</v>
      </c>
      <c r="I1028" t="s">
        <v>59</v>
      </c>
      <c r="J1028" s="4" t="s">
        <v>68</v>
      </c>
      <c r="K1028" t="s">
        <v>3935</v>
      </c>
      <c r="L1028">
        <v>4</v>
      </c>
      <c r="M1028" t="s">
        <v>348</v>
      </c>
      <c r="N1028" t="s">
        <v>350</v>
      </c>
      <c r="O1028" t="s">
        <v>349</v>
      </c>
      <c r="P1028" s="2" t="str">
        <f t="shared" si="48"/>
        <v>02/07/2025 to 07/07/2025</v>
      </c>
      <c r="Q1028" s="3">
        <v>45841</v>
      </c>
      <c r="R1028" t="str">
        <f t="shared" si="49"/>
        <v>On-Time</v>
      </c>
      <c r="S1028" t="s">
        <v>924</v>
      </c>
      <c r="T1028">
        <v>43</v>
      </c>
      <c r="U1028" t="s">
        <v>79</v>
      </c>
      <c r="V1028" t="s">
        <v>80</v>
      </c>
      <c r="W1028" t="str">
        <f t="shared" ca="1" si="50"/>
        <v>Dormant</v>
      </c>
    </row>
    <row r="1029" spans="1:23" x14ac:dyDescent="0.2">
      <c r="A1029">
        <v>1365</v>
      </c>
      <c r="B1029" t="s">
        <v>3931</v>
      </c>
      <c r="C1029" t="s">
        <v>3936</v>
      </c>
      <c r="D1029" s="1" t="s">
        <v>348</v>
      </c>
      <c r="E1029" t="s">
        <v>3933</v>
      </c>
      <c r="F1029" t="s">
        <v>121</v>
      </c>
      <c r="G1029" s="4" t="s">
        <v>5427</v>
      </c>
      <c r="H1029" t="s">
        <v>3934</v>
      </c>
      <c r="I1029" t="s">
        <v>59</v>
      </c>
      <c r="J1029" s="4" t="s">
        <v>60</v>
      </c>
      <c r="K1029" t="s">
        <v>3937</v>
      </c>
      <c r="L1029">
        <v>4</v>
      </c>
      <c r="M1029" t="s">
        <v>350</v>
      </c>
      <c r="N1029" t="s">
        <v>350</v>
      </c>
      <c r="O1029" t="s">
        <v>349</v>
      </c>
      <c r="P1029" s="2" t="str">
        <f t="shared" si="48"/>
        <v>03/07/2025 to 08/07/2025</v>
      </c>
      <c r="Q1029" s="3">
        <v>45841</v>
      </c>
      <c r="R1029" t="str">
        <f t="shared" si="49"/>
        <v>On-Time</v>
      </c>
      <c r="S1029" t="s">
        <v>404</v>
      </c>
      <c r="T1029">
        <v>34.5</v>
      </c>
      <c r="U1029" t="s">
        <v>79</v>
      </c>
      <c r="V1029" t="s">
        <v>72</v>
      </c>
      <c r="W1029" t="str">
        <f t="shared" ca="1" si="50"/>
        <v>Dormant</v>
      </c>
    </row>
    <row r="1030" spans="1:23" x14ac:dyDescent="0.2">
      <c r="A1030">
        <v>1366</v>
      </c>
      <c r="B1030" t="s">
        <v>3931</v>
      </c>
      <c r="C1030" t="s">
        <v>3938</v>
      </c>
      <c r="D1030" s="1" t="s">
        <v>348</v>
      </c>
      <c r="E1030" t="s">
        <v>3933</v>
      </c>
      <c r="F1030" t="s">
        <v>121</v>
      </c>
      <c r="G1030" s="4" t="s">
        <v>5421</v>
      </c>
      <c r="H1030" t="s">
        <v>3934</v>
      </c>
      <c r="I1030" t="s">
        <v>59</v>
      </c>
      <c r="J1030" s="4" t="s">
        <v>68</v>
      </c>
      <c r="K1030" t="s">
        <v>3939</v>
      </c>
      <c r="L1030">
        <v>3</v>
      </c>
      <c r="M1030" t="s">
        <v>349</v>
      </c>
      <c r="N1030" t="s">
        <v>349</v>
      </c>
      <c r="O1030" t="s">
        <v>108</v>
      </c>
      <c r="P1030" s="2" t="str">
        <f t="shared" si="48"/>
        <v>04/07/2025 to 09/07/2025</v>
      </c>
      <c r="Q1030" s="3">
        <v>45847</v>
      </c>
      <c r="R1030" t="str">
        <f t="shared" si="49"/>
        <v>On-Time</v>
      </c>
      <c r="S1030" t="s">
        <v>855</v>
      </c>
      <c r="T1030">
        <v>30</v>
      </c>
      <c r="U1030" t="s">
        <v>65</v>
      </c>
      <c r="V1030" t="s">
        <v>72</v>
      </c>
      <c r="W1030" t="str">
        <f t="shared" ca="1" si="50"/>
        <v>Dormant</v>
      </c>
    </row>
    <row r="1031" spans="1:23" x14ac:dyDescent="0.2">
      <c r="A1031">
        <v>1935</v>
      </c>
      <c r="B1031" t="s">
        <v>5259</v>
      </c>
      <c r="C1031" t="s">
        <v>5260</v>
      </c>
      <c r="D1031" s="1" t="s">
        <v>348</v>
      </c>
      <c r="E1031" t="s">
        <v>5261</v>
      </c>
      <c r="F1031" t="s">
        <v>371</v>
      </c>
      <c r="G1031" s="4" t="s">
        <v>5421</v>
      </c>
      <c r="H1031" t="s">
        <v>5262</v>
      </c>
      <c r="I1031" t="s">
        <v>59</v>
      </c>
      <c r="J1031" s="4" t="s">
        <v>60</v>
      </c>
      <c r="K1031" t="s">
        <v>304</v>
      </c>
      <c r="L1031">
        <v>2</v>
      </c>
      <c r="M1031" t="s">
        <v>350</v>
      </c>
      <c r="N1031" t="s">
        <v>349</v>
      </c>
      <c r="O1031" t="s">
        <v>349</v>
      </c>
      <c r="P1031" s="2" t="str">
        <f t="shared" si="48"/>
        <v>03/07/2025 to 08/07/2025</v>
      </c>
      <c r="Q1031" s="3">
        <v>45841</v>
      </c>
      <c r="R1031" t="str">
        <f t="shared" si="49"/>
        <v>On-Time</v>
      </c>
      <c r="S1031" t="s">
        <v>921</v>
      </c>
      <c r="T1031">
        <v>21</v>
      </c>
      <c r="U1031" t="s">
        <v>65</v>
      </c>
      <c r="V1031" t="s">
        <v>72</v>
      </c>
      <c r="W1031" t="str">
        <f t="shared" ca="1" si="50"/>
        <v>Dormant</v>
      </c>
    </row>
    <row r="1032" spans="1:23" x14ac:dyDescent="0.2">
      <c r="A1032">
        <v>1936</v>
      </c>
      <c r="B1032" t="s">
        <v>5259</v>
      </c>
      <c r="C1032" t="s">
        <v>5263</v>
      </c>
      <c r="D1032" s="1" t="s">
        <v>348</v>
      </c>
      <c r="E1032" t="s">
        <v>5261</v>
      </c>
      <c r="F1032" t="s">
        <v>371</v>
      </c>
      <c r="G1032" s="4" t="s">
        <v>5423</v>
      </c>
      <c r="H1032" t="s">
        <v>5262</v>
      </c>
      <c r="I1032" t="s">
        <v>59</v>
      </c>
      <c r="J1032" s="4" t="s">
        <v>74</v>
      </c>
      <c r="K1032" t="s">
        <v>5264</v>
      </c>
      <c r="L1032">
        <v>4</v>
      </c>
      <c r="M1032" t="s">
        <v>350</v>
      </c>
      <c r="N1032" t="s">
        <v>349</v>
      </c>
      <c r="O1032" t="s">
        <v>349</v>
      </c>
      <c r="P1032" s="2" t="str">
        <f t="shared" si="48"/>
        <v>03/07/2025 to 08/07/2025</v>
      </c>
      <c r="Q1032" s="3">
        <v>45840</v>
      </c>
      <c r="R1032" t="str">
        <f t="shared" si="49"/>
        <v>Late</v>
      </c>
      <c r="S1032" t="s">
        <v>921</v>
      </c>
      <c r="T1032">
        <v>39.5</v>
      </c>
      <c r="U1032" t="s">
        <v>79</v>
      </c>
      <c r="V1032" t="s">
        <v>80</v>
      </c>
      <c r="W1032" t="str">
        <f t="shared" ca="1" si="50"/>
        <v>Dormant</v>
      </c>
    </row>
    <row r="1033" spans="1:23" x14ac:dyDescent="0.2">
      <c r="A1033">
        <v>1937</v>
      </c>
      <c r="B1033" t="s">
        <v>5259</v>
      </c>
      <c r="C1033" t="s">
        <v>5265</v>
      </c>
      <c r="D1033" s="1" t="s">
        <v>348</v>
      </c>
      <c r="E1033" t="s">
        <v>5261</v>
      </c>
      <c r="F1033" t="s">
        <v>371</v>
      </c>
      <c r="G1033" s="4" t="s">
        <v>5423</v>
      </c>
      <c r="H1033" t="s">
        <v>5262</v>
      </c>
      <c r="I1033" t="s">
        <v>59</v>
      </c>
      <c r="J1033" s="4" t="s">
        <v>5417</v>
      </c>
      <c r="K1033" t="s">
        <v>1845</v>
      </c>
      <c r="L1033">
        <v>2</v>
      </c>
      <c r="M1033" t="s">
        <v>350</v>
      </c>
      <c r="N1033" t="s">
        <v>349</v>
      </c>
      <c r="O1033" t="s">
        <v>350</v>
      </c>
      <c r="P1033" s="2" t="str">
        <f t="shared" si="48"/>
        <v>03/07/2025 to 08/07/2025</v>
      </c>
      <c r="Q1033" s="3">
        <v>45844</v>
      </c>
      <c r="R1033" t="str">
        <f t="shared" si="49"/>
        <v>On-Time</v>
      </c>
      <c r="S1033" t="s">
        <v>415</v>
      </c>
      <c r="T1033">
        <v>25</v>
      </c>
      <c r="U1033" t="s">
        <v>79</v>
      </c>
      <c r="V1033" t="s">
        <v>72</v>
      </c>
      <c r="W1033" t="str">
        <f t="shared" ca="1" si="50"/>
        <v>Dormant</v>
      </c>
    </row>
    <row r="1034" spans="1:23" x14ac:dyDescent="0.2">
      <c r="A1034">
        <v>702</v>
      </c>
      <c r="B1034" t="s">
        <v>2342</v>
      </c>
      <c r="C1034" t="s">
        <v>2343</v>
      </c>
      <c r="D1034" s="1" t="s">
        <v>350</v>
      </c>
      <c r="E1034" t="s">
        <v>2344</v>
      </c>
      <c r="F1034" t="s">
        <v>286</v>
      </c>
      <c r="G1034" s="4" t="s">
        <v>5424</v>
      </c>
      <c r="H1034" t="s">
        <v>2110</v>
      </c>
      <c r="I1034" t="s">
        <v>93</v>
      </c>
      <c r="J1034" s="4" t="s">
        <v>5417</v>
      </c>
      <c r="K1034" t="s">
        <v>32</v>
      </c>
      <c r="L1034">
        <v>1</v>
      </c>
      <c r="M1034" t="s">
        <v>349</v>
      </c>
      <c r="N1034" t="s">
        <v>517</v>
      </c>
      <c r="O1034" t="s">
        <v>517</v>
      </c>
      <c r="P1034" s="2" t="str">
        <f t="shared" si="48"/>
        <v>04/07/2025 to 09/07/2025</v>
      </c>
      <c r="Q1034" s="3">
        <v>45846</v>
      </c>
      <c r="R1034" t="str">
        <f t="shared" si="49"/>
        <v>On-Time</v>
      </c>
      <c r="S1034" t="s">
        <v>352</v>
      </c>
      <c r="T1034">
        <v>14</v>
      </c>
      <c r="U1034" t="s">
        <v>65</v>
      </c>
      <c r="V1034" t="s">
        <v>80</v>
      </c>
      <c r="W1034" t="str">
        <f t="shared" ca="1" si="50"/>
        <v>Dormant</v>
      </c>
    </row>
    <row r="1035" spans="1:23" x14ac:dyDescent="0.2">
      <c r="A1035">
        <v>703</v>
      </c>
      <c r="B1035" t="s">
        <v>2342</v>
      </c>
      <c r="C1035" t="s">
        <v>2345</v>
      </c>
      <c r="D1035" s="1" t="s">
        <v>350</v>
      </c>
      <c r="E1035" t="s">
        <v>2344</v>
      </c>
      <c r="F1035" t="s">
        <v>286</v>
      </c>
      <c r="G1035" s="4" t="s">
        <v>5420</v>
      </c>
      <c r="H1035" t="s">
        <v>2110</v>
      </c>
      <c r="I1035" t="s">
        <v>93</v>
      </c>
      <c r="J1035" s="4" t="s">
        <v>68</v>
      </c>
      <c r="K1035" t="s">
        <v>2346</v>
      </c>
      <c r="L1035">
        <v>4</v>
      </c>
      <c r="M1035" t="s">
        <v>108</v>
      </c>
      <c r="N1035" t="s">
        <v>517</v>
      </c>
      <c r="O1035" t="s">
        <v>517</v>
      </c>
      <c r="P1035" s="2" t="str">
        <f t="shared" si="48"/>
        <v>07/07/2025 to 10/07/2025</v>
      </c>
      <c r="Q1035" s="3">
        <v>45848</v>
      </c>
      <c r="R1035" t="str">
        <f t="shared" si="49"/>
        <v>On-Time</v>
      </c>
      <c r="S1035" t="s">
        <v>360</v>
      </c>
      <c r="T1035">
        <v>39</v>
      </c>
      <c r="U1035" t="s">
        <v>79</v>
      </c>
      <c r="V1035" t="s">
        <v>72</v>
      </c>
      <c r="W1035" t="str">
        <f t="shared" ca="1" si="50"/>
        <v>Dormant</v>
      </c>
    </row>
    <row r="1036" spans="1:23" x14ac:dyDescent="0.2">
      <c r="A1036">
        <v>704</v>
      </c>
      <c r="B1036" t="s">
        <v>2342</v>
      </c>
      <c r="C1036" t="s">
        <v>2347</v>
      </c>
      <c r="D1036" s="1" t="s">
        <v>350</v>
      </c>
      <c r="E1036" t="s">
        <v>2344</v>
      </c>
      <c r="F1036" t="s">
        <v>286</v>
      </c>
      <c r="G1036" s="4" t="s">
        <v>5428</v>
      </c>
      <c r="H1036" t="s">
        <v>2110</v>
      </c>
      <c r="I1036" t="s">
        <v>93</v>
      </c>
      <c r="J1036" s="4" t="s">
        <v>68</v>
      </c>
      <c r="K1036" t="s">
        <v>8</v>
      </c>
      <c r="L1036">
        <v>1</v>
      </c>
      <c r="M1036" t="s">
        <v>350</v>
      </c>
      <c r="N1036" t="s">
        <v>350</v>
      </c>
      <c r="O1036" t="s">
        <v>349</v>
      </c>
      <c r="P1036" s="2" t="str">
        <f t="shared" si="48"/>
        <v>03/07/2025 to 08/07/2025</v>
      </c>
      <c r="Q1036" s="3">
        <v>45840</v>
      </c>
      <c r="R1036" t="str">
        <f t="shared" si="49"/>
        <v>Late</v>
      </c>
      <c r="S1036" t="s">
        <v>924</v>
      </c>
      <c r="T1036">
        <v>9</v>
      </c>
      <c r="U1036" t="s">
        <v>79</v>
      </c>
      <c r="V1036" t="s">
        <v>66</v>
      </c>
      <c r="W1036" t="str">
        <f t="shared" ca="1" si="50"/>
        <v>Dormant</v>
      </c>
    </row>
    <row r="1037" spans="1:23" x14ac:dyDescent="0.2">
      <c r="A1037">
        <v>965</v>
      </c>
      <c r="B1037" t="s">
        <v>2980</v>
      </c>
      <c r="C1037" t="s">
        <v>2981</v>
      </c>
      <c r="D1037" s="1" t="s">
        <v>350</v>
      </c>
      <c r="E1037" t="s">
        <v>2982</v>
      </c>
      <c r="F1037" t="s">
        <v>91</v>
      </c>
      <c r="G1037" s="4" t="s">
        <v>5426</v>
      </c>
      <c r="H1037" t="s">
        <v>2983</v>
      </c>
      <c r="I1037" t="s">
        <v>201</v>
      </c>
      <c r="J1037" s="4" t="s">
        <v>60</v>
      </c>
      <c r="K1037" t="s">
        <v>755</v>
      </c>
      <c r="L1037">
        <v>2</v>
      </c>
      <c r="M1037" t="s">
        <v>108</v>
      </c>
      <c r="N1037" t="s">
        <v>108</v>
      </c>
      <c r="O1037" t="s">
        <v>108</v>
      </c>
      <c r="P1037" s="2" t="str">
        <f t="shared" si="48"/>
        <v>07/07/2025 to 10/07/2025</v>
      </c>
      <c r="Q1037" s="3">
        <v>45842</v>
      </c>
      <c r="R1037" t="str">
        <f t="shared" si="49"/>
        <v>Late</v>
      </c>
      <c r="S1037" t="s">
        <v>921</v>
      </c>
      <c r="T1037">
        <v>23.5</v>
      </c>
      <c r="U1037" t="s">
        <v>65</v>
      </c>
      <c r="V1037" t="s">
        <v>66</v>
      </c>
      <c r="W1037" t="str">
        <f t="shared" ca="1" si="50"/>
        <v>Dormant</v>
      </c>
    </row>
    <row r="1038" spans="1:23" x14ac:dyDescent="0.2">
      <c r="A1038">
        <v>966</v>
      </c>
      <c r="B1038" t="s">
        <v>2980</v>
      </c>
      <c r="C1038" t="s">
        <v>2984</v>
      </c>
      <c r="D1038" s="1" t="s">
        <v>350</v>
      </c>
      <c r="E1038" t="s">
        <v>2982</v>
      </c>
      <c r="F1038" t="s">
        <v>91</v>
      </c>
      <c r="G1038" s="4" t="s">
        <v>5425</v>
      </c>
      <c r="H1038" t="s">
        <v>2983</v>
      </c>
      <c r="I1038" t="s">
        <v>201</v>
      </c>
      <c r="J1038" s="4" t="s">
        <v>74</v>
      </c>
      <c r="K1038" t="s">
        <v>328</v>
      </c>
      <c r="L1038">
        <v>2</v>
      </c>
      <c r="M1038" t="s">
        <v>108</v>
      </c>
      <c r="N1038" t="s">
        <v>113</v>
      </c>
      <c r="O1038" t="s">
        <v>517</v>
      </c>
      <c r="P1038" s="2" t="str">
        <f t="shared" si="48"/>
        <v>07/07/2025 to 10/07/2025</v>
      </c>
      <c r="Q1038" s="3">
        <v>45848</v>
      </c>
      <c r="R1038" t="str">
        <f t="shared" si="49"/>
        <v>On-Time</v>
      </c>
      <c r="S1038" t="s">
        <v>116</v>
      </c>
      <c r="T1038">
        <v>17</v>
      </c>
      <c r="U1038" t="s">
        <v>79</v>
      </c>
      <c r="V1038" t="s">
        <v>66</v>
      </c>
      <c r="W1038" t="str">
        <f t="shared" ca="1" si="50"/>
        <v>Dormant</v>
      </c>
    </row>
    <row r="1039" spans="1:23" x14ac:dyDescent="0.2">
      <c r="A1039">
        <v>967</v>
      </c>
      <c r="B1039" t="s">
        <v>2980</v>
      </c>
      <c r="C1039" t="s">
        <v>2985</v>
      </c>
      <c r="D1039" s="1" t="s">
        <v>350</v>
      </c>
      <c r="E1039" t="s">
        <v>2982</v>
      </c>
      <c r="F1039" t="s">
        <v>91</v>
      </c>
      <c r="G1039" s="4" t="s">
        <v>5422</v>
      </c>
      <c r="H1039" t="s">
        <v>2983</v>
      </c>
      <c r="I1039" t="s">
        <v>201</v>
      </c>
      <c r="J1039" s="4" t="s">
        <v>74</v>
      </c>
      <c r="K1039" t="s">
        <v>26</v>
      </c>
      <c r="L1039">
        <v>1</v>
      </c>
      <c r="M1039" t="s">
        <v>349</v>
      </c>
      <c r="N1039" t="s">
        <v>108</v>
      </c>
      <c r="O1039" t="s">
        <v>108</v>
      </c>
      <c r="P1039" s="2" t="str">
        <f t="shared" si="48"/>
        <v>04/07/2025 to 09/07/2025</v>
      </c>
      <c r="Q1039" s="3">
        <v>45847</v>
      </c>
      <c r="R1039" t="str">
        <f t="shared" si="49"/>
        <v>On-Time</v>
      </c>
      <c r="S1039" t="s">
        <v>360</v>
      </c>
      <c r="T1039">
        <v>9</v>
      </c>
      <c r="U1039" t="s">
        <v>65</v>
      </c>
      <c r="V1039" t="s">
        <v>66</v>
      </c>
      <c r="W1039" t="str">
        <f t="shared" ca="1" si="50"/>
        <v>Dormant</v>
      </c>
    </row>
    <row r="1040" spans="1:23" x14ac:dyDescent="0.2">
      <c r="A1040">
        <v>1136</v>
      </c>
      <c r="B1040" t="s">
        <v>3397</v>
      </c>
      <c r="C1040" t="s">
        <v>3398</v>
      </c>
      <c r="D1040" s="1" t="s">
        <v>350</v>
      </c>
      <c r="E1040" t="s">
        <v>3399</v>
      </c>
      <c r="F1040" t="s">
        <v>286</v>
      </c>
      <c r="G1040" s="4" t="s">
        <v>38</v>
      </c>
      <c r="H1040" t="s">
        <v>2488</v>
      </c>
      <c r="I1040" t="s">
        <v>59</v>
      </c>
      <c r="J1040" s="4" t="s">
        <v>5417</v>
      </c>
      <c r="K1040" t="s">
        <v>3400</v>
      </c>
      <c r="L1040">
        <v>2</v>
      </c>
      <c r="M1040" t="s">
        <v>349</v>
      </c>
      <c r="N1040" t="s">
        <v>108</v>
      </c>
      <c r="O1040" t="s">
        <v>517</v>
      </c>
      <c r="P1040" s="2" t="str">
        <f t="shared" si="48"/>
        <v>04/07/2025 to 09/07/2025</v>
      </c>
      <c r="Q1040" s="3">
        <v>45842</v>
      </c>
      <c r="R1040" t="str">
        <f t="shared" si="49"/>
        <v>On-Time</v>
      </c>
      <c r="S1040" t="s">
        <v>921</v>
      </c>
      <c r="T1040">
        <v>18.5</v>
      </c>
      <c r="U1040" t="s">
        <v>65</v>
      </c>
      <c r="V1040" t="s">
        <v>72</v>
      </c>
      <c r="W1040" t="str">
        <f t="shared" ca="1" si="50"/>
        <v>Dormant</v>
      </c>
    </row>
    <row r="1041" spans="1:23" x14ac:dyDescent="0.2">
      <c r="A1041">
        <v>1137</v>
      </c>
      <c r="B1041" t="s">
        <v>3397</v>
      </c>
      <c r="C1041" t="s">
        <v>3401</v>
      </c>
      <c r="D1041" s="1" t="s">
        <v>350</v>
      </c>
      <c r="E1041" t="s">
        <v>3399</v>
      </c>
      <c r="F1041" t="s">
        <v>286</v>
      </c>
      <c r="G1041" s="4" t="s">
        <v>5419</v>
      </c>
      <c r="H1041" t="s">
        <v>2488</v>
      </c>
      <c r="I1041" t="s">
        <v>59</v>
      </c>
      <c r="J1041" s="4" t="s">
        <v>5417</v>
      </c>
      <c r="K1041" t="s">
        <v>715</v>
      </c>
      <c r="L1041">
        <v>2</v>
      </c>
      <c r="M1041" t="s">
        <v>350</v>
      </c>
      <c r="N1041" t="s">
        <v>350</v>
      </c>
      <c r="O1041" t="s">
        <v>350</v>
      </c>
      <c r="P1041" s="2" t="str">
        <f t="shared" si="48"/>
        <v>03/07/2025 to 08/07/2025</v>
      </c>
      <c r="Q1041" s="3">
        <v>45842</v>
      </c>
      <c r="R1041" t="str">
        <f t="shared" si="49"/>
        <v>On-Time</v>
      </c>
      <c r="S1041" t="s">
        <v>921</v>
      </c>
      <c r="T1041">
        <v>21.5</v>
      </c>
      <c r="U1041" t="s">
        <v>79</v>
      </c>
      <c r="V1041" t="s">
        <v>80</v>
      </c>
      <c r="W1041" t="str">
        <f t="shared" ca="1" si="50"/>
        <v>Dormant</v>
      </c>
    </row>
    <row r="1042" spans="1:23" x14ac:dyDescent="0.2">
      <c r="A1042">
        <v>1138</v>
      </c>
      <c r="B1042" t="s">
        <v>3397</v>
      </c>
      <c r="C1042" t="s">
        <v>3402</v>
      </c>
      <c r="D1042" s="1" t="s">
        <v>350</v>
      </c>
      <c r="E1042" t="s">
        <v>3399</v>
      </c>
      <c r="F1042" t="s">
        <v>286</v>
      </c>
      <c r="G1042" s="4" t="s">
        <v>5421</v>
      </c>
      <c r="H1042" t="s">
        <v>2488</v>
      </c>
      <c r="I1042" t="s">
        <v>59</v>
      </c>
      <c r="J1042" s="4" t="s">
        <v>74</v>
      </c>
      <c r="K1042" t="s">
        <v>3403</v>
      </c>
      <c r="L1042">
        <v>4</v>
      </c>
      <c r="M1042" t="s">
        <v>349</v>
      </c>
      <c r="N1042" t="s">
        <v>108</v>
      </c>
      <c r="O1042" t="s">
        <v>108</v>
      </c>
      <c r="P1042" s="2" t="str">
        <f t="shared" si="48"/>
        <v>04/07/2025 to 09/07/2025</v>
      </c>
      <c r="Q1042" s="3">
        <v>45846</v>
      </c>
      <c r="R1042" t="str">
        <f t="shared" si="49"/>
        <v>On-Time</v>
      </c>
      <c r="S1042" t="s">
        <v>415</v>
      </c>
      <c r="T1042">
        <v>35.5</v>
      </c>
      <c r="U1042" t="s">
        <v>79</v>
      </c>
      <c r="V1042" t="s">
        <v>72</v>
      </c>
      <c r="W1042" t="str">
        <f t="shared" ca="1" si="50"/>
        <v>Dormant</v>
      </c>
    </row>
    <row r="1043" spans="1:23" x14ac:dyDescent="0.2">
      <c r="A1043">
        <v>1139</v>
      </c>
      <c r="B1043" t="s">
        <v>3397</v>
      </c>
      <c r="C1043" t="s">
        <v>3404</v>
      </c>
      <c r="D1043" s="1" t="s">
        <v>350</v>
      </c>
      <c r="E1043" t="s">
        <v>3399</v>
      </c>
      <c r="F1043" t="s">
        <v>286</v>
      </c>
      <c r="G1043" s="4" t="s">
        <v>5425</v>
      </c>
      <c r="H1043" t="s">
        <v>2488</v>
      </c>
      <c r="I1043" t="s">
        <v>59</v>
      </c>
      <c r="J1043" s="4" t="s">
        <v>5417</v>
      </c>
      <c r="K1043" t="s">
        <v>14</v>
      </c>
      <c r="L1043">
        <v>1</v>
      </c>
      <c r="M1043" t="s">
        <v>349</v>
      </c>
      <c r="N1043" t="s">
        <v>517</v>
      </c>
      <c r="O1043" t="s">
        <v>517</v>
      </c>
      <c r="P1043" s="2" t="str">
        <f t="shared" si="48"/>
        <v>04/07/2025 to 09/07/2025</v>
      </c>
      <c r="Q1043" s="3">
        <v>45843</v>
      </c>
      <c r="R1043" t="str">
        <f t="shared" si="49"/>
        <v>On-Time</v>
      </c>
      <c r="S1043" t="s">
        <v>411</v>
      </c>
      <c r="T1043">
        <v>9.5</v>
      </c>
      <c r="U1043" t="s">
        <v>79</v>
      </c>
      <c r="V1043" t="s">
        <v>80</v>
      </c>
      <c r="W1043" t="str">
        <f t="shared" ca="1" si="50"/>
        <v>Dormant</v>
      </c>
    </row>
    <row r="1044" spans="1:23" x14ac:dyDescent="0.2">
      <c r="A1044">
        <v>1249</v>
      </c>
      <c r="B1044" t="s">
        <v>3662</v>
      </c>
      <c r="C1044" t="s">
        <v>3663</v>
      </c>
      <c r="D1044" s="1" t="s">
        <v>350</v>
      </c>
      <c r="E1044" t="s">
        <v>3664</v>
      </c>
      <c r="F1044" t="s">
        <v>1723</v>
      </c>
      <c r="G1044" s="4" t="s">
        <v>5418</v>
      </c>
      <c r="H1044" t="s">
        <v>1745</v>
      </c>
      <c r="I1044" t="s">
        <v>59</v>
      </c>
      <c r="J1044" s="4" t="s">
        <v>68</v>
      </c>
      <c r="K1044" t="s">
        <v>3665</v>
      </c>
      <c r="L1044">
        <v>4</v>
      </c>
      <c r="M1044" t="s">
        <v>108</v>
      </c>
      <c r="N1044" t="s">
        <v>113</v>
      </c>
      <c r="O1044" t="s">
        <v>113</v>
      </c>
      <c r="P1044" s="2" t="str">
        <f t="shared" si="48"/>
        <v>07/07/2025 to 10/07/2025</v>
      </c>
      <c r="Q1044" s="3">
        <v>45847</v>
      </c>
      <c r="R1044" t="str">
        <f t="shared" si="49"/>
        <v>On-Time</v>
      </c>
      <c r="S1044" t="s">
        <v>360</v>
      </c>
      <c r="T1044">
        <v>39</v>
      </c>
      <c r="U1044" t="s">
        <v>79</v>
      </c>
      <c r="V1044" t="s">
        <v>66</v>
      </c>
      <c r="W1044" t="str">
        <f t="shared" ca="1" si="50"/>
        <v>Dormant</v>
      </c>
    </row>
    <row r="1045" spans="1:23" x14ac:dyDescent="0.2">
      <c r="A1045">
        <v>1250</v>
      </c>
      <c r="B1045" t="s">
        <v>3662</v>
      </c>
      <c r="C1045" t="s">
        <v>3666</v>
      </c>
      <c r="D1045" s="1" t="s">
        <v>350</v>
      </c>
      <c r="E1045" t="s">
        <v>3664</v>
      </c>
      <c r="F1045" t="s">
        <v>1723</v>
      </c>
      <c r="G1045" s="4" t="s">
        <v>5420</v>
      </c>
      <c r="H1045" t="s">
        <v>1745</v>
      </c>
      <c r="I1045" t="s">
        <v>59</v>
      </c>
      <c r="J1045" s="4" t="s">
        <v>60</v>
      </c>
      <c r="K1045" t="s">
        <v>3667</v>
      </c>
      <c r="L1045">
        <v>3</v>
      </c>
      <c r="M1045" t="s">
        <v>350</v>
      </c>
      <c r="N1045" t="s">
        <v>108</v>
      </c>
      <c r="O1045" t="s">
        <v>108</v>
      </c>
      <c r="P1045" s="2" t="str">
        <f t="shared" si="48"/>
        <v>03/07/2025 to 08/07/2025</v>
      </c>
      <c r="Q1045" s="3">
        <v>45845</v>
      </c>
      <c r="R1045" t="str">
        <f t="shared" si="49"/>
        <v>On-Time</v>
      </c>
      <c r="S1045" t="s">
        <v>415</v>
      </c>
      <c r="T1045">
        <v>28.5</v>
      </c>
      <c r="U1045" t="s">
        <v>65</v>
      </c>
      <c r="V1045" t="s">
        <v>66</v>
      </c>
      <c r="W1045" t="str">
        <f t="shared" ca="1" si="50"/>
        <v>Dormant</v>
      </c>
    </row>
    <row r="1046" spans="1:23" x14ac:dyDescent="0.2">
      <c r="A1046">
        <v>1251</v>
      </c>
      <c r="B1046" t="s">
        <v>3662</v>
      </c>
      <c r="C1046" t="s">
        <v>3668</v>
      </c>
      <c r="D1046" s="1" t="s">
        <v>350</v>
      </c>
      <c r="E1046" t="s">
        <v>3664</v>
      </c>
      <c r="F1046" t="s">
        <v>1723</v>
      </c>
      <c r="G1046" s="4" t="s">
        <v>5427</v>
      </c>
      <c r="H1046" t="s">
        <v>1745</v>
      </c>
      <c r="I1046" t="s">
        <v>59</v>
      </c>
      <c r="J1046" s="4" t="s">
        <v>74</v>
      </c>
      <c r="K1046" t="s">
        <v>20</v>
      </c>
      <c r="L1046">
        <v>1</v>
      </c>
      <c r="M1046" t="s">
        <v>108</v>
      </c>
      <c r="N1046" t="s">
        <v>517</v>
      </c>
      <c r="O1046" t="s">
        <v>108</v>
      </c>
      <c r="P1046" s="2" t="str">
        <f t="shared" si="48"/>
        <v>07/07/2025 to 10/07/2025</v>
      </c>
      <c r="Q1046" s="3">
        <v>45843</v>
      </c>
      <c r="R1046" t="str">
        <f t="shared" si="49"/>
        <v>Late</v>
      </c>
      <c r="S1046" t="s">
        <v>411</v>
      </c>
      <c r="T1046">
        <v>10.5</v>
      </c>
      <c r="U1046" t="s">
        <v>79</v>
      </c>
      <c r="V1046" t="s">
        <v>66</v>
      </c>
      <c r="W1046" t="str">
        <f t="shared" ca="1" si="50"/>
        <v>Dormant</v>
      </c>
    </row>
    <row r="1047" spans="1:23" x14ac:dyDescent="0.2">
      <c r="A1047">
        <v>1196</v>
      </c>
      <c r="B1047" t="s">
        <v>3532</v>
      </c>
      <c r="C1047" t="s">
        <v>3533</v>
      </c>
      <c r="D1047" s="1" t="s">
        <v>349</v>
      </c>
      <c r="E1047" t="s">
        <v>3534</v>
      </c>
      <c r="F1047" t="s">
        <v>490</v>
      </c>
      <c r="G1047" s="4" t="s">
        <v>5423</v>
      </c>
      <c r="H1047" t="s">
        <v>3535</v>
      </c>
      <c r="I1047" t="s">
        <v>201</v>
      </c>
      <c r="J1047" s="4" t="s">
        <v>74</v>
      </c>
      <c r="K1047" t="s">
        <v>12</v>
      </c>
      <c r="L1047">
        <v>1</v>
      </c>
      <c r="M1047" t="s">
        <v>349</v>
      </c>
      <c r="N1047" t="s">
        <v>517</v>
      </c>
      <c r="O1047" t="s">
        <v>517</v>
      </c>
      <c r="P1047" s="2" t="str">
        <f t="shared" si="48"/>
        <v>04/07/2025 to 09/07/2025</v>
      </c>
      <c r="Q1047" s="3">
        <v>45845</v>
      </c>
      <c r="R1047" t="str">
        <f t="shared" si="49"/>
        <v>On-Time</v>
      </c>
      <c r="S1047" t="s">
        <v>352</v>
      </c>
      <c r="T1047">
        <v>9.5</v>
      </c>
      <c r="U1047" t="s">
        <v>79</v>
      </c>
      <c r="V1047" t="s">
        <v>80</v>
      </c>
      <c r="W1047" t="str">
        <f t="shared" ca="1" si="50"/>
        <v>Dormant</v>
      </c>
    </row>
    <row r="1048" spans="1:23" x14ac:dyDescent="0.2">
      <c r="A1048">
        <v>9</v>
      </c>
      <c r="B1048" t="s">
        <v>106</v>
      </c>
      <c r="C1048" t="s">
        <v>107</v>
      </c>
      <c r="D1048" s="1" t="s">
        <v>108</v>
      </c>
      <c r="E1048" t="s">
        <v>109</v>
      </c>
      <c r="F1048" t="s">
        <v>110</v>
      </c>
      <c r="G1048" s="4" t="s">
        <v>5427</v>
      </c>
      <c r="H1048" t="s">
        <v>111</v>
      </c>
      <c r="I1048" t="s">
        <v>112</v>
      </c>
      <c r="J1048" s="4" t="s">
        <v>5417</v>
      </c>
      <c r="K1048" t="s">
        <v>28</v>
      </c>
      <c r="L1048">
        <v>1</v>
      </c>
      <c r="M1048" t="s">
        <v>113</v>
      </c>
      <c r="N1048" t="s">
        <v>114</v>
      </c>
      <c r="O1048" t="s">
        <v>115</v>
      </c>
      <c r="P1048" s="2" t="str">
        <f t="shared" si="48"/>
        <v>08/07/2025 to 11/07/2025</v>
      </c>
      <c r="Q1048" s="3">
        <v>45850</v>
      </c>
      <c r="R1048" t="str">
        <f t="shared" si="49"/>
        <v>Late</v>
      </c>
      <c r="S1048" t="s">
        <v>116</v>
      </c>
      <c r="T1048">
        <v>9</v>
      </c>
      <c r="U1048" t="s">
        <v>79</v>
      </c>
      <c r="V1048" t="s">
        <v>66</v>
      </c>
      <c r="W1048" t="str">
        <f t="shared" ca="1" si="50"/>
        <v>Dormant</v>
      </c>
    </row>
    <row r="1049" spans="1:23" x14ac:dyDescent="0.2">
      <c r="A1049">
        <v>1052</v>
      </c>
      <c r="B1049" t="s">
        <v>3188</v>
      </c>
      <c r="C1049" t="s">
        <v>3189</v>
      </c>
      <c r="D1049" s="1" t="s">
        <v>108</v>
      </c>
      <c r="E1049" t="s">
        <v>3190</v>
      </c>
      <c r="F1049" t="s">
        <v>110</v>
      </c>
      <c r="G1049" s="4" t="s">
        <v>5422</v>
      </c>
      <c r="H1049" t="s">
        <v>3191</v>
      </c>
      <c r="I1049" t="s">
        <v>112</v>
      </c>
      <c r="J1049" s="4" t="s">
        <v>5417</v>
      </c>
      <c r="K1049" t="s">
        <v>3192</v>
      </c>
      <c r="L1049">
        <v>2</v>
      </c>
      <c r="M1049" t="s">
        <v>108</v>
      </c>
      <c r="N1049" t="s">
        <v>517</v>
      </c>
      <c r="O1049" t="s">
        <v>517</v>
      </c>
      <c r="P1049" s="2" t="str">
        <f t="shared" si="48"/>
        <v>07/07/2025 to 10/07/2025</v>
      </c>
      <c r="Q1049" s="3">
        <v>45846</v>
      </c>
      <c r="R1049" t="str">
        <f t="shared" si="49"/>
        <v>On-Time</v>
      </c>
      <c r="S1049" t="s">
        <v>352</v>
      </c>
      <c r="T1049">
        <v>19.5</v>
      </c>
      <c r="U1049" t="s">
        <v>79</v>
      </c>
      <c r="V1049" t="s">
        <v>66</v>
      </c>
      <c r="W1049" t="str">
        <f t="shared" ca="1" si="50"/>
        <v>Dormant</v>
      </c>
    </row>
    <row r="1050" spans="1:23" x14ac:dyDescent="0.2">
      <c r="A1050">
        <v>1053</v>
      </c>
      <c r="B1050" t="s">
        <v>3188</v>
      </c>
      <c r="C1050" t="s">
        <v>3193</v>
      </c>
      <c r="D1050" s="1" t="s">
        <v>108</v>
      </c>
      <c r="E1050" t="s">
        <v>3190</v>
      </c>
      <c r="F1050" t="s">
        <v>110</v>
      </c>
      <c r="G1050" s="4" t="s">
        <v>5421</v>
      </c>
      <c r="H1050" t="s">
        <v>3191</v>
      </c>
      <c r="I1050" t="s">
        <v>112</v>
      </c>
      <c r="J1050" s="4" t="s">
        <v>5417</v>
      </c>
      <c r="K1050" t="s">
        <v>2193</v>
      </c>
      <c r="L1050">
        <v>2</v>
      </c>
      <c r="M1050" t="s">
        <v>108</v>
      </c>
      <c r="N1050" t="s">
        <v>108</v>
      </c>
      <c r="O1050" t="s">
        <v>517</v>
      </c>
      <c r="P1050" s="2" t="str">
        <f t="shared" si="48"/>
        <v>07/07/2025 to 10/07/2025</v>
      </c>
      <c r="Q1050" s="3">
        <v>45848</v>
      </c>
      <c r="R1050" t="str">
        <f t="shared" si="49"/>
        <v>On-Time</v>
      </c>
      <c r="S1050" t="s">
        <v>360</v>
      </c>
      <c r="T1050">
        <v>22.5</v>
      </c>
      <c r="U1050" t="s">
        <v>79</v>
      </c>
      <c r="V1050" t="s">
        <v>72</v>
      </c>
      <c r="W1050" t="str">
        <f t="shared" ca="1" si="50"/>
        <v>Dormant</v>
      </c>
    </row>
    <row r="1051" spans="1:23" x14ac:dyDescent="0.2">
      <c r="A1051">
        <v>1054</v>
      </c>
      <c r="B1051" t="s">
        <v>3188</v>
      </c>
      <c r="C1051" t="s">
        <v>3194</v>
      </c>
      <c r="D1051" s="1" t="s">
        <v>108</v>
      </c>
      <c r="E1051" t="s">
        <v>3190</v>
      </c>
      <c r="F1051" t="s">
        <v>110</v>
      </c>
      <c r="G1051" s="4" t="s">
        <v>5422</v>
      </c>
      <c r="H1051" t="s">
        <v>3191</v>
      </c>
      <c r="I1051" t="s">
        <v>112</v>
      </c>
      <c r="J1051" s="4" t="s">
        <v>74</v>
      </c>
      <c r="K1051" t="s">
        <v>6</v>
      </c>
      <c r="L1051">
        <v>1</v>
      </c>
      <c r="M1051" t="s">
        <v>517</v>
      </c>
      <c r="N1051" t="s">
        <v>113</v>
      </c>
      <c r="O1051" t="s">
        <v>113</v>
      </c>
      <c r="P1051" s="2" t="str">
        <f t="shared" si="48"/>
        <v>08/07/2025 to 11/07/2025</v>
      </c>
      <c r="Q1051" s="3">
        <v>45848</v>
      </c>
      <c r="R1051" t="str">
        <f t="shared" si="49"/>
        <v>On-Time</v>
      </c>
      <c r="S1051" t="s">
        <v>116</v>
      </c>
      <c r="T1051">
        <v>7.5</v>
      </c>
      <c r="U1051" t="s">
        <v>65</v>
      </c>
      <c r="V1051" t="s">
        <v>80</v>
      </c>
      <c r="W1051" t="str">
        <f t="shared" ca="1" si="50"/>
        <v>Dormant</v>
      </c>
    </row>
    <row r="1052" spans="1:23" x14ac:dyDescent="0.2">
      <c r="A1052">
        <v>1055</v>
      </c>
      <c r="B1052" t="s">
        <v>3188</v>
      </c>
      <c r="C1052" t="s">
        <v>3195</v>
      </c>
      <c r="D1052" s="1" t="s">
        <v>108</v>
      </c>
      <c r="E1052" t="s">
        <v>3190</v>
      </c>
      <c r="F1052" t="s">
        <v>110</v>
      </c>
      <c r="G1052" s="4" t="s">
        <v>5423</v>
      </c>
      <c r="H1052" t="s">
        <v>3191</v>
      </c>
      <c r="I1052" t="s">
        <v>112</v>
      </c>
      <c r="J1052" s="4" t="s">
        <v>74</v>
      </c>
      <c r="K1052" t="s">
        <v>1729</v>
      </c>
      <c r="L1052">
        <v>3</v>
      </c>
      <c r="M1052" t="s">
        <v>517</v>
      </c>
      <c r="N1052" t="s">
        <v>114</v>
      </c>
      <c r="O1052" t="s">
        <v>113</v>
      </c>
      <c r="P1052" s="2" t="str">
        <f t="shared" si="48"/>
        <v>08/07/2025 to 11/07/2025</v>
      </c>
      <c r="Q1052" s="3">
        <v>45843</v>
      </c>
      <c r="R1052" t="str">
        <f t="shared" si="49"/>
        <v>Late</v>
      </c>
      <c r="S1052" t="s">
        <v>351</v>
      </c>
      <c r="T1052">
        <v>25</v>
      </c>
      <c r="U1052" t="s">
        <v>79</v>
      </c>
      <c r="V1052" t="s">
        <v>80</v>
      </c>
      <c r="W1052" t="str">
        <f t="shared" ca="1" si="50"/>
        <v>Dormant</v>
      </c>
    </row>
    <row r="1053" spans="1:23" x14ac:dyDescent="0.2">
      <c r="A1053">
        <v>1424</v>
      </c>
      <c r="B1053" t="s">
        <v>4078</v>
      </c>
      <c r="C1053" t="s">
        <v>4079</v>
      </c>
      <c r="D1053" s="1" t="s">
        <v>108</v>
      </c>
      <c r="E1053" t="s">
        <v>4080</v>
      </c>
      <c r="F1053" t="s">
        <v>1077</v>
      </c>
      <c r="G1053" s="4" t="s">
        <v>5423</v>
      </c>
      <c r="H1053" t="s">
        <v>2135</v>
      </c>
      <c r="I1053" t="s">
        <v>112</v>
      </c>
      <c r="J1053" s="4" t="s">
        <v>5417</v>
      </c>
      <c r="K1053" t="s">
        <v>4081</v>
      </c>
      <c r="L1053">
        <v>3</v>
      </c>
      <c r="M1053" t="s">
        <v>108</v>
      </c>
      <c r="N1053" t="s">
        <v>108</v>
      </c>
      <c r="O1053" t="s">
        <v>108</v>
      </c>
      <c r="P1053" s="2" t="str">
        <f t="shared" si="48"/>
        <v>07/07/2025 to 10/07/2025</v>
      </c>
      <c r="Q1053" s="3">
        <v>45841</v>
      </c>
      <c r="R1053" t="str">
        <f t="shared" si="49"/>
        <v>Late</v>
      </c>
      <c r="S1053" t="s">
        <v>404</v>
      </c>
      <c r="T1053">
        <v>33</v>
      </c>
      <c r="U1053" t="s">
        <v>65</v>
      </c>
      <c r="V1053" t="s">
        <v>80</v>
      </c>
      <c r="W1053" t="str">
        <f t="shared" ca="1" si="50"/>
        <v>Dormant</v>
      </c>
    </row>
    <row r="1054" spans="1:23" x14ac:dyDescent="0.2">
      <c r="A1054">
        <v>1659</v>
      </c>
      <c r="B1054" t="s">
        <v>4642</v>
      </c>
      <c r="C1054" t="s">
        <v>4643</v>
      </c>
      <c r="D1054" s="1" t="s">
        <v>108</v>
      </c>
      <c r="E1054" t="s">
        <v>4644</v>
      </c>
      <c r="F1054" t="s">
        <v>995</v>
      </c>
      <c r="G1054" s="4" t="s">
        <v>5428</v>
      </c>
      <c r="H1054" t="s">
        <v>4645</v>
      </c>
      <c r="I1054" t="s">
        <v>201</v>
      </c>
      <c r="J1054" s="4" t="s">
        <v>5417</v>
      </c>
      <c r="K1054" t="s">
        <v>24</v>
      </c>
      <c r="L1054">
        <v>1</v>
      </c>
      <c r="M1054" t="s">
        <v>108</v>
      </c>
      <c r="N1054" t="s">
        <v>517</v>
      </c>
      <c r="O1054" t="s">
        <v>517</v>
      </c>
      <c r="P1054" s="2" t="str">
        <f t="shared" si="48"/>
        <v>07/07/2025 to 10/07/2025</v>
      </c>
      <c r="Q1054" s="3">
        <v>45845</v>
      </c>
      <c r="R1054" t="str">
        <f t="shared" si="49"/>
        <v>On-Time</v>
      </c>
      <c r="S1054" t="s">
        <v>351</v>
      </c>
      <c r="T1054">
        <v>8</v>
      </c>
      <c r="U1054" t="s">
        <v>65</v>
      </c>
      <c r="V1054" t="s">
        <v>80</v>
      </c>
      <c r="W1054" t="str">
        <f t="shared" ca="1" si="50"/>
        <v>Dormant</v>
      </c>
    </row>
    <row r="1055" spans="1:23" x14ac:dyDescent="0.2">
      <c r="A1055">
        <v>1660</v>
      </c>
      <c r="B1055" t="s">
        <v>4642</v>
      </c>
      <c r="C1055" t="s">
        <v>4646</v>
      </c>
      <c r="D1055" s="1" t="s">
        <v>108</v>
      </c>
      <c r="E1055" t="s">
        <v>4644</v>
      </c>
      <c r="F1055" t="s">
        <v>995</v>
      </c>
      <c r="G1055" s="4" t="s">
        <v>5426</v>
      </c>
      <c r="H1055" t="s">
        <v>4645</v>
      </c>
      <c r="I1055" t="s">
        <v>201</v>
      </c>
      <c r="J1055" s="4" t="s">
        <v>5417</v>
      </c>
      <c r="K1055" t="s">
        <v>4647</v>
      </c>
      <c r="L1055">
        <v>4</v>
      </c>
      <c r="M1055" t="s">
        <v>108</v>
      </c>
      <c r="N1055" t="s">
        <v>108</v>
      </c>
      <c r="O1055" t="s">
        <v>108</v>
      </c>
      <c r="P1055" s="2" t="str">
        <f t="shared" si="48"/>
        <v>07/07/2025 to 10/07/2025</v>
      </c>
      <c r="Q1055" s="3">
        <v>45844</v>
      </c>
      <c r="R1055" t="str">
        <f t="shared" si="49"/>
        <v>Late</v>
      </c>
      <c r="S1055" t="s">
        <v>415</v>
      </c>
      <c r="T1055">
        <v>37</v>
      </c>
      <c r="U1055" t="s">
        <v>79</v>
      </c>
      <c r="V1055" t="s">
        <v>80</v>
      </c>
      <c r="W1055" t="str">
        <f t="shared" ca="1" si="50"/>
        <v>Dormant</v>
      </c>
    </row>
    <row r="1056" spans="1:23" x14ac:dyDescent="0.2">
      <c r="A1056">
        <v>1661</v>
      </c>
      <c r="B1056" t="s">
        <v>4642</v>
      </c>
      <c r="C1056" t="s">
        <v>4648</v>
      </c>
      <c r="D1056" s="1" t="s">
        <v>108</v>
      </c>
      <c r="E1056" t="s">
        <v>4644</v>
      </c>
      <c r="F1056" t="s">
        <v>995</v>
      </c>
      <c r="G1056" s="4" t="s">
        <v>5422</v>
      </c>
      <c r="H1056" t="s">
        <v>4645</v>
      </c>
      <c r="I1056" t="s">
        <v>201</v>
      </c>
      <c r="J1056" s="4" t="s">
        <v>74</v>
      </c>
      <c r="K1056" t="s">
        <v>4</v>
      </c>
      <c r="L1056">
        <v>1</v>
      </c>
      <c r="M1056" t="s">
        <v>113</v>
      </c>
      <c r="N1056" t="s">
        <v>113</v>
      </c>
      <c r="O1056" t="s">
        <v>113</v>
      </c>
      <c r="P1056" s="2" t="str">
        <f t="shared" si="48"/>
        <v>08/07/2025 to 11/07/2025</v>
      </c>
      <c r="Q1056" s="3">
        <v>45843</v>
      </c>
      <c r="R1056" t="str">
        <f t="shared" si="49"/>
        <v>Late</v>
      </c>
      <c r="S1056" t="s">
        <v>404</v>
      </c>
      <c r="T1056">
        <v>8</v>
      </c>
      <c r="U1056" t="s">
        <v>65</v>
      </c>
      <c r="V1056" t="s">
        <v>72</v>
      </c>
      <c r="W1056" t="str">
        <f t="shared" ca="1" si="50"/>
        <v>Dormant</v>
      </c>
    </row>
    <row r="1057" spans="1:23" x14ac:dyDescent="0.2">
      <c r="A1057">
        <v>1978</v>
      </c>
      <c r="B1057" t="s">
        <v>5356</v>
      </c>
      <c r="C1057" t="s">
        <v>5357</v>
      </c>
      <c r="D1057" s="1" t="s">
        <v>108</v>
      </c>
      <c r="E1057" t="s">
        <v>5358</v>
      </c>
      <c r="F1057" t="s">
        <v>626</v>
      </c>
      <c r="G1057" s="4" t="s">
        <v>5427</v>
      </c>
      <c r="H1057" t="s">
        <v>5359</v>
      </c>
      <c r="I1057" t="s">
        <v>136</v>
      </c>
      <c r="J1057" s="4" t="s">
        <v>5417</v>
      </c>
      <c r="K1057" t="s">
        <v>3675</v>
      </c>
      <c r="L1057">
        <v>2</v>
      </c>
      <c r="M1057" t="s">
        <v>113</v>
      </c>
      <c r="N1057" t="s">
        <v>113</v>
      </c>
      <c r="O1057" t="s">
        <v>115</v>
      </c>
      <c r="P1057" s="2" t="str">
        <f t="shared" si="48"/>
        <v>08/07/2025 to 11/07/2025</v>
      </c>
      <c r="Q1057" s="3">
        <v>45846</v>
      </c>
      <c r="R1057" t="str">
        <f t="shared" si="49"/>
        <v>On-Time</v>
      </c>
      <c r="S1057" t="s">
        <v>352</v>
      </c>
      <c r="T1057">
        <v>18.5</v>
      </c>
      <c r="U1057" t="s">
        <v>65</v>
      </c>
      <c r="V1057" t="s">
        <v>80</v>
      </c>
      <c r="W1057" t="str">
        <f t="shared" ca="1" si="50"/>
        <v>Dormant</v>
      </c>
    </row>
    <row r="1058" spans="1:23" x14ac:dyDescent="0.2">
      <c r="A1058">
        <v>1979</v>
      </c>
      <c r="B1058" t="s">
        <v>5356</v>
      </c>
      <c r="C1058" t="s">
        <v>5360</v>
      </c>
      <c r="D1058" s="1" t="s">
        <v>108</v>
      </c>
      <c r="E1058" t="s">
        <v>5358</v>
      </c>
      <c r="F1058" t="s">
        <v>626</v>
      </c>
      <c r="G1058" s="4" t="s">
        <v>5423</v>
      </c>
      <c r="H1058" t="s">
        <v>5359</v>
      </c>
      <c r="I1058" t="s">
        <v>136</v>
      </c>
      <c r="J1058" s="4" t="s">
        <v>68</v>
      </c>
      <c r="K1058" t="s">
        <v>10</v>
      </c>
      <c r="L1058">
        <v>1</v>
      </c>
      <c r="M1058" t="s">
        <v>108</v>
      </c>
      <c r="N1058" t="s">
        <v>108</v>
      </c>
      <c r="O1058" t="s">
        <v>113</v>
      </c>
      <c r="P1058" s="2" t="str">
        <f t="shared" si="48"/>
        <v>07/07/2025 to 10/07/2025</v>
      </c>
      <c r="Q1058" s="3">
        <v>45846</v>
      </c>
      <c r="R1058" t="str">
        <f t="shared" si="49"/>
        <v>On-Time</v>
      </c>
      <c r="S1058" t="s">
        <v>352</v>
      </c>
      <c r="T1058">
        <v>10</v>
      </c>
      <c r="U1058" t="s">
        <v>65</v>
      </c>
      <c r="V1058" t="s">
        <v>66</v>
      </c>
      <c r="W1058" t="str">
        <f t="shared" ca="1" si="50"/>
        <v>Dormant</v>
      </c>
    </row>
    <row r="1059" spans="1:23" x14ac:dyDescent="0.2">
      <c r="A1059">
        <v>1980</v>
      </c>
      <c r="B1059" t="s">
        <v>5356</v>
      </c>
      <c r="C1059" t="s">
        <v>5361</v>
      </c>
      <c r="D1059" s="1" t="s">
        <v>108</v>
      </c>
      <c r="E1059" t="s">
        <v>5358</v>
      </c>
      <c r="F1059" t="s">
        <v>626</v>
      </c>
      <c r="G1059" s="4" t="s">
        <v>5423</v>
      </c>
      <c r="H1059" t="s">
        <v>5359</v>
      </c>
      <c r="I1059" t="s">
        <v>136</v>
      </c>
      <c r="J1059" s="4" t="s">
        <v>60</v>
      </c>
      <c r="K1059" t="s">
        <v>5362</v>
      </c>
      <c r="L1059">
        <v>3</v>
      </c>
      <c r="M1059" t="s">
        <v>108</v>
      </c>
      <c r="N1059" t="s">
        <v>517</v>
      </c>
      <c r="O1059" t="s">
        <v>113</v>
      </c>
      <c r="P1059" s="2" t="str">
        <f t="shared" si="48"/>
        <v>07/07/2025 to 10/07/2025</v>
      </c>
      <c r="Q1059" s="3">
        <v>45848</v>
      </c>
      <c r="R1059" t="str">
        <f t="shared" si="49"/>
        <v>On-Time</v>
      </c>
      <c r="S1059" t="s">
        <v>116</v>
      </c>
      <c r="T1059">
        <v>32</v>
      </c>
      <c r="U1059" t="s">
        <v>65</v>
      </c>
      <c r="V1059" t="s">
        <v>72</v>
      </c>
      <c r="W1059" t="str">
        <f t="shared" ca="1" si="50"/>
        <v>Dormant</v>
      </c>
    </row>
    <row r="1060" spans="1:23" x14ac:dyDescent="0.2">
      <c r="A1060">
        <v>835</v>
      </c>
      <c r="B1060" t="s">
        <v>2660</v>
      </c>
      <c r="C1060" t="s">
        <v>2661</v>
      </c>
      <c r="D1060" s="1" t="s">
        <v>517</v>
      </c>
      <c r="E1060" t="s">
        <v>2662</v>
      </c>
      <c r="F1060" t="s">
        <v>910</v>
      </c>
      <c r="G1060" s="4" t="s">
        <v>5419</v>
      </c>
      <c r="H1060" t="s">
        <v>2663</v>
      </c>
      <c r="I1060" t="s">
        <v>112</v>
      </c>
      <c r="J1060" s="4" t="s">
        <v>5417</v>
      </c>
      <c r="K1060" t="s">
        <v>694</v>
      </c>
      <c r="L1060">
        <v>2</v>
      </c>
      <c r="M1060" t="s">
        <v>517</v>
      </c>
      <c r="N1060" t="s">
        <v>113</v>
      </c>
      <c r="O1060" t="s">
        <v>113</v>
      </c>
      <c r="P1060" s="2" t="str">
        <f t="shared" si="48"/>
        <v>08/07/2025 to 11/07/2025</v>
      </c>
      <c r="Q1060" s="3">
        <v>45848</v>
      </c>
      <c r="R1060" t="str">
        <f t="shared" si="49"/>
        <v>On-Time</v>
      </c>
      <c r="S1060" t="s">
        <v>855</v>
      </c>
      <c r="T1060">
        <v>20</v>
      </c>
      <c r="U1060" t="s">
        <v>79</v>
      </c>
      <c r="V1060" t="s">
        <v>72</v>
      </c>
      <c r="W1060" t="str">
        <f t="shared" ca="1" si="50"/>
        <v>Dormant</v>
      </c>
    </row>
    <row r="1061" spans="1:23" x14ac:dyDescent="0.2">
      <c r="A1061">
        <v>836</v>
      </c>
      <c r="B1061" t="s">
        <v>2660</v>
      </c>
      <c r="C1061" t="s">
        <v>2664</v>
      </c>
      <c r="D1061" s="1" t="s">
        <v>517</v>
      </c>
      <c r="E1061" t="s">
        <v>2662</v>
      </c>
      <c r="F1061" t="s">
        <v>910</v>
      </c>
      <c r="G1061" s="4" t="s">
        <v>5425</v>
      </c>
      <c r="H1061" t="s">
        <v>2663</v>
      </c>
      <c r="I1061" t="s">
        <v>112</v>
      </c>
      <c r="J1061" s="4" t="s">
        <v>60</v>
      </c>
      <c r="K1061" t="s">
        <v>2665</v>
      </c>
      <c r="L1061">
        <v>4</v>
      </c>
      <c r="M1061" t="s">
        <v>114</v>
      </c>
      <c r="N1061" t="s">
        <v>115</v>
      </c>
      <c r="O1061" t="s">
        <v>114</v>
      </c>
      <c r="P1061" s="2" t="str">
        <f t="shared" si="48"/>
        <v>08/07/2025 to 11/07/2025</v>
      </c>
      <c r="Q1061" s="3">
        <v>45844</v>
      </c>
      <c r="R1061" t="str">
        <f t="shared" si="49"/>
        <v>Late</v>
      </c>
      <c r="S1061" t="s">
        <v>415</v>
      </c>
      <c r="T1061">
        <v>37</v>
      </c>
      <c r="U1061" t="s">
        <v>79</v>
      </c>
      <c r="V1061" t="s">
        <v>80</v>
      </c>
      <c r="W1061" t="str">
        <f t="shared" ca="1" si="50"/>
        <v>Dormant</v>
      </c>
    </row>
    <row r="1062" spans="1:23" x14ac:dyDescent="0.2">
      <c r="A1062">
        <v>837</v>
      </c>
      <c r="B1062" t="s">
        <v>2660</v>
      </c>
      <c r="C1062" t="s">
        <v>2666</v>
      </c>
      <c r="D1062" s="1" t="s">
        <v>517</v>
      </c>
      <c r="E1062" t="s">
        <v>2662</v>
      </c>
      <c r="F1062" t="s">
        <v>910</v>
      </c>
      <c r="G1062" s="4" t="s">
        <v>5426</v>
      </c>
      <c r="H1062" t="s">
        <v>2663</v>
      </c>
      <c r="I1062" t="s">
        <v>112</v>
      </c>
      <c r="J1062" s="4" t="s">
        <v>60</v>
      </c>
      <c r="K1062" t="s">
        <v>4</v>
      </c>
      <c r="L1062">
        <v>1</v>
      </c>
      <c r="M1062" t="s">
        <v>517</v>
      </c>
      <c r="N1062" t="s">
        <v>113</v>
      </c>
      <c r="O1062" t="s">
        <v>114</v>
      </c>
      <c r="P1062" s="2" t="str">
        <f t="shared" si="48"/>
        <v>08/07/2025 to 11/07/2025</v>
      </c>
      <c r="Q1062" s="3">
        <v>45844</v>
      </c>
      <c r="R1062" t="str">
        <f t="shared" si="49"/>
        <v>Late</v>
      </c>
      <c r="S1062" t="s">
        <v>411</v>
      </c>
      <c r="T1062">
        <v>8</v>
      </c>
      <c r="U1062" t="s">
        <v>65</v>
      </c>
      <c r="V1062" t="s">
        <v>72</v>
      </c>
      <c r="W1062" t="str">
        <f t="shared" ca="1" si="50"/>
        <v>Dormant</v>
      </c>
    </row>
    <row r="1063" spans="1:23" x14ac:dyDescent="0.2">
      <c r="A1063">
        <v>838</v>
      </c>
      <c r="B1063" t="s">
        <v>2660</v>
      </c>
      <c r="C1063" t="s">
        <v>2667</v>
      </c>
      <c r="D1063" s="1" t="s">
        <v>517</v>
      </c>
      <c r="E1063" t="s">
        <v>2662</v>
      </c>
      <c r="F1063" t="s">
        <v>910</v>
      </c>
      <c r="G1063" s="4" t="s">
        <v>5425</v>
      </c>
      <c r="H1063" t="s">
        <v>2663</v>
      </c>
      <c r="I1063" t="s">
        <v>112</v>
      </c>
      <c r="J1063" s="4" t="s">
        <v>74</v>
      </c>
      <c r="K1063" t="s">
        <v>1888</v>
      </c>
      <c r="L1063">
        <v>2</v>
      </c>
      <c r="M1063" t="s">
        <v>517</v>
      </c>
      <c r="N1063" t="s">
        <v>517</v>
      </c>
      <c r="O1063" t="s">
        <v>517</v>
      </c>
      <c r="P1063" s="2" t="str">
        <f t="shared" si="48"/>
        <v>08/07/2025 to 11/07/2025</v>
      </c>
      <c r="Q1063" s="3">
        <v>45846</v>
      </c>
      <c r="R1063" t="str">
        <f t="shared" si="49"/>
        <v>On-Time</v>
      </c>
      <c r="S1063" t="s">
        <v>855</v>
      </c>
      <c r="T1063">
        <v>18.5</v>
      </c>
      <c r="U1063" t="s">
        <v>79</v>
      </c>
      <c r="V1063" t="s">
        <v>72</v>
      </c>
      <c r="W1063" t="str">
        <f t="shared" ca="1" si="50"/>
        <v>Dormant</v>
      </c>
    </row>
    <row r="1064" spans="1:23" x14ac:dyDescent="0.2">
      <c r="A1064">
        <v>839</v>
      </c>
      <c r="B1064" t="s">
        <v>2660</v>
      </c>
      <c r="C1064" t="s">
        <v>2668</v>
      </c>
      <c r="D1064" s="1" t="s">
        <v>517</v>
      </c>
      <c r="E1064" t="s">
        <v>2662</v>
      </c>
      <c r="F1064" t="s">
        <v>910</v>
      </c>
      <c r="G1064" s="4" t="s">
        <v>5427</v>
      </c>
      <c r="H1064" t="s">
        <v>2663</v>
      </c>
      <c r="I1064" t="s">
        <v>112</v>
      </c>
      <c r="J1064" s="4" t="s">
        <v>74</v>
      </c>
      <c r="K1064" t="s">
        <v>483</v>
      </c>
      <c r="L1064">
        <v>2</v>
      </c>
      <c r="M1064" t="s">
        <v>113</v>
      </c>
      <c r="N1064" t="s">
        <v>114</v>
      </c>
      <c r="O1064" t="s">
        <v>113</v>
      </c>
      <c r="P1064" s="2" t="str">
        <f t="shared" si="48"/>
        <v>08/07/2025 to 11/07/2025</v>
      </c>
      <c r="Q1064" s="3">
        <v>45848</v>
      </c>
      <c r="R1064" t="str">
        <f t="shared" si="49"/>
        <v>On-Time</v>
      </c>
      <c r="S1064" t="s">
        <v>855</v>
      </c>
      <c r="T1064">
        <v>19.5</v>
      </c>
      <c r="U1064" t="s">
        <v>65</v>
      </c>
      <c r="V1064" t="s">
        <v>66</v>
      </c>
      <c r="W1064" t="str">
        <f t="shared" ca="1" si="50"/>
        <v>Dormant</v>
      </c>
    </row>
    <row r="1065" spans="1:23" x14ac:dyDescent="0.2">
      <c r="A1065">
        <v>1533</v>
      </c>
      <c r="B1065" t="s">
        <v>4354</v>
      </c>
      <c r="C1065" t="s">
        <v>4355</v>
      </c>
      <c r="D1065" s="1" t="s">
        <v>517</v>
      </c>
      <c r="E1065" t="s">
        <v>4356</v>
      </c>
      <c r="F1065" t="s">
        <v>335</v>
      </c>
      <c r="G1065" s="4" t="s">
        <v>5421</v>
      </c>
      <c r="H1065" t="s">
        <v>4357</v>
      </c>
      <c r="I1065" t="s">
        <v>136</v>
      </c>
      <c r="J1065" s="4" t="s">
        <v>60</v>
      </c>
      <c r="K1065" t="s">
        <v>4270</v>
      </c>
      <c r="L1065">
        <v>2</v>
      </c>
      <c r="M1065" t="s">
        <v>517</v>
      </c>
      <c r="N1065" t="s">
        <v>517</v>
      </c>
      <c r="O1065" t="s">
        <v>114</v>
      </c>
      <c r="P1065" s="2" t="str">
        <f t="shared" si="48"/>
        <v>08/07/2025 to 11/07/2025</v>
      </c>
      <c r="Q1065" s="3">
        <v>45849</v>
      </c>
      <c r="R1065" t="str">
        <f t="shared" si="49"/>
        <v>On-Time</v>
      </c>
      <c r="S1065" t="s">
        <v>362</v>
      </c>
      <c r="T1065">
        <v>16</v>
      </c>
      <c r="U1065" t="s">
        <v>65</v>
      </c>
      <c r="V1065" t="s">
        <v>72</v>
      </c>
      <c r="W1065" t="str">
        <f t="shared" ca="1" si="50"/>
        <v>Dormant</v>
      </c>
    </row>
    <row r="1066" spans="1:23" x14ac:dyDescent="0.2">
      <c r="A1066">
        <v>1534</v>
      </c>
      <c r="B1066" t="s">
        <v>4354</v>
      </c>
      <c r="C1066" t="s">
        <v>4358</v>
      </c>
      <c r="D1066" s="1" t="s">
        <v>517</v>
      </c>
      <c r="E1066" t="s">
        <v>4356</v>
      </c>
      <c r="F1066" t="s">
        <v>335</v>
      </c>
      <c r="G1066" s="4" t="s">
        <v>5418</v>
      </c>
      <c r="H1066" t="s">
        <v>4357</v>
      </c>
      <c r="I1066" t="s">
        <v>136</v>
      </c>
      <c r="J1066" s="4" t="s">
        <v>60</v>
      </c>
      <c r="K1066" t="s">
        <v>4359</v>
      </c>
      <c r="L1066">
        <v>3</v>
      </c>
      <c r="M1066" t="s">
        <v>517</v>
      </c>
      <c r="N1066" t="s">
        <v>113</v>
      </c>
      <c r="O1066" t="s">
        <v>113</v>
      </c>
      <c r="P1066" s="2" t="str">
        <f t="shared" si="48"/>
        <v>08/07/2025 to 11/07/2025</v>
      </c>
      <c r="Q1066" s="3">
        <v>45847</v>
      </c>
      <c r="R1066" t="str">
        <f t="shared" si="49"/>
        <v>On-Time</v>
      </c>
      <c r="S1066" t="s">
        <v>360</v>
      </c>
      <c r="T1066">
        <v>32.5</v>
      </c>
      <c r="U1066" t="s">
        <v>79</v>
      </c>
      <c r="V1066" t="s">
        <v>66</v>
      </c>
      <c r="W1066" t="str">
        <f t="shared" ca="1" si="50"/>
        <v>Dormant</v>
      </c>
    </row>
    <row r="1067" spans="1:23" x14ac:dyDescent="0.2">
      <c r="A1067">
        <v>1535</v>
      </c>
      <c r="B1067" t="s">
        <v>4354</v>
      </c>
      <c r="C1067" t="s">
        <v>4360</v>
      </c>
      <c r="D1067" s="1" t="s">
        <v>517</v>
      </c>
      <c r="E1067" t="s">
        <v>4356</v>
      </c>
      <c r="F1067" t="s">
        <v>335</v>
      </c>
      <c r="G1067" s="4" t="s">
        <v>38</v>
      </c>
      <c r="H1067" t="s">
        <v>4357</v>
      </c>
      <c r="I1067" t="s">
        <v>136</v>
      </c>
      <c r="J1067" s="4" t="s">
        <v>74</v>
      </c>
      <c r="K1067" t="s">
        <v>4361</v>
      </c>
      <c r="L1067">
        <v>3</v>
      </c>
      <c r="M1067" t="s">
        <v>113</v>
      </c>
      <c r="N1067" t="s">
        <v>114</v>
      </c>
      <c r="O1067" t="s">
        <v>115</v>
      </c>
      <c r="P1067" s="2" t="str">
        <f t="shared" si="48"/>
        <v>08/07/2025 to 11/07/2025</v>
      </c>
      <c r="Q1067" s="3">
        <v>45851</v>
      </c>
      <c r="R1067" t="str">
        <f t="shared" si="49"/>
        <v>Late</v>
      </c>
      <c r="S1067" t="s">
        <v>365</v>
      </c>
      <c r="T1067">
        <v>25</v>
      </c>
      <c r="U1067" t="s">
        <v>79</v>
      </c>
      <c r="V1067" t="s">
        <v>66</v>
      </c>
      <c r="W1067" t="str">
        <f t="shared" ca="1" si="50"/>
        <v>Dormant</v>
      </c>
    </row>
    <row r="1068" spans="1:23" x14ac:dyDescent="0.2">
      <c r="A1068">
        <v>600</v>
      </c>
      <c r="B1068" t="s">
        <v>2077</v>
      </c>
      <c r="C1068" t="s">
        <v>2078</v>
      </c>
      <c r="D1068" s="1" t="s">
        <v>113</v>
      </c>
      <c r="E1068" t="s">
        <v>2079</v>
      </c>
      <c r="F1068" t="s">
        <v>995</v>
      </c>
      <c r="G1068" s="4" t="s">
        <v>5423</v>
      </c>
      <c r="H1068" t="s">
        <v>2080</v>
      </c>
      <c r="I1068" t="s">
        <v>93</v>
      </c>
      <c r="J1068" s="4" t="s">
        <v>68</v>
      </c>
      <c r="K1068" t="s">
        <v>2081</v>
      </c>
      <c r="L1068">
        <v>3</v>
      </c>
      <c r="M1068" t="s">
        <v>113</v>
      </c>
      <c r="N1068" t="s">
        <v>113</v>
      </c>
      <c r="O1068" t="s">
        <v>114</v>
      </c>
      <c r="P1068" s="2" t="str">
        <f t="shared" si="48"/>
        <v>08/07/2025 to 11/07/2025</v>
      </c>
      <c r="Q1068" s="3">
        <v>45845</v>
      </c>
      <c r="R1068" t="str">
        <f t="shared" si="49"/>
        <v>Late</v>
      </c>
      <c r="S1068" t="s">
        <v>351</v>
      </c>
      <c r="T1068">
        <v>30.5</v>
      </c>
      <c r="U1068" t="s">
        <v>79</v>
      </c>
      <c r="V1068" t="s">
        <v>66</v>
      </c>
      <c r="W1068" t="str">
        <f t="shared" ca="1" si="50"/>
        <v>Dormant</v>
      </c>
    </row>
    <row r="1069" spans="1:23" x14ac:dyDescent="0.2">
      <c r="A1069">
        <v>601</v>
      </c>
      <c r="B1069" t="s">
        <v>2077</v>
      </c>
      <c r="C1069" t="s">
        <v>2082</v>
      </c>
      <c r="D1069" s="1" t="s">
        <v>113</v>
      </c>
      <c r="E1069" t="s">
        <v>2079</v>
      </c>
      <c r="F1069" t="s">
        <v>995</v>
      </c>
      <c r="G1069" s="4" t="s">
        <v>5427</v>
      </c>
      <c r="H1069" t="s">
        <v>2080</v>
      </c>
      <c r="I1069" t="s">
        <v>93</v>
      </c>
      <c r="J1069" s="4" t="s">
        <v>68</v>
      </c>
      <c r="K1069" t="s">
        <v>18</v>
      </c>
      <c r="L1069">
        <v>1</v>
      </c>
      <c r="M1069" t="s">
        <v>114</v>
      </c>
      <c r="N1069" t="s">
        <v>115</v>
      </c>
      <c r="O1069" t="s">
        <v>358</v>
      </c>
      <c r="P1069" s="2" t="str">
        <f t="shared" si="48"/>
        <v>08/07/2025 to 11/07/2025</v>
      </c>
      <c r="Q1069" s="3">
        <v>45848</v>
      </c>
      <c r="R1069" t="str">
        <f t="shared" si="49"/>
        <v>On-Time</v>
      </c>
      <c r="S1069" t="s">
        <v>360</v>
      </c>
      <c r="T1069">
        <v>8.5</v>
      </c>
      <c r="U1069" t="s">
        <v>79</v>
      </c>
      <c r="V1069" t="s">
        <v>72</v>
      </c>
      <c r="W1069" t="str">
        <f t="shared" ca="1" si="50"/>
        <v>Dormant</v>
      </c>
    </row>
    <row r="1070" spans="1:23" x14ac:dyDescent="0.2">
      <c r="A1070">
        <v>602</v>
      </c>
      <c r="B1070" t="s">
        <v>2077</v>
      </c>
      <c r="C1070" t="s">
        <v>2083</v>
      </c>
      <c r="D1070" s="1" t="s">
        <v>113</v>
      </c>
      <c r="E1070" t="s">
        <v>2079</v>
      </c>
      <c r="F1070" t="s">
        <v>995</v>
      </c>
      <c r="G1070" s="4" t="s">
        <v>5423</v>
      </c>
      <c r="H1070" t="s">
        <v>2080</v>
      </c>
      <c r="I1070" t="s">
        <v>93</v>
      </c>
      <c r="J1070" s="4" t="s">
        <v>74</v>
      </c>
      <c r="K1070" t="s">
        <v>20</v>
      </c>
      <c r="L1070">
        <v>1</v>
      </c>
      <c r="M1070" t="s">
        <v>113</v>
      </c>
      <c r="N1070" t="s">
        <v>113</v>
      </c>
      <c r="O1070" t="s">
        <v>115</v>
      </c>
      <c r="P1070" s="2" t="str">
        <f t="shared" si="48"/>
        <v>08/07/2025 to 11/07/2025</v>
      </c>
      <c r="Q1070" s="3">
        <v>45849</v>
      </c>
      <c r="R1070" t="str">
        <f t="shared" si="49"/>
        <v>On-Time</v>
      </c>
      <c r="S1070" t="s">
        <v>362</v>
      </c>
      <c r="T1070">
        <v>10.5</v>
      </c>
      <c r="U1070" t="s">
        <v>65</v>
      </c>
      <c r="V1070" t="s">
        <v>80</v>
      </c>
      <c r="W1070" t="str">
        <f t="shared" ca="1" si="50"/>
        <v>Dormant</v>
      </c>
    </row>
    <row r="1071" spans="1:23" x14ac:dyDescent="0.2">
      <c r="A1071">
        <v>603</v>
      </c>
      <c r="B1071" t="s">
        <v>2077</v>
      </c>
      <c r="C1071" t="s">
        <v>2084</v>
      </c>
      <c r="D1071" s="1" t="s">
        <v>113</v>
      </c>
      <c r="E1071" t="s">
        <v>2079</v>
      </c>
      <c r="F1071" t="s">
        <v>995</v>
      </c>
      <c r="G1071" s="4" t="s">
        <v>38</v>
      </c>
      <c r="H1071" t="s">
        <v>2080</v>
      </c>
      <c r="I1071" t="s">
        <v>93</v>
      </c>
      <c r="J1071" s="4" t="s">
        <v>60</v>
      </c>
      <c r="K1071" t="s">
        <v>2085</v>
      </c>
      <c r="L1071">
        <v>3</v>
      </c>
      <c r="M1071" t="s">
        <v>113</v>
      </c>
      <c r="N1071" t="s">
        <v>115</v>
      </c>
      <c r="O1071" t="s">
        <v>114</v>
      </c>
      <c r="P1071" s="2" t="str">
        <f t="shared" si="48"/>
        <v>08/07/2025 to 11/07/2025</v>
      </c>
      <c r="Q1071" s="3">
        <v>45849</v>
      </c>
      <c r="R1071" t="str">
        <f t="shared" si="49"/>
        <v>On-Time</v>
      </c>
      <c r="S1071" t="s">
        <v>116</v>
      </c>
      <c r="T1071">
        <v>34</v>
      </c>
      <c r="U1071" t="s">
        <v>65</v>
      </c>
      <c r="V1071" t="s">
        <v>72</v>
      </c>
      <c r="W1071" t="str">
        <f t="shared" ca="1" si="50"/>
        <v>Dormant</v>
      </c>
    </row>
    <row r="1072" spans="1:23" x14ac:dyDescent="0.2">
      <c r="A1072">
        <v>58</v>
      </c>
      <c r="B1072" t="s">
        <v>353</v>
      </c>
      <c r="C1072" t="s">
        <v>354</v>
      </c>
      <c r="D1072" s="1" t="s">
        <v>114</v>
      </c>
      <c r="E1072" t="s">
        <v>355</v>
      </c>
      <c r="F1072" t="s">
        <v>356</v>
      </c>
      <c r="G1072" s="4" t="s">
        <v>38</v>
      </c>
      <c r="H1072" t="s">
        <v>357</v>
      </c>
      <c r="I1072" t="s">
        <v>112</v>
      </c>
      <c r="J1072" s="4" t="s">
        <v>74</v>
      </c>
      <c r="K1072" t="s">
        <v>4</v>
      </c>
      <c r="L1072">
        <v>1</v>
      </c>
      <c r="M1072" t="s">
        <v>115</v>
      </c>
      <c r="N1072" t="s">
        <v>358</v>
      </c>
      <c r="O1072" t="s">
        <v>359</v>
      </c>
      <c r="P1072" s="2" t="str">
        <f t="shared" si="48"/>
        <v>09/07/2025 to 14/07/2025</v>
      </c>
      <c r="Q1072" s="3">
        <v>45849</v>
      </c>
      <c r="R1072" t="str">
        <f t="shared" si="49"/>
        <v>On-Time</v>
      </c>
      <c r="S1072" t="s">
        <v>116</v>
      </c>
      <c r="T1072">
        <v>8</v>
      </c>
      <c r="U1072" t="s">
        <v>79</v>
      </c>
      <c r="V1072" t="s">
        <v>66</v>
      </c>
      <c r="W1072" t="str">
        <f t="shared" ca="1" si="50"/>
        <v>Dormant</v>
      </c>
    </row>
    <row r="1073" spans="1:23" x14ac:dyDescent="0.2">
      <c r="A1073">
        <v>59</v>
      </c>
      <c r="B1073" t="s">
        <v>353</v>
      </c>
      <c r="C1073" t="s">
        <v>361</v>
      </c>
      <c r="D1073" s="1" t="s">
        <v>114</v>
      </c>
      <c r="E1073" t="s">
        <v>355</v>
      </c>
      <c r="F1073" t="s">
        <v>356</v>
      </c>
      <c r="G1073" s="4" t="s">
        <v>5422</v>
      </c>
      <c r="H1073" t="s">
        <v>357</v>
      </c>
      <c r="I1073" t="s">
        <v>112</v>
      </c>
      <c r="J1073" s="4" t="s">
        <v>60</v>
      </c>
      <c r="K1073" t="s">
        <v>14</v>
      </c>
      <c r="L1073">
        <v>1</v>
      </c>
      <c r="M1073" t="s">
        <v>358</v>
      </c>
      <c r="N1073" t="s">
        <v>359</v>
      </c>
      <c r="O1073" t="s">
        <v>359</v>
      </c>
      <c r="P1073" s="2" t="str">
        <f t="shared" si="48"/>
        <v>10/07/2025 to 15/07/2025</v>
      </c>
      <c r="Q1073" s="3">
        <v>45851</v>
      </c>
      <c r="R1073" t="str">
        <f t="shared" si="49"/>
        <v>On-Time</v>
      </c>
      <c r="S1073" t="s">
        <v>363</v>
      </c>
      <c r="T1073">
        <v>9.5</v>
      </c>
      <c r="U1073" t="s">
        <v>79</v>
      </c>
      <c r="V1073" t="s">
        <v>72</v>
      </c>
      <c r="W1073" t="str">
        <f t="shared" ca="1" si="50"/>
        <v>Dormant</v>
      </c>
    </row>
    <row r="1074" spans="1:23" x14ac:dyDescent="0.2">
      <c r="A1074">
        <v>60</v>
      </c>
      <c r="B1074" t="s">
        <v>353</v>
      </c>
      <c r="C1074" t="s">
        <v>364</v>
      </c>
      <c r="D1074" s="1" t="s">
        <v>114</v>
      </c>
      <c r="E1074" t="s">
        <v>355</v>
      </c>
      <c r="F1074" t="s">
        <v>356</v>
      </c>
      <c r="G1074" s="4" t="s">
        <v>5428</v>
      </c>
      <c r="H1074" t="s">
        <v>357</v>
      </c>
      <c r="I1074" t="s">
        <v>112</v>
      </c>
      <c r="J1074" s="4" t="s">
        <v>60</v>
      </c>
      <c r="K1074" t="s">
        <v>22</v>
      </c>
      <c r="L1074">
        <v>1</v>
      </c>
      <c r="M1074" t="s">
        <v>358</v>
      </c>
      <c r="N1074" t="s">
        <v>358</v>
      </c>
      <c r="O1074" t="s">
        <v>358</v>
      </c>
      <c r="P1074" s="2" t="str">
        <f t="shared" si="48"/>
        <v>10/07/2025 to 15/07/2025</v>
      </c>
      <c r="Q1074" s="3">
        <v>45852</v>
      </c>
      <c r="R1074" t="str">
        <f t="shared" si="49"/>
        <v>On-Time</v>
      </c>
      <c r="S1074" t="s">
        <v>366</v>
      </c>
      <c r="T1074">
        <v>8</v>
      </c>
      <c r="U1074" t="s">
        <v>79</v>
      </c>
      <c r="V1074" t="s">
        <v>66</v>
      </c>
      <c r="W1074" t="str">
        <f t="shared" ca="1" si="50"/>
        <v>Dormant</v>
      </c>
    </row>
    <row r="1075" spans="1:23" x14ac:dyDescent="0.2">
      <c r="A1075">
        <v>281</v>
      </c>
      <c r="B1075" t="s">
        <v>1201</v>
      </c>
      <c r="C1075" t="s">
        <v>1202</v>
      </c>
      <c r="D1075" s="1" t="s">
        <v>115</v>
      </c>
      <c r="E1075" t="s">
        <v>1203</v>
      </c>
      <c r="F1075" t="s">
        <v>1204</v>
      </c>
      <c r="G1075" s="4" t="s">
        <v>5421</v>
      </c>
      <c r="H1075" t="s">
        <v>1205</v>
      </c>
      <c r="I1075" t="s">
        <v>59</v>
      </c>
      <c r="J1075" s="4" t="s">
        <v>5417</v>
      </c>
      <c r="K1075" t="s">
        <v>202</v>
      </c>
      <c r="L1075">
        <v>2</v>
      </c>
      <c r="M1075" t="s">
        <v>359</v>
      </c>
      <c r="N1075" t="s">
        <v>924</v>
      </c>
      <c r="O1075" t="s">
        <v>359</v>
      </c>
      <c r="P1075" s="2" t="str">
        <f t="shared" si="48"/>
        <v>11/07/2025 to 16/07/2025</v>
      </c>
      <c r="Q1075" s="3">
        <v>45849</v>
      </c>
      <c r="R1075" t="str">
        <f t="shared" si="49"/>
        <v>On-Time</v>
      </c>
      <c r="S1075" t="s">
        <v>116</v>
      </c>
      <c r="T1075">
        <v>18.5</v>
      </c>
      <c r="U1075" t="s">
        <v>79</v>
      </c>
      <c r="V1075" t="s">
        <v>66</v>
      </c>
      <c r="W1075" t="str">
        <f t="shared" ca="1" si="50"/>
        <v>Dormant</v>
      </c>
    </row>
    <row r="1076" spans="1:23" x14ac:dyDescent="0.2">
      <c r="A1076">
        <v>282</v>
      </c>
      <c r="B1076" t="s">
        <v>1201</v>
      </c>
      <c r="C1076" t="s">
        <v>1206</v>
      </c>
      <c r="D1076" s="1" t="s">
        <v>115</v>
      </c>
      <c r="E1076" t="s">
        <v>1203</v>
      </c>
      <c r="F1076" t="s">
        <v>1204</v>
      </c>
      <c r="G1076" s="4" t="s">
        <v>5420</v>
      </c>
      <c r="H1076" t="s">
        <v>1205</v>
      </c>
      <c r="I1076" t="s">
        <v>59</v>
      </c>
      <c r="J1076" s="4" t="s">
        <v>5417</v>
      </c>
      <c r="K1076" t="s">
        <v>1207</v>
      </c>
      <c r="L1076">
        <v>3</v>
      </c>
      <c r="M1076" t="s">
        <v>359</v>
      </c>
      <c r="N1076" t="s">
        <v>921</v>
      </c>
      <c r="O1076" t="s">
        <v>921</v>
      </c>
      <c r="P1076" s="2" t="str">
        <f t="shared" si="48"/>
        <v>11/07/2025 to 16/07/2025</v>
      </c>
      <c r="Q1076" s="3">
        <v>45854</v>
      </c>
      <c r="R1076" t="str">
        <f t="shared" si="49"/>
        <v>On-Time</v>
      </c>
      <c r="S1076" t="s">
        <v>750</v>
      </c>
      <c r="T1076">
        <v>30</v>
      </c>
      <c r="U1076" t="s">
        <v>79</v>
      </c>
      <c r="V1076" t="s">
        <v>72</v>
      </c>
      <c r="W1076" t="str">
        <f t="shared" ca="1" si="50"/>
        <v>Dormant</v>
      </c>
    </row>
    <row r="1077" spans="1:23" x14ac:dyDescent="0.2">
      <c r="A1077">
        <v>283</v>
      </c>
      <c r="B1077" t="s">
        <v>1201</v>
      </c>
      <c r="C1077" t="s">
        <v>1208</v>
      </c>
      <c r="D1077" s="1" t="s">
        <v>115</v>
      </c>
      <c r="E1077" t="s">
        <v>1203</v>
      </c>
      <c r="F1077" t="s">
        <v>1204</v>
      </c>
      <c r="G1077" s="4" t="s">
        <v>5421</v>
      </c>
      <c r="H1077" t="s">
        <v>1205</v>
      </c>
      <c r="I1077" t="s">
        <v>59</v>
      </c>
      <c r="J1077" s="4" t="s">
        <v>68</v>
      </c>
      <c r="K1077" t="s">
        <v>1209</v>
      </c>
      <c r="L1077">
        <v>2</v>
      </c>
      <c r="M1077" t="s">
        <v>359</v>
      </c>
      <c r="N1077" t="s">
        <v>924</v>
      </c>
      <c r="O1077" t="s">
        <v>359</v>
      </c>
      <c r="P1077" s="2" t="str">
        <f t="shared" si="48"/>
        <v>11/07/2025 to 16/07/2025</v>
      </c>
      <c r="Q1077" s="3">
        <v>45850</v>
      </c>
      <c r="R1077" t="str">
        <f t="shared" si="49"/>
        <v>On-Time</v>
      </c>
      <c r="S1077" t="s">
        <v>116</v>
      </c>
      <c r="T1077">
        <v>19</v>
      </c>
      <c r="U1077" t="s">
        <v>65</v>
      </c>
      <c r="V1077" t="s">
        <v>66</v>
      </c>
      <c r="W1077" t="str">
        <f t="shared" ca="1" si="50"/>
        <v>Dormant</v>
      </c>
    </row>
    <row r="1078" spans="1:23" x14ac:dyDescent="0.2">
      <c r="A1078">
        <v>1488</v>
      </c>
      <c r="B1078" t="s">
        <v>4240</v>
      </c>
      <c r="C1078" t="s">
        <v>4241</v>
      </c>
      <c r="D1078" s="1" t="s">
        <v>115</v>
      </c>
      <c r="E1078" t="s">
        <v>4242</v>
      </c>
      <c r="F1078" t="s">
        <v>1723</v>
      </c>
      <c r="G1078" s="4" t="s">
        <v>5426</v>
      </c>
      <c r="H1078" t="s">
        <v>4243</v>
      </c>
      <c r="I1078" t="s">
        <v>136</v>
      </c>
      <c r="J1078" s="4" t="s">
        <v>68</v>
      </c>
      <c r="K1078" t="s">
        <v>28</v>
      </c>
      <c r="L1078">
        <v>1</v>
      </c>
      <c r="M1078" t="s">
        <v>359</v>
      </c>
      <c r="N1078" t="s">
        <v>924</v>
      </c>
      <c r="O1078" t="s">
        <v>359</v>
      </c>
      <c r="P1078" s="2" t="str">
        <f t="shared" si="48"/>
        <v>11/07/2025 to 16/07/2025</v>
      </c>
      <c r="Q1078" s="3">
        <v>45847</v>
      </c>
      <c r="R1078" t="str">
        <f t="shared" si="49"/>
        <v>Late</v>
      </c>
      <c r="S1078" t="s">
        <v>855</v>
      </c>
      <c r="T1078">
        <v>9</v>
      </c>
      <c r="U1078" t="s">
        <v>79</v>
      </c>
      <c r="V1078" t="s">
        <v>72</v>
      </c>
      <c r="W1078" t="str">
        <f t="shared" ca="1" si="50"/>
        <v>Dormant</v>
      </c>
    </row>
    <row r="1079" spans="1:23" x14ac:dyDescent="0.2">
      <c r="A1079">
        <v>1489</v>
      </c>
      <c r="B1079" t="s">
        <v>4240</v>
      </c>
      <c r="C1079" t="s">
        <v>4244</v>
      </c>
      <c r="D1079" s="1" t="s">
        <v>115</v>
      </c>
      <c r="E1079" t="s">
        <v>4242</v>
      </c>
      <c r="F1079" t="s">
        <v>1723</v>
      </c>
      <c r="G1079" s="4" t="s">
        <v>5427</v>
      </c>
      <c r="H1079" t="s">
        <v>4243</v>
      </c>
      <c r="I1079" t="s">
        <v>136</v>
      </c>
      <c r="J1079" s="4" t="s">
        <v>5417</v>
      </c>
      <c r="K1079" t="s">
        <v>520</v>
      </c>
      <c r="L1079">
        <v>2</v>
      </c>
      <c r="M1079" t="s">
        <v>115</v>
      </c>
      <c r="N1079" t="s">
        <v>359</v>
      </c>
      <c r="O1079" t="s">
        <v>358</v>
      </c>
      <c r="P1079" s="2" t="str">
        <f t="shared" si="48"/>
        <v>09/07/2025 to 14/07/2025</v>
      </c>
      <c r="Q1079" s="3">
        <v>45846</v>
      </c>
      <c r="R1079" t="str">
        <f t="shared" si="49"/>
        <v>Late</v>
      </c>
      <c r="S1079" t="s">
        <v>855</v>
      </c>
      <c r="T1079">
        <v>17</v>
      </c>
      <c r="U1079" t="s">
        <v>79</v>
      </c>
      <c r="V1079" t="s">
        <v>66</v>
      </c>
      <c r="W1079" t="str">
        <f t="shared" ca="1" si="50"/>
        <v>Dormant</v>
      </c>
    </row>
    <row r="1080" spans="1:23" x14ac:dyDescent="0.2">
      <c r="A1080">
        <v>1992</v>
      </c>
      <c r="B1080" t="s">
        <v>5390</v>
      </c>
      <c r="C1080" t="s">
        <v>5391</v>
      </c>
      <c r="D1080" s="1" t="s">
        <v>358</v>
      </c>
      <c r="E1080" t="s">
        <v>5392</v>
      </c>
      <c r="F1080" t="s">
        <v>356</v>
      </c>
      <c r="G1080" s="4" t="s">
        <v>5421</v>
      </c>
      <c r="H1080" t="s">
        <v>3485</v>
      </c>
      <c r="I1080" t="s">
        <v>59</v>
      </c>
      <c r="J1080" s="4" t="s">
        <v>68</v>
      </c>
      <c r="K1080" t="s">
        <v>5393</v>
      </c>
      <c r="L1080">
        <v>3</v>
      </c>
      <c r="M1080" t="s">
        <v>924</v>
      </c>
      <c r="N1080" t="s">
        <v>924</v>
      </c>
      <c r="O1080" t="s">
        <v>924</v>
      </c>
      <c r="P1080" s="2" t="str">
        <f t="shared" si="48"/>
        <v>14/07/2025 to 17/07/2025</v>
      </c>
      <c r="Q1080" s="3">
        <v>45854</v>
      </c>
      <c r="R1080" t="str">
        <f t="shared" si="49"/>
        <v>On-Time</v>
      </c>
      <c r="S1080" t="s">
        <v>750</v>
      </c>
      <c r="T1080">
        <v>33</v>
      </c>
      <c r="U1080" t="s">
        <v>79</v>
      </c>
      <c r="V1080" t="s">
        <v>66</v>
      </c>
      <c r="W1080" t="str">
        <f t="shared" ca="1" si="50"/>
        <v>Dormant</v>
      </c>
    </row>
    <row r="1081" spans="1:23" x14ac:dyDescent="0.2">
      <c r="A1081">
        <v>1071</v>
      </c>
      <c r="B1081" t="s">
        <v>3236</v>
      </c>
      <c r="C1081" t="s">
        <v>3237</v>
      </c>
      <c r="D1081" s="1" t="s">
        <v>924</v>
      </c>
      <c r="E1081" t="s">
        <v>3238</v>
      </c>
      <c r="F1081" t="s">
        <v>881</v>
      </c>
      <c r="G1081" s="4" t="s">
        <v>5424</v>
      </c>
      <c r="H1081" t="s">
        <v>3239</v>
      </c>
      <c r="I1081" t="s">
        <v>136</v>
      </c>
      <c r="J1081" s="4" t="s">
        <v>68</v>
      </c>
      <c r="K1081" t="s">
        <v>3240</v>
      </c>
      <c r="L1081">
        <v>3</v>
      </c>
      <c r="M1081" t="s">
        <v>404</v>
      </c>
      <c r="N1081" t="s">
        <v>411</v>
      </c>
      <c r="O1081" t="s">
        <v>411</v>
      </c>
      <c r="P1081" s="2" t="str">
        <f t="shared" si="48"/>
        <v>15/07/2025 to 18/07/2025</v>
      </c>
      <c r="Q1081" s="3">
        <v>45857</v>
      </c>
      <c r="R1081" t="str">
        <f t="shared" si="49"/>
        <v>Late</v>
      </c>
      <c r="S1081" t="s">
        <v>416</v>
      </c>
      <c r="T1081">
        <v>29</v>
      </c>
      <c r="U1081" t="s">
        <v>79</v>
      </c>
      <c r="V1081" t="s">
        <v>66</v>
      </c>
      <c r="W1081" t="str">
        <f t="shared" ca="1" si="50"/>
        <v>Dormant</v>
      </c>
    </row>
    <row r="1082" spans="1:23" x14ac:dyDescent="0.2">
      <c r="A1082">
        <v>1072</v>
      </c>
      <c r="B1082" t="s">
        <v>3236</v>
      </c>
      <c r="C1082" t="s">
        <v>3241</v>
      </c>
      <c r="D1082" s="1" t="s">
        <v>924</v>
      </c>
      <c r="E1082" t="s">
        <v>3238</v>
      </c>
      <c r="F1082" t="s">
        <v>881</v>
      </c>
      <c r="G1082" s="4" t="s">
        <v>5427</v>
      </c>
      <c r="H1082" t="s">
        <v>3239</v>
      </c>
      <c r="I1082" t="s">
        <v>136</v>
      </c>
      <c r="J1082" s="4" t="s">
        <v>74</v>
      </c>
      <c r="K1082" t="s">
        <v>3242</v>
      </c>
      <c r="L1082">
        <v>2</v>
      </c>
      <c r="M1082" t="s">
        <v>924</v>
      </c>
      <c r="N1082" t="s">
        <v>921</v>
      </c>
      <c r="O1082" t="s">
        <v>404</v>
      </c>
      <c r="P1082" s="2" t="str">
        <f t="shared" si="48"/>
        <v>14/07/2025 to 17/07/2025</v>
      </c>
      <c r="Q1082" s="3">
        <v>45850</v>
      </c>
      <c r="R1082" t="str">
        <f t="shared" si="49"/>
        <v>Late</v>
      </c>
      <c r="S1082" t="s">
        <v>362</v>
      </c>
      <c r="T1082">
        <v>18.5</v>
      </c>
      <c r="U1082" t="s">
        <v>65</v>
      </c>
      <c r="V1082" t="s">
        <v>72</v>
      </c>
      <c r="W1082" t="str">
        <f t="shared" ca="1" si="50"/>
        <v>Dormant</v>
      </c>
    </row>
    <row r="1083" spans="1:23" x14ac:dyDescent="0.2">
      <c r="A1083">
        <v>1073</v>
      </c>
      <c r="B1083" t="s">
        <v>3236</v>
      </c>
      <c r="C1083" t="s">
        <v>3243</v>
      </c>
      <c r="D1083" s="1" t="s">
        <v>924</v>
      </c>
      <c r="E1083" t="s">
        <v>3238</v>
      </c>
      <c r="F1083" t="s">
        <v>881</v>
      </c>
      <c r="G1083" s="4" t="s">
        <v>5418</v>
      </c>
      <c r="H1083" t="s">
        <v>3239</v>
      </c>
      <c r="I1083" t="s">
        <v>136</v>
      </c>
      <c r="J1083" s="4" t="s">
        <v>68</v>
      </c>
      <c r="K1083" t="s">
        <v>16</v>
      </c>
      <c r="L1083">
        <v>1</v>
      </c>
      <c r="M1083" t="s">
        <v>924</v>
      </c>
      <c r="N1083" t="s">
        <v>404</v>
      </c>
      <c r="O1083" t="s">
        <v>404</v>
      </c>
      <c r="P1083" s="2" t="str">
        <f t="shared" si="48"/>
        <v>14/07/2025 to 17/07/2025</v>
      </c>
      <c r="Q1083" s="3">
        <v>45851</v>
      </c>
      <c r="R1083" t="str">
        <f t="shared" si="49"/>
        <v>Late</v>
      </c>
      <c r="S1083" t="s">
        <v>362</v>
      </c>
      <c r="T1083">
        <v>11</v>
      </c>
      <c r="U1083" t="s">
        <v>65</v>
      </c>
      <c r="V1083" t="s">
        <v>72</v>
      </c>
      <c r="W1083" t="str">
        <f t="shared" ca="1" si="50"/>
        <v>Dormant</v>
      </c>
    </row>
    <row r="1084" spans="1:23" x14ac:dyDescent="0.2">
      <c r="A1084">
        <v>1074</v>
      </c>
      <c r="B1084" t="s">
        <v>3236</v>
      </c>
      <c r="C1084" t="s">
        <v>3244</v>
      </c>
      <c r="D1084" s="1" t="s">
        <v>924</v>
      </c>
      <c r="E1084" t="s">
        <v>3238</v>
      </c>
      <c r="F1084" t="s">
        <v>881</v>
      </c>
      <c r="G1084" s="4" t="s">
        <v>5420</v>
      </c>
      <c r="H1084" t="s">
        <v>3239</v>
      </c>
      <c r="I1084" t="s">
        <v>136</v>
      </c>
      <c r="J1084" s="4" t="s">
        <v>5417</v>
      </c>
      <c r="K1084" t="s">
        <v>3245</v>
      </c>
      <c r="L1084">
        <v>4</v>
      </c>
      <c r="M1084" t="s">
        <v>404</v>
      </c>
      <c r="N1084" t="s">
        <v>411</v>
      </c>
      <c r="O1084" t="s">
        <v>411</v>
      </c>
      <c r="P1084" s="2" t="str">
        <f t="shared" si="48"/>
        <v>15/07/2025 to 18/07/2025</v>
      </c>
      <c r="Q1084" s="3">
        <v>45856</v>
      </c>
      <c r="R1084" t="str">
        <f t="shared" si="49"/>
        <v>On-Time</v>
      </c>
      <c r="S1084" t="s">
        <v>412</v>
      </c>
      <c r="T1084">
        <v>41</v>
      </c>
      <c r="U1084" t="s">
        <v>79</v>
      </c>
      <c r="V1084" t="s">
        <v>80</v>
      </c>
      <c r="W1084" t="str">
        <f t="shared" ca="1" si="50"/>
        <v>Dormant</v>
      </c>
    </row>
    <row r="1085" spans="1:23" x14ac:dyDescent="0.2">
      <c r="A1085">
        <v>1075</v>
      </c>
      <c r="B1085" t="s">
        <v>3236</v>
      </c>
      <c r="C1085" t="s">
        <v>3246</v>
      </c>
      <c r="D1085" s="1" t="s">
        <v>924</v>
      </c>
      <c r="E1085" t="s">
        <v>3238</v>
      </c>
      <c r="F1085" t="s">
        <v>881</v>
      </c>
      <c r="G1085" s="4" t="s">
        <v>5428</v>
      </c>
      <c r="H1085" t="s">
        <v>3239</v>
      </c>
      <c r="I1085" t="s">
        <v>136</v>
      </c>
      <c r="J1085" s="4" t="s">
        <v>74</v>
      </c>
      <c r="K1085" t="s">
        <v>722</v>
      </c>
      <c r="L1085">
        <v>2</v>
      </c>
      <c r="M1085" t="s">
        <v>924</v>
      </c>
      <c r="N1085" t="s">
        <v>924</v>
      </c>
      <c r="O1085" t="s">
        <v>404</v>
      </c>
      <c r="P1085" s="2" t="str">
        <f t="shared" si="48"/>
        <v>14/07/2025 to 17/07/2025</v>
      </c>
      <c r="Q1085" s="3">
        <v>45855</v>
      </c>
      <c r="R1085" t="str">
        <f t="shared" si="49"/>
        <v>On-Time</v>
      </c>
      <c r="S1085" t="s">
        <v>412</v>
      </c>
      <c r="T1085">
        <v>17</v>
      </c>
      <c r="U1085" t="s">
        <v>79</v>
      </c>
      <c r="V1085" t="s">
        <v>72</v>
      </c>
      <c r="W1085" t="str">
        <f t="shared" ca="1" si="50"/>
        <v>Dormant</v>
      </c>
    </row>
    <row r="1086" spans="1:23" x14ac:dyDescent="0.2">
      <c r="A1086">
        <v>1313</v>
      </c>
      <c r="B1086" t="s">
        <v>3806</v>
      </c>
      <c r="C1086" t="s">
        <v>3807</v>
      </c>
      <c r="D1086" s="1" t="s">
        <v>924</v>
      </c>
      <c r="E1086" t="s">
        <v>3808</v>
      </c>
      <c r="F1086" t="s">
        <v>209</v>
      </c>
      <c r="G1086" s="4" t="s">
        <v>5426</v>
      </c>
      <c r="H1086" t="s">
        <v>3809</v>
      </c>
      <c r="I1086" t="s">
        <v>136</v>
      </c>
      <c r="J1086" s="4" t="s">
        <v>60</v>
      </c>
      <c r="K1086" t="s">
        <v>3810</v>
      </c>
      <c r="L1086">
        <v>3</v>
      </c>
      <c r="M1086" t="s">
        <v>921</v>
      </c>
      <c r="N1086" t="s">
        <v>921</v>
      </c>
      <c r="O1086" t="s">
        <v>404</v>
      </c>
      <c r="P1086" s="2" t="str">
        <f t="shared" si="48"/>
        <v>15/07/2025 to 18/07/2025</v>
      </c>
      <c r="Q1086" s="3">
        <v>45852</v>
      </c>
      <c r="R1086" t="str">
        <f t="shared" si="49"/>
        <v>Late</v>
      </c>
      <c r="S1086" t="s">
        <v>366</v>
      </c>
      <c r="T1086">
        <v>28</v>
      </c>
      <c r="U1086" t="s">
        <v>79</v>
      </c>
      <c r="V1086" t="s">
        <v>80</v>
      </c>
      <c r="W1086" t="str">
        <f t="shared" ca="1" si="50"/>
        <v>Dormant</v>
      </c>
    </row>
    <row r="1087" spans="1:23" x14ac:dyDescent="0.2">
      <c r="A1087">
        <v>1959</v>
      </c>
      <c r="B1087" t="s">
        <v>5312</v>
      </c>
      <c r="C1087" t="s">
        <v>5313</v>
      </c>
      <c r="D1087" s="1" t="s">
        <v>924</v>
      </c>
      <c r="E1087" t="s">
        <v>5314</v>
      </c>
      <c r="F1087" t="s">
        <v>179</v>
      </c>
      <c r="G1087" s="4" t="s">
        <v>5425</v>
      </c>
      <c r="H1087" t="s">
        <v>3423</v>
      </c>
      <c r="I1087" t="s">
        <v>93</v>
      </c>
      <c r="J1087" s="4" t="s">
        <v>60</v>
      </c>
      <c r="K1087" t="s">
        <v>28</v>
      </c>
      <c r="L1087">
        <v>1</v>
      </c>
      <c r="M1087" t="s">
        <v>924</v>
      </c>
      <c r="N1087" t="s">
        <v>404</v>
      </c>
      <c r="O1087" t="s">
        <v>921</v>
      </c>
      <c r="P1087" s="2" t="str">
        <f t="shared" si="48"/>
        <v>14/07/2025 to 17/07/2025</v>
      </c>
      <c r="Q1087" s="3">
        <v>45850</v>
      </c>
      <c r="R1087" t="str">
        <f t="shared" si="49"/>
        <v>Late</v>
      </c>
      <c r="S1087" t="s">
        <v>365</v>
      </c>
      <c r="T1087">
        <v>9</v>
      </c>
      <c r="U1087" t="s">
        <v>65</v>
      </c>
      <c r="V1087" t="s">
        <v>72</v>
      </c>
      <c r="W1087" t="str">
        <f t="shared" ca="1" si="50"/>
        <v>Dormant</v>
      </c>
    </row>
    <row r="1088" spans="1:23" x14ac:dyDescent="0.2">
      <c r="A1088">
        <v>1960</v>
      </c>
      <c r="B1088" t="s">
        <v>5312</v>
      </c>
      <c r="C1088" t="s">
        <v>5315</v>
      </c>
      <c r="D1088" s="1" t="s">
        <v>924</v>
      </c>
      <c r="E1088" t="s">
        <v>5314</v>
      </c>
      <c r="F1088" t="s">
        <v>179</v>
      </c>
      <c r="G1088" s="4" t="s">
        <v>5419</v>
      </c>
      <c r="H1088" t="s">
        <v>3423</v>
      </c>
      <c r="I1088" t="s">
        <v>93</v>
      </c>
      <c r="J1088" s="4" t="s">
        <v>5417</v>
      </c>
      <c r="K1088" t="s">
        <v>4</v>
      </c>
      <c r="L1088">
        <v>1</v>
      </c>
      <c r="M1088" t="s">
        <v>921</v>
      </c>
      <c r="N1088" t="s">
        <v>921</v>
      </c>
      <c r="O1088" t="s">
        <v>404</v>
      </c>
      <c r="P1088" s="2" t="str">
        <f t="shared" si="48"/>
        <v>15/07/2025 to 18/07/2025</v>
      </c>
      <c r="Q1088" s="3">
        <v>45855</v>
      </c>
      <c r="R1088" t="str">
        <f t="shared" si="49"/>
        <v>On-Time</v>
      </c>
      <c r="S1088" t="s">
        <v>750</v>
      </c>
      <c r="T1088">
        <v>8</v>
      </c>
      <c r="U1088" t="s">
        <v>65</v>
      </c>
      <c r="V1088" t="s">
        <v>80</v>
      </c>
      <c r="W1088" t="str">
        <f t="shared" ca="1" si="50"/>
        <v>Dormant</v>
      </c>
    </row>
    <row r="1089" spans="1:23" x14ac:dyDescent="0.2">
      <c r="A1089">
        <v>1961</v>
      </c>
      <c r="B1089" t="s">
        <v>5312</v>
      </c>
      <c r="C1089" t="s">
        <v>5316</v>
      </c>
      <c r="D1089" s="1" t="s">
        <v>924</v>
      </c>
      <c r="E1089" t="s">
        <v>5314</v>
      </c>
      <c r="F1089" t="s">
        <v>179</v>
      </c>
      <c r="G1089" s="4" t="s">
        <v>5423</v>
      </c>
      <c r="H1089" t="s">
        <v>3423</v>
      </c>
      <c r="I1089" t="s">
        <v>93</v>
      </c>
      <c r="J1089" s="4" t="s">
        <v>74</v>
      </c>
      <c r="K1089" t="s">
        <v>5317</v>
      </c>
      <c r="L1089">
        <v>3</v>
      </c>
      <c r="M1089" t="s">
        <v>924</v>
      </c>
      <c r="N1089" t="s">
        <v>921</v>
      </c>
      <c r="O1089" t="s">
        <v>924</v>
      </c>
      <c r="P1089" s="2" t="str">
        <f t="shared" si="48"/>
        <v>14/07/2025 to 17/07/2025</v>
      </c>
      <c r="Q1089" s="3">
        <v>45853</v>
      </c>
      <c r="R1089" t="str">
        <f t="shared" si="49"/>
        <v>On-Time</v>
      </c>
      <c r="S1089" t="s">
        <v>1291</v>
      </c>
      <c r="T1089">
        <v>25.5</v>
      </c>
      <c r="U1089" t="s">
        <v>65</v>
      </c>
      <c r="V1089" t="s">
        <v>72</v>
      </c>
      <c r="W1089" t="str">
        <f t="shared" ca="1" si="50"/>
        <v>Dormant</v>
      </c>
    </row>
    <row r="1090" spans="1:23" x14ac:dyDescent="0.2">
      <c r="A1090">
        <v>625</v>
      </c>
      <c r="B1090" t="s">
        <v>2147</v>
      </c>
      <c r="C1090" t="s">
        <v>2148</v>
      </c>
      <c r="D1090" s="1" t="s">
        <v>921</v>
      </c>
      <c r="E1090" t="s">
        <v>2149</v>
      </c>
      <c r="F1090" t="s">
        <v>209</v>
      </c>
      <c r="G1090" s="4" t="s">
        <v>5418</v>
      </c>
      <c r="H1090" t="s">
        <v>2150</v>
      </c>
      <c r="I1090" t="s">
        <v>59</v>
      </c>
      <c r="J1090" s="4" t="s">
        <v>68</v>
      </c>
      <c r="K1090" t="s">
        <v>32</v>
      </c>
      <c r="L1090">
        <v>1</v>
      </c>
      <c r="M1090" t="s">
        <v>404</v>
      </c>
      <c r="N1090" t="s">
        <v>411</v>
      </c>
      <c r="O1090" t="s">
        <v>404</v>
      </c>
      <c r="P1090" s="2" t="str">
        <f t="shared" ref="P1090:P1153" si="51">IF(ISBLANK(M1090), "", TEXT(WORKDAY(M1090, 7), "dd/mm/yyyy") &amp; " to " &amp; TEXT(WORKDAY(M1090, 10), "dd/mm/yyyy"))</f>
        <v>15/07/2025 to 18/07/2025</v>
      </c>
      <c r="Q1090" s="3">
        <v>45851</v>
      </c>
      <c r="R1090" t="str">
        <f t="shared" ref="R1090:R1153" si="52">IF(Q1090="","In Progress",
IF(AND(--Q1090&gt;=DATEVALUE(LEFT(P1090,10)),
       --Q1090&lt;=DATEVALUE(TRIM(MID(P1090,FIND("to",P1090)+3,10)))),
   "On-Time","Late"))</f>
        <v>Late</v>
      </c>
      <c r="S1090" t="s">
        <v>362</v>
      </c>
      <c r="T1090">
        <v>14</v>
      </c>
      <c r="U1090" t="s">
        <v>65</v>
      </c>
      <c r="V1090" t="s">
        <v>80</v>
      </c>
      <c r="W1090" t="str">
        <f t="shared" ca="1" si="50"/>
        <v>Dormant</v>
      </c>
    </row>
    <row r="1091" spans="1:23" x14ac:dyDescent="0.2">
      <c r="A1091">
        <v>626</v>
      </c>
      <c r="B1091" t="s">
        <v>2147</v>
      </c>
      <c r="C1091" t="s">
        <v>2151</v>
      </c>
      <c r="D1091" s="1" t="s">
        <v>921</v>
      </c>
      <c r="E1091" t="s">
        <v>2149</v>
      </c>
      <c r="F1091" t="s">
        <v>209</v>
      </c>
      <c r="G1091" s="4" t="s">
        <v>5423</v>
      </c>
      <c r="H1091" t="s">
        <v>2150</v>
      </c>
      <c r="I1091" t="s">
        <v>59</v>
      </c>
      <c r="J1091" s="4" t="s">
        <v>68</v>
      </c>
      <c r="K1091" t="s">
        <v>2152</v>
      </c>
      <c r="L1091">
        <v>4</v>
      </c>
      <c r="M1091" t="s">
        <v>404</v>
      </c>
      <c r="N1091" t="s">
        <v>404</v>
      </c>
      <c r="O1091" t="s">
        <v>411</v>
      </c>
      <c r="P1091" s="2" t="str">
        <f t="shared" si="51"/>
        <v>15/07/2025 to 18/07/2025</v>
      </c>
      <c r="Q1091" s="3">
        <v>45856</v>
      </c>
      <c r="R1091" t="str">
        <f t="shared" si="52"/>
        <v>On-Time</v>
      </c>
      <c r="S1091" t="s">
        <v>750</v>
      </c>
      <c r="T1091">
        <v>42</v>
      </c>
      <c r="U1091" t="s">
        <v>79</v>
      </c>
      <c r="V1091" t="s">
        <v>80</v>
      </c>
      <c r="W1091" t="str">
        <f t="shared" ref="W1091:W1154" ca="1" si="53">IF(D1091="","",
IF(TODAY()-D1091&lt;=120,"Active",
IF(TODAY()-D1091&lt;=210,"At Risk",
IF(TODAY()-D1091&lt;=395,"Dormant",
IF(TODAY()-D1091&lt;=730,"Inactive","Archived")))))</f>
        <v>Dormant</v>
      </c>
    </row>
    <row r="1092" spans="1:23" x14ac:dyDescent="0.2">
      <c r="A1092">
        <v>627</v>
      </c>
      <c r="B1092" t="s">
        <v>2147</v>
      </c>
      <c r="C1092" t="s">
        <v>2153</v>
      </c>
      <c r="D1092" s="1" t="s">
        <v>921</v>
      </c>
      <c r="E1092" t="s">
        <v>2149</v>
      </c>
      <c r="F1092" t="s">
        <v>209</v>
      </c>
      <c r="G1092" s="4" t="s">
        <v>5423</v>
      </c>
      <c r="H1092" t="s">
        <v>2150</v>
      </c>
      <c r="I1092" t="s">
        <v>59</v>
      </c>
      <c r="J1092" s="4" t="s">
        <v>68</v>
      </c>
      <c r="K1092" t="s">
        <v>1090</v>
      </c>
      <c r="L1092">
        <v>2</v>
      </c>
      <c r="M1092" t="s">
        <v>921</v>
      </c>
      <c r="N1092" t="s">
        <v>411</v>
      </c>
      <c r="O1092" t="s">
        <v>404</v>
      </c>
      <c r="P1092" s="2" t="str">
        <f t="shared" si="51"/>
        <v>15/07/2025 to 18/07/2025</v>
      </c>
      <c r="Q1092" s="3">
        <v>45855</v>
      </c>
      <c r="R1092" t="str">
        <f t="shared" si="52"/>
        <v>On-Time</v>
      </c>
      <c r="S1092" t="s">
        <v>750</v>
      </c>
      <c r="T1092">
        <v>18</v>
      </c>
      <c r="U1092" t="s">
        <v>65</v>
      </c>
      <c r="V1092" t="s">
        <v>72</v>
      </c>
      <c r="W1092" t="str">
        <f t="shared" ca="1" si="53"/>
        <v>Dormant</v>
      </c>
    </row>
    <row r="1093" spans="1:23" x14ac:dyDescent="0.2">
      <c r="A1093">
        <v>628</v>
      </c>
      <c r="B1093" t="s">
        <v>2147</v>
      </c>
      <c r="C1093" t="s">
        <v>2154</v>
      </c>
      <c r="D1093" s="1" t="s">
        <v>921</v>
      </c>
      <c r="E1093" t="s">
        <v>2149</v>
      </c>
      <c r="F1093" t="s">
        <v>209</v>
      </c>
      <c r="G1093" s="4" t="s">
        <v>5428</v>
      </c>
      <c r="H1093" t="s">
        <v>2150</v>
      </c>
      <c r="I1093" t="s">
        <v>59</v>
      </c>
      <c r="J1093" s="4" t="s">
        <v>68</v>
      </c>
      <c r="K1093" t="s">
        <v>12</v>
      </c>
      <c r="L1093">
        <v>1</v>
      </c>
      <c r="M1093" t="s">
        <v>921</v>
      </c>
      <c r="N1093" t="s">
        <v>921</v>
      </c>
      <c r="O1093" t="s">
        <v>411</v>
      </c>
      <c r="P1093" s="2" t="str">
        <f t="shared" si="51"/>
        <v>15/07/2025 to 18/07/2025</v>
      </c>
      <c r="Q1093" s="3">
        <v>45856</v>
      </c>
      <c r="R1093" t="str">
        <f t="shared" si="52"/>
        <v>On-Time</v>
      </c>
      <c r="S1093" t="s">
        <v>412</v>
      </c>
      <c r="T1093">
        <v>9.5</v>
      </c>
      <c r="U1093" t="s">
        <v>65</v>
      </c>
      <c r="V1093" t="s">
        <v>80</v>
      </c>
      <c r="W1093" t="str">
        <f t="shared" ca="1" si="53"/>
        <v>Dormant</v>
      </c>
    </row>
    <row r="1094" spans="1:23" x14ac:dyDescent="0.2">
      <c r="A1094">
        <v>629</v>
      </c>
      <c r="B1094" t="s">
        <v>2147</v>
      </c>
      <c r="C1094" t="s">
        <v>2155</v>
      </c>
      <c r="D1094" s="1" t="s">
        <v>921</v>
      </c>
      <c r="E1094" t="s">
        <v>2149</v>
      </c>
      <c r="F1094" t="s">
        <v>209</v>
      </c>
      <c r="G1094" s="4" t="s">
        <v>5420</v>
      </c>
      <c r="H1094" t="s">
        <v>2150</v>
      </c>
      <c r="I1094" t="s">
        <v>59</v>
      </c>
      <c r="J1094" s="4" t="s">
        <v>68</v>
      </c>
      <c r="K1094" t="s">
        <v>2156</v>
      </c>
      <c r="L1094">
        <v>2</v>
      </c>
      <c r="M1094" t="s">
        <v>921</v>
      </c>
      <c r="N1094" t="s">
        <v>921</v>
      </c>
      <c r="O1094" t="s">
        <v>411</v>
      </c>
      <c r="P1094" s="2" t="str">
        <f t="shared" si="51"/>
        <v>15/07/2025 to 18/07/2025</v>
      </c>
      <c r="Q1094" s="3">
        <v>45854</v>
      </c>
      <c r="R1094" t="str">
        <f t="shared" si="52"/>
        <v>On-Time</v>
      </c>
      <c r="S1094" t="s">
        <v>1291</v>
      </c>
      <c r="T1094">
        <v>18.5</v>
      </c>
      <c r="U1094" t="s">
        <v>65</v>
      </c>
      <c r="V1094" t="s">
        <v>80</v>
      </c>
      <c r="W1094" t="str">
        <f t="shared" ca="1" si="53"/>
        <v>Dormant</v>
      </c>
    </row>
    <row r="1095" spans="1:23" x14ac:dyDescent="0.2">
      <c r="A1095">
        <v>68</v>
      </c>
      <c r="B1095" t="s">
        <v>402</v>
      </c>
      <c r="C1095" t="s">
        <v>403</v>
      </c>
      <c r="D1095" s="1" t="s">
        <v>404</v>
      </c>
      <c r="E1095" t="s">
        <v>405</v>
      </c>
      <c r="F1095" t="s">
        <v>406</v>
      </c>
      <c r="G1095" s="4" t="s">
        <v>5421</v>
      </c>
      <c r="H1095" t="s">
        <v>407</v>
      </c>
      <c r="I1095" t="s">
        <v>59</v>
      </c>
      <c r="J1095" s="4" t="s">
        <v>60</v>
      </c>
      <c r="K1095" t="s">
        <v>22</v>
      </c>
      <c r="L1095">
        <v>1</v>
      </c>
      <c r="M1095" t="s">
        <v>351</v>
      </c>
      <c r="N1095" t="s">
        <v>351</v>
      </c>
      <c r="O1095" t="s">
        <v>352</v>
      </c>
      <c r="P1095" s="2" t="str">
        <f t="shared" si="51"/>
        <v>16/07/2025 to 21/07/2025</v>
      </c>
      <c r="Q1095" s="3">
        <v>45859</v>
      </c>
      <c r="R1095" t="str">
        <f t="shared" si="52"/>
        <v>On-Time</v>
      </c>
      <c r="S1095" t="s">
        <v>409</v>
      </c>
      <c r="T1095">
        <v>8</v>
      </c>
      <c r="U1095" t="s">
        <v>65</v>
      </c>
      <c r="V1095" t="s">
        <v>72</v>
      </c>
      <c r="W1095" t="str">
        <f t="shared" ca="1" si="53"/>
        <v>Dormant</v>
      </c>
    </row>
    <row r="1096" spans="1:23" x14ac:dyDescent="0.2">
      <c r="A1096">
        <v>69</v>
      </c>
      <c r="B1096" t="s">
        <v>402</v>
      </c>
      <c r="C1096" t="s">
        <v>410</v>
      </c>
      <c r="D1096" s="1" t="s">
        <v>404</v>
      </c>
      <c r="E1096" t="s">
        <v>405</v>
      </c>
      <c r="F1096" t="s">
        <v>406</v>
      </c>
      <c r="G1096" s="4" t="s">
        <v>5426</v>
      </c>
      <c r="H1096" t="s">
        <v>407</v>
      </c>
      <c r="I1096" t="s">
        <v>59</v>
      </c>
      <c r="J1096" s="4" t="s">
        <v>74</v>
      </c>
      <c r="K1096" t="s">
        <v>16</v>
      </c>
      <c r="L1096">
        <v>1</v>
      </c>
      <c r="M1096" t="s">
        <v>404</v>
      </c>
      <c r="N1096" t="s">
        <v>411</v>
      </c>
      <c r="O1096" t="s">
        <v>411</v>
      </c>
      <c r="P1096" s="2" t="str">
        <f t="shared" si="51"/>
        <v>15/07/2025 to 18/07/2025</v>
      </c>
      <c r="Q1096" s="3">
        <v>45857</v>
      </c>
      <c r="R1096" t="str">
        <f t="shared" si="52"/>
        <v>Late</v>
      </c>
      <c r="S1096" t="s">
        <v>408</v>
      </c>
      <c r="T1096">
        <v>11</v>
      </c>
      <c r="U1096" t="s">
        <v>65</v>
      </c>
      <c r="V1096" t="s">
        <v>66</v>
      </c>
      <c r="W1096" t="str">
        <f t="shared" ca="1" si="53"/>
        <v>Dormant</v>
      </c>
    </row>
    <row r="1097" spans="1:23" x14ac:dyDescent="0.2">
      <c r="A1097">
        <v>70</v>
      </c>
      <c r="B1097" t="s">
        <v>402</v>
      </c>
      <c r="C1097" t="s">
        <v>413</v>
      </c>
      <c r="D1097" s="1" t="s">
        <v>404</v>
      </c>
      <c r="E1097" t="s">
        <v>405</v>
      </c>
      <c r="F1097" t="s">
        <v>406</v>
      </c>
      <c r="G1097" s="4" t="s">
        <v>5427</v>
      </c>
      <c r="H1097" t="s">
        <v>407</v>
      </c>
      <c r="I1097" t="s">
        <v>59</v>
      </c>
      <c r="J1097" s="4" t="s">
        <v>60</v>
      </c>
      <c r="K1097" t="s">
        <v>414</v>
      </c>
      <c r="L1097">
        <v>3</v>
      </c>
      <c r="M1097" t="s">
        <v>411</v>
      </c>
      <c r="N1097" t="s">
        <v>415</v>
      </c>
      <c r="O1097" t="s">
        <v>351</v>
      </c>
      <c r="P1097" s="2" t="str">
        <f t="shared" si="51"/>
        <v>15/07/2025 to 18/07/2025</v>
      </c>
      <c r="Q1097" s="3">
        <v>45858</v>
      </c>
      <c r="R1097" t="str">
        <f t="shared" si="52"/>
        <v>Late</v>
      </c>
      <c r="S1097" t="s">
        <v>408</v>
      </c>
      <c r="T1097">
        <v>26.5</v>
      </c>
      <c r="U1097" t="s">
        <v>65</v>
      </c>
      <c r="V1097" t="s">
        <v>72</v>
      </c>
      <c r="W1097" t="str">
        <f t="shared" ca="1" si="53"/>
        <v>Dormant</v>
      </c>
    </row>
    <row r="1098" spans="1:23" x14ac:dyDescent="0.2">
      <c r="A1098">
        <v>71</v>
      </c>
      <c r="B1098" t="s">
        <v>402</v>
      </c>
      <c r="C1098" t="s">
        <v>417</v>
      </c>
      <c r="D1098" s="1" t="s">
        <v>404</v>
      </c>
      <c r="E1098" t="s">
        <v>405</v>
      </c>
      <c r="F1098" t="s">
        <v>406</v>
      </c>
      <c r="G1098" s="4" t="s">
        <v>5418</v>
      </c>
      <c r="H1098" t="s">
        <v>407</v>
      </c>
      <c r="I1098" t="s">
        <v>59</v>
      </c>
      <c r="J1098" s="4" t="s">
        <v>68</v>
      </c>
      <c r="K1098" t="s">
        <v>418</v>
      </c>
      <c r="L1098">
        <v>4</v>
      </c>
      <c r="M1098" t="s">
        <v>404</v>
      </c>
      <c r="N1098" t="s">
        <v>411</v>
      </c>
      <c r="O1098" t="s">
        <v>411</v>
      </c>
      <c r="P1098" s="2" t="str">
        <f t="shared" si="51"/>
        <v>15/07/2025 to 18/07/2025</v>
      </c>
      <c r="Q1098" s="3">
        <v>45853</v>
      </c>
      <c r="R1098" t="str">
        <f t="shared" si="52"/>
        <v>On-Time</v>
      </c>
      <c r="S1098" t="s">
        <v>366</v>
      </c>
      <c r="T1098">
        <v>35.5</v>
      </c>
      <c r="U1098" t="s">
        <v>79</v>
      </c>
      <c r="V1098" t="s">
        <v>80</v>
      </c>
      <c r="W1098" t="str">
        <f t="shared" ca="1" si="53"/>
        <v>Dormant</v>
      </c>
    </row>
    <row r="1099" spans="1:23" x14ac:dyDescent="0.2">
      <c r="A1099">
        <v>72</v>
      </c>
      <c r="B1099" t="s">
        <v>402</v>
      </c>
      <c r="C1099" t="s">
        <v>419</v>
      </c>
      <c r="D1099" s="1" t="s">
        <v>404</v>
      </c>
      <c r="E1099" t="s">
        <v>405</v>
      </c>
      <c r="F1099" t="s">
        <v>406</v>
      </c>
      <c r="G1099" s="4" t="s">
        <v>5427</v>
      </c>
      <c r="H1099" t="s">
        <v>407</v>
      </c>
      <c r="I1099" t="s">
        <v>59</v>
      </c>
      <c r="J1099" s="4" t="s">
        <v>74</v>
      </c>
      <c r="K1099" t="s">
        <v>420</v>
      </c>
      <c r="L1099">
        <v>2</v>
      </c>
      <c r="M1099" t="s">
        <v>351</v>
      </c>
      <c r="N1099" t="s">
        <v>415</v>
      </c>
      <c r="O1099" t="s">
        <v>351</v>
      </c>
      <c r="P1099" s="2" t="str">
        <f t="shared" si="51"/>
        <v>16/07/2025 to 21/07/2025</v>
      </c>
      <c r="Q1099" s="3">
        <v>45858</v>
      </c>
      <c r="R1099" t="str">
        <f t="shared" si="52"/>
        <v>On-Time</v>
      </c>
      <c r="S1099" t="s">
        <v>416</v>
      </c>
      <c r="T1099">
        <v>19</v>
      </c>
      <c r="U1099" t="s">
        <v>65</v>
      </c>
      <c r="V1099" t="s">
        <v>80</v>
      </c>
      <c r="W1099" t="str">
        <f t="shared" ca="1" si="53"/>
        <v>Dormant</v>
      </c>
    </row>
    <row r="1100" spans="1:23" x14ac:dyDescent="0.2">
      <c r="A1100">
        <v>145</v>
      </c>
      <c r="B1100" t="s">
        <v>745</v>
      </c>
      <c r="C1100" t="s">
        <v>746</v>
      </c>
      <c r="D1100" s="1" t="s">
        <v>404</v>
      </c>
      <c r="E1100" t="s">
        <v>747</v>
      </c>
      <c r="F1100" t="s">
        <v>303</v>
      </c>
      <c r="G1100" s="4" t="s">
        <v>5421</v>
      </c>
      <c r="H1100" t="s">
        <v>748</v>
      </c>
      <c r="I1100" t="s">
        <v>136</v>
      </c>
      <c r="J1100" s="4" t="s">
        <v>60</v>
      </c>
      <c r="K1100" t="s">
        <v>749</v>
      </c>
      <c r="L1100">
        <v>2</v>
      </c>
      <c r="M1100" t="s">
        <v>404</v>
      </c>
      <c r="N1100" t="s">
        <v>411</v>
      </c>
      <c r="O1100" t="s">
        <v>351</v>
      </c>
      <c r="P1100" s="2" t="str">
        <f t="shared" si="51"/>
        <v>15/07/2025 to 18/07/2025</v>
      </c>
      <c r="Q1100" s="3">
        <v>45856</v>
      </c>
      <c r="R1100" t="str">
        <f t="shared" si="52"/>
        <v>On-Time</v>
      </c>
      <c r="S1100" t="s">
        <v>416</v>
      </c>
      <c r="T1100">
        <v>17.5</v>
      </c>
      <c r="U1100" t="s">
        <v>65</v>
      </c>
      <c r="V1100" t="s">
        <v>66</v>
      </c>
      <c r="W1100" t="str">
        <f t="shared" ca="1" si="53"/>
        <v>Dormant</v>
      </c>
    </row>
    <row r="1101" spans="1:23" x14ac:dyDescent="0.2">
      <c r="A1101">
        <v>310</v>
      </c>
      <c r="B1101" t="s">
        <v>1286</v>
      </c>
      <c r="C1101" t="s">
        <v>1287</v>
      </c>
      <c r="D1101" s="1" t="s">
        <v>404</v>
      </c>
      <c r="E1101" t="s">
        <v>1288</v>
      </c>
      <c r="F1101" t="s">
        <v>1077</v>
      </c>
      <c r="G1101" s="4" t="s">
        <v>38</v>
      </c>
      <c r="H1101" t="s">
        <v>1289</v>
      </c>
      <c r="I1101" t="s">
        <v>59</v>
      </c>
      <c r="J1101" s="4" t="s">
        <v>60</v>
      </c>
      <c r="K1101" t="s">
        <v>1290</v>
      </c>
      <c r="L1101">
        <v>4</v>
      </c>
      <c r="M1101" t="s">
        <v>411</v>
      </c>
      <c r="N1101" t="s">
        <v>411</v>
      </c>
      <c r="O1101" t="s">
        <v>411</v>
      </c>
      <c r="P1101" s="2" t="str">
        <f t="shared" si="51"/>
        <v>15/07/2025 to 18/07/2025</v>
      </c>
      <c r="Q1101" s="3">
        <v>45855</v>
      </c>
      <c r="R1101" t="str">
        <f t="shared" si="52"/>
        <v>On-Time</v>
      </c>
      <c r="S1101" t="s">
        <v>750</v>
      </c>
      <c r="T1101">
        <v>38.5</v>
      </c>
      <c r="U1101" t="s">
        <v>79</v>
      </c>
      <c r="V1101" t="s">
        <v>66</v>
      </c>
      <c r="W1101" t="str">
        <f t="shared" ca="1" si="53"/>
        <v>Dormant</v>
      </c>
    </row>
    <row r="1102" spans="1:23" x14ac:dyDescent="0.2">
      <c r="A1102">
        <v>311</v>
      </c>
      <c r="B1102" t="s">
        <v>1286</v>
      </c>
      <c r="C1102" t="s">
        <v>1292</v>
      </c>
      <c r="D1102" s="1" t="s">
        <v>404</v>
      </c>
      <c r="E1102" t="s">
        <v>1288</v>
      </c>
      <c r="F1102" t="s">
        <v>1077</v>
      </c>
      <c r="G1102" s="4" t="s">
        <v>5426</v>
      </c>
      <c r="H1102" t="s">
        <v>1289</v>
      </c>
      <c r="I1102" t="s">
        <v>59</v>
      </c>
      <c r="J1102" s="4" t="s">
        <v>74</v>
      </c>
      <c r="K1102" t="s">
        <v>1293</v>
      </c>
      <c r="L1102">
        <v>2</v>
      </c>
      <c r="M1102" t="s">
        <v>404</v>
      </c>
      <c r="N1102" t="s">
        <v>351</v>
      </c>
      <c r="O1102" t="s">
        <v>351</v>
      </c>
      <c r="P1102" s="2" t="str">
        <f t="shared" si="51"/>
        <v>15/07/2025 to 18/07/2025</v>
      </c>
      <c r="Q1102" s="3">
        <v>45852</v>
      </c>
      <c r="R1102" t="str">
        <f t="shared" si="52"/>
        <v>Late</v>
      </c>
      <c r="S1102" t="s">
        <v>365</v>
      </c>
      <c r="T1102">
        <v>17</v>
      </c>
      <c r="U1102" t="s">
        <v>79</v>
      </c>
      <c r="V1102" t="s">
        <v>66</v>
      </c>
      <c r="W1102" t="str">
        <f t="shared" ca="1" si="53"/>
        <v>Dormant</v>
      </c>
    </row>
    <row r="1103" spans="1:23" x14ac:dyDescent="0.2">
      <c r="A1103">
        <v>312</v>
      </c>
      <c r="B1103" t="s">
        <v>1286</v>
      </c>
      <c r="C1103" t="s">
        <v>1294</v>
      </c>
      <c r="D1103" s="1" t="s">
        <v>404</v>
      </c>
      <c r="E1103" t="s">
        <v>1288</v>
      </c>
      <c r="F1103" t="s">
        <v>1077</v>
      </c>
      <c r="G1103" s="4" t="s">
        <v>5427</v>
      </c>
      <c r="H1103" t="s">
        <v>1289</v>
      </c>
      <c r="I1103" t="s">
        <v>59</v>
      </c>
      <c r="J1103" s="4" t="s">
        <v>74</v>
      </c>
      <c r="K1103" t="s">
        <v>1295</v>
      </c>
      <c r="L1103">
        <v>2</v>
      </c>
      <c r="M1103" t="s">
        <v>351</v>
      </c>
      <c r="N1103" t="s">
        <v>351</v>
      </c>
      <c r="O1103" t="s">
        <v>415</v>
      </c>
      <c r="P1103" s="2" t="str">
        <f t="shared" si="51"/>
        <v>16/07/2025 to 21/07/2025</v>
      </c>
      <c r="Q1103" s="3">
        <v>45857</v>
      </c>
      <c r="R1103" t="str">
        <f t="shared" si="52"/>
        <v>On-Time</v>
      </c>
      <c r="S1103" t="s">
        <v>408</v>
      </c>
      <c r="T1103">
        <v>17.5</v>
      </c>
      <c r="U1103" t="s">
        <v>79</v>
      </c>
      <c r="V1103" t="s">
        <v>80</v>
      </c>
      <c r="W1103" t="str">
        <f t="shared" ca="1" si="53"/>
        <v>Dormant</v>
      </c>
    </row>
    <row r="1104" spans="1:23" x14ac:dyDescent="0.2">
      <c r="A1104">
        <v>1971</v>
      </c>
      <c r="B1104" t="s">
        <v>5342</v>
      </c>
      <c r="C1104" t="s">
        <v>5343</v>
      </c>
      <c r="D1104" s="1" t="s">
        <v>404</v>
      </c>
      <c r="E1104" t="s">
        <v>5344</v>
      </c>
      <c r="F1104" t="s">
        <v>1829</v>
      </c>
      <c r="G1104" s="4" t="s">
        <v>5421</v>
      </c>
      <c r="H1104" t="s">
        <v>2864</v>
      </c>
      <c r="I1104" t="s">
        <v>59</v>
      </c>
      <c r="J1104" s="4" t="s">
        <v>60</v>
      </c>
      <c r="K1104" t="s">
        <v>5345</v>
      </c>
      <c r="L1104">
        <v>4</v>
      </c>
      <c r="M1104" t="s">
        <v>404</v>
      </c>
      <c r="N1104" t="s">
        <v>351</v>
      </c>
      <c r="O1104" t="s">
        <v>411</v>
      </c>
      <c r="P1104" s="2" t="str">
        <f t="shared" si="51"/>
        <v>15/07/2025 to 18/07/2025</v>
      </c>
      <c r="Q1104" s="3">
        <v>45855</v>
      </c>
      <c r="R1104" t="str">
        <f t="shared" si="52"/>
        <v>On-Time</v>
      </c>
      <c r="S1104" t="s">
        <v>750</v>
      </c>
      <c r="T1104">
        <v>37</v>
      </c>
      <c r="U1104" t="s">
        <v>79</v>
      </c>
      <c r="V1104" t="s">
        <v>72</v>
      </c>
      <c r="W1104" t="str">
        <f t="shared" ca="1" si="53"/>
        <v>Dormant</v>
      </c>
    </row>
    <row r="1105" spans="1:23" x14ac:dyDescent="0.2">
      <c r="A1105">
        <v>1972</v>
      </c>
      <c r="B1105" t="s">
        <v>5342</v>
      </c>
      <c r="C1105" t="s">
        <v>5346</v>
      </c>
      <c r="D1105" s="1" t="s">
        <v>404</v>
      </c>
      <c r="E1105" t="s">
        <v>5344</v>
      </c>
      <c r="F1105" t="s">
        <v>1829</v>
      </c>
      <c r="G1105" s="4" t="s">
        <v>5424</v>
      </c>
      <c r="H1105" t="s">
        <v>2864</v>
      </c>
      <c r="I1105" t="s">
        <v>59</v>
      </c>
      <c r="J1105" s="4" t="s">
        <v>68</v>
      </c>
      <c r="K1105" t="s">
        <v>6</v>
      </c>
      <c r="L1105">
        <v>1</v>
      </c>
      <c r="M1105" t="s">
        <v>404</v>
      </c>
      <c r="N1105" t="s">
        <v>351</v>
      </c>
      <c r="O1105" t="s">
        <v>351</v>
      </c>
      <c r="P1105" s="2" t="str">
        <f t="shared" si="51"/>
        <v>15/07/2025 to 18/07/2025</v>
      </c>
      <c r="Q1105" s="3">
        <v>45852</v>
      </c>
      <c r="R1105" t="str">
        <f t="shared" si="52"/>
        <v>Late</v>
      </c>
      <c r="S1105" t="s">
        <v>366</v>
      </c>
      <c r="T1105">
        <v>7.5</v>
      </c>
      <c r="U1105" t="s">
        <v>65</v>
      </c>
      <c r="V1105" t="s">
        <v>66</v>
      </c>
      <c r="W1105" t="str">
        <f t="shared" ca="1" si="53"/>
        <v>Dormant</v>
      </c>
    </row>
    <row r="1106" spans="1:23" x14ac:dyDescent="0.2">
      <c r="A1106">
        <v>1973</v>
      </c>
      <c r="B1106" t="s">
        <v>5342</v>
      </c>
      <c r="C1106" t="s">
        <v>5347</v>
      </c>
      <c r="D1106" s="1" t="s">
        <v>404</v>
      </c>
      <c r="E1106" t="s">
        <v>5344</v>
      </c>
      <c r="F1106" t="s">
        <v>1829</v>
      </c>
      <c r="G1106" s="4" t="s">
        <v>5425</v>
      </c>
      <c r="H1106" t="s">
        <v>2864</v>
      </c>
      <c r="I1106" t="s">
        <v>59</v>
      </c>
      <c r="J1106" s="4" t="s">
        <v>60</v>
      </c>
      <c r="K1106" t="s">
        <v>22</v>
      </c>
      <c r="L1106">
        <v>1</v>
      </c>
      <c r="M1106" t="s">
        <v>404</v>
      </c>
      <c r="N1106" t="s">
        <v>351</v>
      </c>
      <c r="O1106" t="s">
        <v>411</v>
      </c>
      <c r="P1106" s="2" t="str">
        <f t="shared" si="51"/>
        <v>15/07/2025 to 18/07/2025</v>
      </c>
      <c r="Q1106" s="3">
        <v>45855</v>
      </c>
      <c r="R1106" t="str">
        <f t="shared" si="52"/>
        <v>On-Time</v>
      </c>
      <c r="S1106" t="s">
        <v>1291</v>
      </c>
      <c r="T1106">
        <v>8</v>
      </c>
      <c r="U1106" t="s">
        <v>65</v>
      </c>
      <c r="V1106" t="s">
        <v>80</v>
      </c>
      <c r="W1106" t="str">
        <f t="shared" ca="1" si="53"/>
        <v>Dormant</v>
      </c>
    </row>
    <row r="1107" spans="1:23" x14ac:dyDescent="0.2">
      <c r="A1107">
        <v>1974</v>
      </c>
      <c r="B1107" t="s">
        <v>5342</v>
      </c>
      <c r="C1107" t="s">
        <v>5348</v>
      </c>
      <c r="D1107" s="1" t="s">
        <v>404</v>
      </c>
      <c r="E1107" t="s">
        <v>5344</v>
      </c>
      <c r="F1107" t="s">
        <v>1829</v>
      </c>
      <c r="G1107" s="4" t="s">
        <v>5422</v>
      </c>
      <c r="H1107" t="s">
        <v>2864</v>
      </c>
      <c r="I1107" t="s">
        <v>59</v>
      </c>
      <c r="J1107" s="4" t="s">
        <v>60</v>
      </c>
      <c r="K1107" t="s">
        <v>20</v>
      </c>
      <c r="L1107">
        <v>1</v>
      </c>
      <c r="M1107" t="s">
        <v>351</v>
      </c>
      <c r="N1107" t="s">
        <v>351</v>
      </c>
      <c r="O1107" t="s">
        <v>352</v>
      </c>
      <c r="P1107" s="2" t="str">
        <f t="shared" si="51"/>
        <v>16/07/2025 to 21/07/2025</v>
      </c>
      <c r="Q1107" s="3">
        <v>45857</v>
      </c>
      <c r="R1107" t="str">
        <f t="shared" si="52"/>
        <v>On-Time</v>
      </c>
      <c r="S1107" t="s">
        <v>412</v>
      </c>
      <c r="T1107">
        <v>10.5</v>
      </c>
      <c r="U1107" t="s">
        <v>79</v>
      </c>
      <c r="V1107" t="s">
        <v>72</v>
      </c>
      <c r="W1107" t="str">
        <f t="shared" ca="1" si="53"/>
        <v>Dormant</v>
      </c>
    </row>
    <row r="1108" spans="1:23" x14ac:dyDescent="0.2">
      <c r="A1108">
        <v>1229</v>
      </c>
      <c r="B1108" t="s">
        <v>3612</v>
      </c>
      <c r="C1108" t="s">
        <v>3613</v>
      </c>
      <c r="D1108" s="1" t="s">
        <v>411</v>
      </c>
      <c r="E1108" t="s">
        <v>3614</v>
      </c>
      <c r="F1108" t="s">
        <v>579</v>
      </c>
      <c r="G1108" s="4" t="s">
        <v>5421</v>
      </c>
      <c r="H1108" t="s">
        <v>3615</v>
      </c>
      <c r="I1108" t="s">
        <v>112</v>
      </c>
      <c r="J1108" s="4" t="s">
        <v>60</v>
      </c>
      <c r="K1108" t="s">
        <v>3616</v>
      </c>
      <c r="L1108">
        <v>3</v>
      </c>
      <c r="M1108" t="s">
        <v>411</v>
      </c>
      <c r="N1108" t="s">
        <v>411</v>
      </c>
      <c r="O1108" t="s">
        <v>415</v>
      </c>
      <c r="P1108" s="2" t="str">
        <f t="shared" si="51"/>
        <v>15/07/2025 to 18/07/2025</v>
      </c>
      <c r="Q1108" s="3">
        <v>45858</v>
      </c>
      <c r="R1108" t="str">
        <f t="shared" si="52"/>
        <v>Late</v>
      </c>
      <c r="S1108" t="s">
        <v>408</v>
      </c>
      <c r="T1108">
        <v>32</v>
      </c>
      <c r="U1108" t="s">
        <v>65</v>
      </c>
      <c r="V1108" t="s">
        <v>72</v>
      </c>
      <c r="W1108" t="str">
        <f t="shared" ca="1" si="53"/>
        <v>Dormant</v>
      </c>
    </row>
    <row r="1109" spans="1:23" x14ac:dyDescent="0.2">
      <c r="A1109">
        <v>1230</v>
      </c>
      <c r="B1109" t="s">
        <v>3612</v>
      </c>
      <c r="C1109" t="s">
        <v>3617</v>
      </c>
      <c r="D1109" s="1" t="s">
        <v>411</v>
      </c>
      <c r="E1109" t="s">
        <v>3614</v>
      </c>
      <c r="F1109" t="s">
        <v>579</v>
      </c>
      <c r="G1109" s="4" t="s">
        <v>5426</v>
      </c>
      <c r="H1109" t="s">
        <v>3615</v>
      </c>
      <c r="I1109" t="s">
        <v>112</v>
      </c>
      <c r="J1109" s="4" t="s">
        <v>74</v>
      </c>
      <c r="K1109" t="s">
        <v>3618</v>
      </c>
      <c r="L1109">
        <v>4</v>
      </c>
      <c r="M1109" t="s">
        <v>351</v>
      </c>
      <c r="N1109" t="s">
        <v>351</v>
      </c>
      <c r="O1109" t="s">
        <v>352</v>
      </c>
      <c r="P1109" s="2" t="str">
        <f t="shared" si="51"/>
        <v>16/07/2025 to 21/07/2025</v>
      </c>
      <c r="Q1109" s="3">
        <v>45855</v>
      </c>
      <c r="R1109" t="str">
        <f t="shared" si="52"/>
        <v>On-Time</v>
      </c>
      <c r="S1109" t="s">
        <v>1291</v>
      </c>
      <c r="T1109">
        <v>42</v>
      </c>
      <c r="U1109" t="s">
        <v>79</v>
      </c>
      <c r="V1109" t="s">
        <v>66</v>
      </c>
      <c r="W1109" t="str">
        <f t="shared" ca="1" si="53"/>
        <v>Dormant</v>
      </c>
    </row>
    <row r="1110" spans="1:23" x14ac:dyDescent="0.2">
      <c r="A1110">
        <v>1231</v>
      </c>
      <c r="B1110" t="s">
        <v>3612</v>
      </c>
      <c r="C1110" t="s">
        <v>3619</v>
      </c>
      <c r="D1110" s="1" t="s">
        <v>411</v>
      </c>
      <c r="E1110" t="s">
        <v>3614</v>
      </c>
      <c r="F1110" t="s">
        <v>579</v>
      </c>
      <c r="G1110" s="4" t="s">
        <v>5421</v>
      </c>
      <c r="H1110" t="s">
        <v>3615</v>
      </c>
      <c r="I1110" t="s">
        <v>112</v>
      </c>
      <c r="J1110" s="4" t="s">
        <v>60</v>
      </c>
      <c r="K1110" t="s">
        <v>3620</v>
      </c>
      <c r="L1110">
        <v>3</v>
      </c>
      <c r="M1110" t="s">
        <v>411</v>
      </c>
      <c r="N1110" t="s">
        <v>351</v>
      </c>
      <c r="O1110" t="s">
        <v>415</v>
      </c>
      <c r="P1110" s="2" t="str">
        <f t="shared" si="51"/>
        <v>15/07/2025 to 18/07/2025</v>
      </c>
      <c r="Q1110" s="3">
        <v>45856</v>
      </c>
      <c r="R1110" t="str">
        <f t="shared" si="52"/>
        <v>On-Time</v>
      </c>
      <c r="S1110" t="s">
        <v>750</v>
      </c>
      <c r="T1110">
        <v>27</v>
      </c>
      <c r="U1110" t="s">
        <v>65</v>
      </c>
      <c r="V1110" t="s">
        <v>80</v>
      </c>
      <c r="W1110" t="str">
        <f t="shared" ca="1" si="53"/>
        <v>Dormant</v>
      </c>
    </row>
    <row r="1111" spans="1:23" x14ac:dyDescent="0.2">
      <c r="A1111">
        <v>1232</v>
      </c>
      <c r="B1111" t="s">
        <v>3612</v>
      </c>
      <c r="C1111" t="s">
        <v>3621</v>
      </c>
      <c r="D1111" s="1" t="s">
        <v>411</v>
      </c>
      <c r="E1111" t="s">
        <v>3614</v>
      </c>
      <c r="F1111" t="s">
        <v>579</v>
      </c>
      <c r="G1111" s="4" t="s">
        <v>5421</v>
      </c>
      <c r="H1111" t="s">
        <v>3615</v>
      </c>
      <c r="I1111" t="s">
        <v>112</v>
      </c>
      <c r="J1111" s="4" t="s">
        <v>68</v>
      </c>
      <c r="K1111" t="s">
        <v>2099</v>
      </c>
      <c r="L1111">
        <v>2</v>
      </c>
      <c r="M1111" t="s">
        <v>351</v>
      </c>
      <c r="N1111" t="s">
        <v>415</v>
      </c>
      <c r="O1111" t="s">
        <v>352</v>
      </c>
      <c r="P1111" s="2" t="str">
        <f t="shared" si="51"/>
        <v>16/07/2025 to 21/07/2025</v>
      </c>
      <c r="Q1111" s="3">
        <v>45857</v>
      </c>
      <c r="R1111" t="str">
        <f t="shared" si="52"/>
        <v>On-Time</v>
      </c>
      <c r="S1111" t="s">
        <v>412</v>
      </c>
      <c r="T1111">
        <v>22.5</v>
      </c>
      <c r="U1111" t="s">
        <v>79</v>
      </c>
      <c r="V1111" t="s">
        <v>66</v>
      </c>
      <c r="W1111" t="str">
        <f t="shared" ca="1" si="53"/>
        <v>Dormant</v>
      </c>
    </row>
    <row r="1112" spans="1:23" x14ac:dyDescent="0.2">
      <c r="A1112">
        <v>1233</v>
      </c>
      <c r="B1112" t="s">
        <v>3612</v>
      </c>
      <c r="C1112" t="s">
        <v>3622</v>
      </c>
      <c r="D1112" s="1" t="s">
        <v>411</v>
      </c>
      <c r="E1112" t="s">
        <v>3614</v>
      </c>
      <c r="F1112" t="s">
        <v>579</v>
      </c>
      <c r="G1112" s="4" t="s">
        <v>5428</v>
      </c>
      <c r="H1112" t="s">
        <v>3615</v>
      </c>
      <c r="I1112" t="s">
        <v>112</v>
      </c>
      <c r="J1112" s="4" t="s">
        <v>68</v>
      </c>
      <c r="K1112" t="s">
        <v>2910</v>
      </c>
      <c r="L1112">
        <v>2</v>
      </c>
      <c r="M1112" t="s">
        <v>415</v>
      </c>
      <c r="N1112" t="s">
        <v>415</v>
      </c>
      <c r="O1112" t="s">
        <v>352</v>
      </c>
      <c r="P1112" s="2" t="str">
        <f t="shared" si="51"/>
        <v>17/07/2025 to 22/07/2025</v>
      </c>
      <c r="Q1112" s="3">
        <v>45857</v>
      </c>
      <c r="R1112" t="str">
        <f t="shared" si="52"/>
        <v>On-Time</v>
      </c>
      <c r="S1112" t="s">
        <v>412</v>
      </c>
      <c r="T1112">
        <v>22</v>
      </c>
      <c r="U1112" t="s">
        <v>65</v>
      </c>
      <c r="V1112" t="s">
        <v>72</v>
      </c>
      <c r="W1112" t="str">
        <f t="shared" ca="1" si="53"/>
        <v>Dormant</v>
      </c>
    </row>
    <row r="1113" spans="1:23" x14ac:dyDescent="0.2">
      <c r="A1113">
        <v>176</v>
      </c>
      <c r="B1113" t="s">
        <v>850</v>
      </c>
      <c r="C1113" t="s">
        <v>851</v>
      </c>
      <c r="D1113" s="1" t="s">
        <v>351</v>
      </c>
      <c r="E1113" t="s">
        <v>852</v>
      </c>
      <c r="F1113" t="s">
        <v>490</v>
      </c>
      <c r="G1113" s="4" t="s">
        <v>5421</v>
      </c>
      <c r="H1113" t="s">
        <v>853</v>
      </c>
      <c r="I1113" t="s">
        <v>59</v>
      </c>
      <c r="J1113" s="4" t="s">
        <v>74</v>
      </c>
      <c r="K1113" t="s">
        <v>854</v>
      </c>
      <c r="L1113">
        <v>3</v>
      </c>
      <c r="M1113" t="s">
        <v>352</v>
      </c>
      <c r="N1113" t="s">
        <v>352</v>
      </c>
      <c r="O1113" t="s">
        <v>855</v>
      </c>
      <c r="P1113" s="2" t="str">
        <f t="shared" si="51"/>
        <v>18/07/2025 to 23/07/2025</v>
      </c>
      <c r="Q1113" s="3">
        <v>45860</v>
      </c>
      <c r="R1113" t="str">
        <f t="shared" si="52"/>
        <v>On-Time</v>
      </c>
      <c r="S1113" t="s">
        <v>856</v>
      </c>
      <c r="T1113">
        <v>24.5</v>
      </c>
      <c r="U1113" t="s">
        <v>79</v>
      </c>
      <c r="V1113" t="s">
        <v>72</v>
      </c>
      <c r="W1113" t="str">
        <f t="shared" ca="1" si="53"/>
        <v>Dormant</v>
      </c>
    </row>
    <row r="1114" spans="1:23" x14ac:dyDescent="0.2">
      <c r="A1114">
        <v>177</v>
      </c>
      <c r="B1114" t="s">
        <v>850</v>
      </c>
      <c r="C1114" t="s">
        <v>857</v>
      </c>
      <c r="D1114" s="1" t="s">
        <v>351</v>
      </c>
      <c r="E1114" t="s">
        <v>852</v>
      </c>
      <c r="F1114" t="s">
        <v>490</v>
      </c>
      <c r="G1114" s="4" t="s">
        <v>5419</v>
      </c>
      <c r="H1114" t="s">
        <v>853</v>
      </c>
      <c r="I1114" t="s">
        <v>59</v>
      </c>
      <c r="J1114" s="4" t="s">
        <v>74</v>
      </c>
      <c r="K1114" t="s">
        <v>858</v>
      </c>
      <c r="L1114">
        <v>3</v>
      </c>
      <c r="M1114" t="s">
        <v>351</v>
      </c>
      <c r="N1114" t="s">
        <v>351</v>
      </c>
      <c r="O1114" t="s">
        <v>351</v>
      </c>
      <c r="P1114" s="2" t="str">
        <f t="shared" si="51"/>
        <v>16/07/2025 to 21/07/2025</v>
      </c>
      <c r="Q1114" s="3">
        <v>45857</v>
      </c>
      <c r="R1114" t="str">
        <f t="shared" si="52"/>
        <v>On-Time</v>
      </c>
      <c r="S1114" t="s">
        <v>408</v>
      </c>
      <c r="T1114">
        <v>28</v>
      </c>
      <c r="U1114" t="s">
        <v>79</v>
      </c>
      <c r="V1114" t="s">
        <v>66</v>
      </c>
      <c r="W1114" t="str">
        <f t="shared" ca="1" si="53"/>
        <v>Dormant</v>
      </c>
    </row>
    <row r="1115" spans="1:23" x14ac:dyDescent="0.2">
      <c r="A1115">
        <v>178</v>
      </c>
      <c r="B1115" t="s">
        <v>850</v>
      </c>
      <c r="C1115" t="s">
        <v>859</v>
      </c>
      <c r="D1115" s="1" t="s">
        <v>351</v>
      </c>
      <c r="E1115" t="s">
        <v>852</v>
      </c>
      <c r="F1115" t="s">
        <v>490</v>
      </c>
      <c r="G1115" s="4" t="s">
        <v>38</v>
      </c>
      <c r="H1115" t="s">
        <v>853</v>
      </c>
      <c r="I1115" t="s">
        <v>59</v>
      </c>
      <c r="J1115" s="4" t="s">
        <v>60</v>
      </c>
      <c r="K1115" t="s">
        <v>8</v>
      </c>
      <c r="L1115">
        <v>1</v>
      </c>
      <c r="M1115" t="s">
        <v>415</v>
      </c>
      <c r="N1115" t="s">
        <v>855</v>
      </c>
      <c r="O1115" t="s">
        <v>352</v>
      </c>
      <c r="P1115" s="2" t="str">
        <f t="shared" si="51"/>
        <v>17/07/2025 to 22/07/2025</v>
      </c>
      <c r="Q1115" s="3">
        <v>45858</v>
      </c>
      <c r="R1115" t="str">
        <f t="shared" si="52"/>
        <v>On-Time</v>
      </c>
      <c r="S1115" t="s">
        <v>761</v>
      </c>
      <c r="T1115">
        <v>9</v>
      </c>
      <c r="U1115" t="s">
        <v>79</v>
      </c>
      <c r="V1115" t="s">
        <v>80</v>
      </c>
      <c r="W1115" t="str">
        <f t="shared" ca="1" si="53"/>
        <v>Dormant</v>
      </c>
    </row>
    <row r="1116" spans="1:23" x14ac:dyDescent="0.2">
      <c r="A1116">
        <v>443</v>
      </c>
      <c r="B1116" t="s">
        <v>1655</v>
      </c>
      <c r="C1116" t="s">
        <v>1656</v>
      </c>
      <c r="D1116" s="1" t="s">
        <v>351</v>
      </c>
      <c r="E1116" t="s">
        <v>1657</v>
      </c>
      <c r="F1116" t="s">
        <v>1658</v>
      </c>
      <c r="G1116" s="4" t="s">
        <v>5427</v>
      </c>
      <c r="H1116" t="s">
        <v>1659</v>
      </c>
      <c r="I1116" t="s">
        <v>112</v>
      </c>
      <c r="J1116" s="4" t="s">
        <v>68</v>
      </c>
      <c r="K1116" t="s">
        <v>1660</v>
      </c>
      <c r="L1116">
        <v>3</v>
      </c>
      <c r="M1116" t="s">
        <v>351</v>
      </c>
      <c r="N1116" t="s">
        <v>352</v>
      </c>
      <c r="O1116" t="s">
        <v>351</v>
      </c>
      <c r="P1116" s="2" t="str">
        <f t="shared" si="51"/>
        <v>16/07/2025 to 21/07/2025</v>
      </c>
      <c r="Q1116" s="3">
        <v>45858</v>
      </c>
      <c r="R1116" t="str">
        <f t="shared" si="52"/>
        <v>On-Time</v>
      </c>
      <c r="S1116" t="s">
        <v>408</v>
      </c>
      <c r="T1116">
        <v>27.5</v>
      </c>
      <c r="U1116" t="s">
        <v>65</v>
      </c>
      <c r="V1116" t="s">
        <v>80</v>
      </c>
      <c r="W1116" t="str">
        <f t="shared" ca="1" si="53"/>
        <v>Dormant</v>
      </c>
    </row>
    <row r="1117" spans="1:23" x14ac:dyDescent="0.2">
      <c r="A1117">
        <v>444</v>
      </c>
      <c r="B1117" t="s">
        <v>1655</v>
      </c>
      <c r="C1117" t="s">
        <v>1661</v>
      </c>
      <c r="D1117" s="1" t="s">
        <v>351</v>
      </c>
      <c r="E1117" t="s">
        <v>1657</v>
      </c>
      <c r="F1117" t="s">
        <v>1658</v>
      </c>
      <c r="G1117" s="4" t="s">
        <v>5418</v>
      </c>
      <c r="H1117" t="s">
        <v>1659</v>
      </c>
      <c r="I1117" t="s">
        <v>112</v>
      </c>
      <c r="J1117" s="4" t="s">
        <v>68</v>
      </c>
      <c r="K1117" t="s">
        <v>1662</v>
      </c>
      <c r="L1117">
        <v>3</v>
      </c>
      <c r="M1117" t="s">
        <v>415</v>
      </c>
      <c r="N1117" t="s">
        <v>352</v>
      </c>
      <c r="O1117" t="s">
        <v>352</v>
      </c>
      <c r="P1117" s="2" t="str">
        <f t="shared" si="51"/>
        <v>17/07/2025 to 22/07/2025</v>
      </c>
      <c r="Q1117" s="3">
        <v>45857</v>
      </c>
      <c r="R1117" t="str">
        <f t="shared" si="52"/>
        <v>On-Time</v>
      </c>
      <c r="S1117" t="s">
        <v>408</v>
      </c>
      <c r="T1117">
        <v>31.5</v>
      </c>
      <c r="U1117" t="s">
        <v>65</v>
      </c>
      <c r="V1117" t="s">
        <v>80</v>
      </c>
      <c r="W1117" t="str">
        <f t="shared" ca="1" si="53"/>
        <v>Dormant</v>
      </c>
    </row>
    <row r="1118" spans="1:23" x14ac:dyDescent="0.2">
      <c r="A1118">
        <v>445</v>
      </c>
      <c r="B1118" t="s">
        <v>1655</v>
      </c>
      <c r="C1118" t="s">
        <v>1663</v>
      </c>
      <c r="D1118" s="1" t="s">
        <v>351</v>
      </c>
      <c r="E1118" t="s">
        <v>1657</v>
      </c>
      <c r="F1118" t="s">
        <v>1658</v>
      </c>
      <c r="G1118" s="4" t="s">
        <v>5419</v>
      </c>
      <c r="H1118" t="s">
        <v>1659</v>
      </c>
      <c r="I1118" t="s">
        <v>112</v>
      </c>
      <c r="J1118" s="4" t="s">
        <v>74</v>
      </c>
      <c r="K1118" t="s">
        <v>26</v>
      </c>
      <c r="L1118">
        <v>1</v>
      </c>
      <c r="M1118" t="s">
        <v>352</v>
      </c>
      <c r="N1118" t="s">
        <v>352</v>
      </c>
      <c r="O1118" t="s">
        <v>855</v>
      </c>
      <c r="P1118" s="2" t="str">
        <f t="shared" si="51"/>
        <v>18/07/2025 to 23/07/2025</v>
      </c>
      <c r="Q1118" s="3">
        <v>45858</v>
      </c>
      <c r="R1118" t="str">
        <f t="shared" si="52"/>
        <v>On-Time</v>
      </c>
      <c r="S1118" t="s">
        <v>408</v>
      </c>
      <c r="T1118">
        <v>9</v>
      </c>
      <c r="U1118" t="s">
        <v>79</v>
      </c>
      <c r="V1118" t="s">
        <v>72</v>
      </c>
      <c r="W1118" t="str">
        <f t="shared" ca="1" si="53"/>
        <v>Dormant</v>
      </c>
    </row>
    <row r="1119" spans="1:23" x14ac:dyDescent="0.2">
      <c r="A1119">
        <v>1729</v>
      </c>
      <c r="B1119" t="s">
        <v>4804</v>
      </c>
      <c r="C1119" t="s">
        <v>4805</v>
      </c>
      <c r="D1119" s="1" t="s">
        <v>351</v>
      </c>
      <c r="E1119" t="s">
        <v>4806</v>
      </c>
      <c r="F1119" t="s">
        <v>134</v>
      </c>
      <c r="G1119" s="4" t="s">
        <v>5421</v>
      </c>
      <c r="H1119" t="s">
        <v>3574</v>
      </c>
      <c r="I1119" t="s">
        <v>201</v>
      </c>
      <c r="J1119" s="4" t="s">
        <v>74</v>
      </c>
      <c r="K1119" t="s">
        <v>10</v>
      </c>
      <c r="L1119">
        <v>1</v>
      </c>
      <c r="M1119" t="s">
        <v>352</v>
      </c>
      <c r="N1119" t="s">
        <v>855</v>
      </c>
      <c r="O1119" t="s">
        <v>352</v>
      </c>
      <c r="P1119" s="2" t="str">
        <f t="shared" si="51"/>
        <v>18/07/2025 to 23/07/2025</v>
      </c>
      <c r="Q1119" s="3">
        <v>45856</v>
      </c>
      <c r="R1119" t="str">
        <f t="shared" si="52"/>
        <v>On-Time</v>
      </c>
      <c r="S1119" t="s">
        <v>416</v>
      </c>
      <c r="T1119">
        <v>10</v>
      </c>
      <c r="U1119" t="s">
        <v>65</v>
      </c>
      <c r="V1119" t="s">
        <v>72</v>
      </c>
      <c r="W1119" t="str">
        <f t="shared" ca="1" si="53"/>
        <v>Dormant</v>
      </c>
    </row>
    <row r="1120" spans="1:23" x14ac:dyDescent="0.2">
      <c r="A1120">
        <v>1730</v>
      </c>
      <c r="B1120" t="s">
        <v>4804</v>
      </c>
      <c r="C1120" t="s">
        <v>4807</v>
      </c>
      <c r="D1120" s="1" t="s">
        <v>351</v>
      </c>
      <c r="E1120" t="s">
        <v>4806</v>
      </c>
      <c r="F1120" t="s">
        <v>134</v>
      </c>
      <c r="G1120" s="4" t="s">
        <v>5422</v>
      </c>
      <c r="H1120" t="s">
        <v>3574</v>
      </c>
      <c r="I1120" t="s">
        <v>201</v>
      </c>
      <c r="J1120" s="4" t="s">
        <v>74</v>
      </c>
      <c r="K1120" t="s">
        <v>4808</v>
      </c>
      <c r="L1120">
        <v>4</v>
      </c>
      <c r="M1120" t="s">
        <v>352</v>
      </c>
      <c r="N1120" t="s">
        <v>360</v>
      </c>
      <c r="O1120" t="s">
        <v>352</v>
      </c>
      <c r="P1120" s="2" t="str">
        <f t="shared" si="51"/>
        <v>18/07/2025 to 23/07/2025</v>
      </c>
      <c r="Q1120" s="3">
        <v>45858</v>
      </c>
      <c r="R1120" t="str">
        <f t="shared" si="52"/>
        <v>On-Time</v>
      </c>
      <c r="S1120" t="s">
        <v>761</v>
      </c>
      <c r="T1120">
        <v>42</v>
      </c>
      <c r="U1120" t="s">
        <v>79</v>
      </c>
      <c r="V1120" t="s">
        <v>66</v>
      </c>
      <c r="W1120" t="str">
        <f t="shared" ca="1" si="53"/>
        <v>Dormant</v>
      </c>
    </row>
    <row r="1121" spans="1:23" x14ac:dyDescent="0.2">
      <c r="A1121">
        <v>1731</v>
      </c>
      <c r="B1121" t="s">
        <v>4804</v>
      </c>
      <c r="C1121" t="s">
        <v>4809</v>
      </c>
      <c r="D1121" s="1" t="s">
        <v>351</v>
      </c>
      <c r="E1121" t="s">
        <v>4806</v>
      </c>
      <c r="F1121" t="s">
        <v>134</v>
      </c>
      <c r="G1121" s="4" t="s">
        <v>5428</v>
      </c>
      <c r="H1121" t="s">
        <v>3574</v>
      </c>
      <c r="I1121" t="s">
        <v>201</v>
      </c>
      <c r="J1121" s="4" t="s">
        <v>68</v>
      </c>
      <c r="K1121" t="s">
        <v>30</v>
      </c>
      <c r="L1121">
        <v>1</v>
      </c>
      <c r="M1121" t="s">
        <v>351</v>
      </c>
      <c r="N1121" t="s">
        <v>352</v>
      </c>
      <c r="O1121" t="s">
        <v>415</v>
      </c>
      <c r="P1121" s="2" t="str">
        <f t="shared" si="51"/>
        <v>16/07/2025 to 21/07/2025</v>
      </c>
      <c r="Q1121" s="3">
        <v>45854</v>
      </c>
      <c r="R1121" t="str">
        <f t="shared" si="52"/>
        <v>On-Time</v>
      </c>
      <c r="S1121" t="s">
        <v>366</v>
      </c>
      <c r="T1121">
        <v>12</v>
      </c>
      <c r="U1121" t="s">
        <v>65</v>
      </c>
      <c r="V1121" t="s">
        <v>80</v>
      </c>
      <c r="W1121" t="str">
        <f t="shared" ca="1" si="53"/>
        <v>Dormant</v>
      </c>
    </row>
    <row r="1122" spans="1:23" x14ac:dyDescent="0.2">
      <c r="A1122">
        <v>1732</v>
      </c>
      <c r="B1122" t="s">
        <v>4804</v>
      </c>
      <c r="C1122" t="s">
        <v>4810</v>
      </c>
      <c r="D1122" s="1" t="s">
        <v>351</v>
      </c>
      <c r="E1122" t="s">
        <v>4806</v>
      </c>
      <c r="F1122" t="s">
        <v>134</v>
      </c>
      <c r="G1122" s="4" t="s">
        <v>5425</v>
      </c>
      <c r="H1122" t="s">
        <v>3574</v>
      </c>
      <c r="I1122" t="s">
        <v>201</v>
      </c>
      <c r="J1122" s="4" t="s">
        <v>60</v>
      </c>
      <c r="K1122" t="s">
        <v>6</v>
      </c>
      <c r="L1122">
        <v>1</v>
      </c>
      <c r="M1122" t="s">
        <v>351</v>
      </c>
      <c r="N1122" t="s">
        <v>351</v>
      </c>
      <c r="O1122" t="s">
        <v>352</v>
      </c>
      <c r="P1122" s="2" t="str">
        <f t="shared" si="51"/>
        <v>16/07/2025 to 21/07/2025</v>
      </c>
      <c r="Q1122" s="3">
        <v>45857</v>
      </c>
      <c r="R1122" t="str">
        <f t="shared" si="52"/>
        <v>On-Time</v>
      </c>
      <c r="S1122" t="s">
        <v>408</v>
      </c>
      <c r="T1122">
        <v>7.5</v>
      </c>
      <c r="U1122" t="s">
        <v>79</v>
      </c>
      <c r="V1122" t="s">
        <v>72</v>
      </c>
      <c r="W1122" t="str">
        <f t="shared" ca="1" si="53"/>
        <v>Dormant</v>
      </c>
    </row>
    <row r="1123" spans="1:23" x14ac:dyDescent="0.2">
      <c r="A1123">
        <v>1549</v>
      </c>
      <c r="B1123" t="s">
        <v>4387</v>
      </c>
      <c r="C1123" t="s">
        <v>4388</v>
      </c>
      <c r="D1123" s="1" t="s">
        <v>352</v>
      </c>
      <c r="E1123" t="s">
        <v>4389</v>
      </c>
      <c r="F1123" t="s">
        <v>229</v>
      </c>
      <c r="G1123" s="4" t="s">
        <v>5426</v>
      </c>
      <c r="H1123" t="s">
        <v>4390</v>
      </c>
      <c r="I1123" t="s">
        <v>59</v>
      </c>
      <c r="J1123" s="4" t="s">
        <v>74</v>
      </c>
      <c r="K1123" t="s">
        <v>2947</v>
      </c>
      <c r="L1123">
        <v>3</v>
      </c>
      <c r="M1123" t="s">
        <v>360</v>
      </c>
      <c r="N1123" t="s">
        <v>116</v>
      </c>
      <c r="O1123" t="s">
        <v>360</v>
      </c>
      <c r="P1123" s="2" t="str">
        <f t="shared" si="51"/>
        <v>22/07/2025 to 25/07/2025</v>
      </c>
      <c r="Q1123" s="3">
        <v>45858</v>
      </c>
      <c r="R1123" t="str">
        <f t="shared" si="52"/>
        <v>Late</v>
      </c>
      <c r="S1123" t="s">
        <v>408</v>
      </c>
      <c r="T1123">
        <v>31.5</v>
      </c>
      <c r="U1123" t="s">
        <v>65</v>
      </c>
      <c r="V1123" t="s">
        <v>80</v>
      </c>
      <c r="W1123" t="str">
        <f t="shared" ca="1" si="53"/>
        <v>Dormant</v>
      </c>
    </row>
    <row r="1124" spans="1:23" x14ac:dyDescent="0.2">
      <c r="A1124">
        <v>1550</v>
      </c>
      <c r="B1124" t="s">
        <v>4387</v>
      </c>
      <c r="C1124" t="s">
        <v>4391</v>
      </c>
      <c r="D1124" s="1" t="s">
        <v>352</v>
      </c>
      <c r="E1124" t="s">
        <v>4389</v>
      </c>
      <c r="F1124" t="s">
        <v>229</v>
      </c>
      <c r="G1124" s="4" t="s">
        <v>5428</v>
      </c>
      <c r="H1124" t="s">
        <v>4390</v>
      </c>
      <c r="I1124" t="s">
        <v>59</v>
      </c>
      <c r="J1124" s="4" t="s">
        <v>60</v>
      </c>
      <c r="K1124" t="s">
        <v>382</v>
      </c>
      <c r="L1124">
        <v>2</v>
      </c>
      <c r="M1124" t="s">
        <v>360</v>
      </c>
      <c r="N1124" t="s">
        <v>362</v>
      </c>
      <c r="O1124" t="s">
        <v>360</v>
      </c>
      <c r="P1124" s="2" t="str">
        <f t="shared" si="51"/>
        <v>22/07/2025 to 25/07/2025</v>
      </c>
      <c r="Q1124" s="3">
        <v>45856</v>
      </c>
      <c r="R1124" t="str">
        <f t="shared" si="52"/>
        <v>Late</v>
      </c>
      <c r="S1124" t="s">
        <v>416</v>
      </c>
      <c r="T1124">
        <v>19</v>
      </c>
      <c r="U1124" t="s">
        <v>65</v>
      </c>
      <c r="V1124" t="s">
        <v>72</v>
      </c>
      <c r="W1124" t="str">
        <f t="shared" ca="1" si="53"/>
        <v>Dormant</v>
      </c>
    </row>
    <row r="1125" spans="1:23" x14ac:dyDescent="0.2">
      <c r="A1125">
        <v>1551</v>
      </c>
      <c r="B1125" t="s">
        <v>4387</v>
      </c>
      <c r="C1125" t="s">
        <v>4392</v>
      </c>
      <c r="D1125" s="1" t="s">
        <v>352</v>
      </c>
      <c r="E1125" t="s">
        <v>4389</v>
      </c>
      <c r="F1125" t="s">
        <v>229</v>
      </c>
      <c r="G1125" s="4" t="s">
        <v>38</v>
      </c>
      <c r="H1125" t="s">
        <v>4390</v>
      </c>
      <c r="I1125" t="s">
        <v>59</v>
      </c>
      <c r="J1125" s="4" t="s">
        <v>74</v>
      </c>
      <c r="K1125" t="s">
        <v>4393</v>
      </c>
      <c r="L1125">
        <v>2</v>
      </c>
      <c r="M1125" t="s">
        <v>855</v>
      </c>
      <c r="N1125" t="s">
        <v>360</v>
      </c>
      <c r="O1125" t="s">
        <v>116</v>
      </c>
      <c r="P1125" s="2" t="str">
        <f t="shared" si="51"/>
        <v>21/07/2025 to 24/07/2025</v>
      </c>
      <c r="Q1125" s="3">
        <v>45859</v>
      </c>
      <c r="R1125" t="str">
        <f t="shared" si="52"/>
        <v>On-Time</v>
      </c>
      <c r="S1125" t="s">
        <v>761</v>
      </c>
      <c r="T1125">
        <v>16.5</v>
      </c>
      <c r="U1125" t="s">
        <v>65</v>
      </c>
      <c r="V1125" t="s">
        <v>72</v>
      </c>
      <c r="W1125" t="str">
        <f t="shared" ca="1" si="53"/>
        <v>Dormant</v>
      </c>
    </row>
    <row r="1126" spans="1:23" x14ac:dyDescent="0.2">
      <c r="A1126">
        <v>1552</v>
      </c>
      <c r="B1126" t="s">
        <v>4387</v>
      </c>
      <c r="C1126" t="s">
        <v>4394</v>
      </c>
      <c r="D1126" s="1" t="s">
        <v>352</v>
      </c>
      <c r="E1126" t="s">
        <v>4389</v>
      </c>
      <c r="F1126" t="s">
        <v>229</v>
      </c>
      <c r="G1126" s="4" t="s">
        <v>5419</v>
      </c>
      <c r="H1126" t="s">
        <v>4390</v>
      </c>
      <c r="I1126" t="s">
        <v>59</v>
      </c>
      <c r="J1126" s="4" t="s">
        <v>5417</v>
      </c>
      <c r="K1126" t="s">
        <v>1248</v>
      </c>
      <c r="L1126">
        <v>2</v>
      </c>
      <c r="M1126" t="s">
        <v>855</v>
      </c>
      <c r="N1126" t="s">
        <v>360</v>
      </c>
      <c r="O1126" t="s">
        <v>116</v>
      </c>
      <c r="P1126" s="2" t="str">
        <f t="shared" si="51"/>
        <v>21/07/2025 to 24/07/2025</v>
      </c>
      <c r="Q1126" s="3">
        <v>45857</v>
      </c>
      <c r="R1126" t="str">
        <f t="shared" si="52"/>
        <v>Late</v>
      </c>
      <c r="S1126" t="s">
        <v>408</v>
      </c>
      <c r="T1126">
        <v>17.5</v>
      </c>
      <c r="U1126" t="s">
        <v>79</v>
      </c>
      <c r="V1126" t="s">
        <v>72</v>
      </c>
      <c r="W1126" t="str">
        <f t="shared" ca="1" si="53"/>
        <v>Dormant</v>
      </c>
    </row>
    <row r="1127" spans="1:23" x14ac:dyDescent="0.2">
      <c r="A1127">
        <v>1150</v>
      </c>
      <c r="B1127" t="s">
        <v>3428</v>
      </c>
      <c r="C1127" t="s">
        <v>3429</v>
      </c>
      <c r="D1127" s="1" t="s">
        <v>855</v>
      </c>
      <c r="E1127" t="s">
        <v>3430</v>
      </c>
      <c r="F1127" t="s">
        <v>803</v>
      </c>
      <c r="G1127" s="4" t="s">
        <v>5423</v>
      </c>
      <c r="H1127" t="s">
        <v>1768</v>
      </c>
      <c r="I1127" t="s">
        <v>59</v>
      </c>
      <c r="J1127" s="4" t="s">
        <v>68</v>
      </c>
      <c r="K1127" t="s">
        <v>22</v>
      </c>
      <c r="L1127">
        <v>1</v>
      </c>
      <c r="M1127" t="s">
        <v>116</v>
      </c>
      <c r="N1127" t="s">
        <v>365</v>
      </c>
      <c r="O1127" t="s">
        <v>116</v>
      </c>
      <c r="P1127" s="2" t="str">
        <f t="shared" si="51"/>
        <v>22/07/2025 to 25/07/2025</v>
      </c>
      <c r="Q1127" s="3">
        <v>45861</v>
      </c>
      <c r="R1127" t="str">
        <f t="shared" si="52"/>
        <v>On-Time</v>
      </c>
      <c r="S1127" t="s">
        <v>856</v>
      </c>
      <c r="T1127">
        <v>8</v>
      </c>
      <c r="U1127" t="s">
        <v>79</v>
      </c>
      <c r="V1127" t="s">
        <v>66</v>
      </c>
      <c r="W1127" t="str">
        <f t="shared" ca="1" si="53"/>
        <v>Dormant</v>
      </c>
    </row>
    <row r="1128" spans="1:23" x14ac:dyDescent="0.2">
      <c r="A1128">
        <v>1151</v>
      </c>
      <c r="B1128" t="s">
        <v>3428</v>
      </c>
      <c r="C1128" t="s">
        <v>3431</v>
      </c>
      <c r="D1128" s="1" t="s">
        <v>855</v>
      </c>
      <c r="E1128" t="s">
        <v>3430</v>
      </c>
      <c r="F1128" t="s">
        <v>803</v>
      </c>
      <c r="G1128" s="4" t="s">
        <v>5421</v>
      </c>
      <c r="H1128" t="s">
        <v>1768</v>
      </c>
      <c r="I1128" t="s">
        <v>59</v>
      </c>
      <c r="J1128" s="4" t="s">
        <v>60</v>
      </c>
      <c r="K1128" t="s">
        <v>3432</v>
      </c>
      <c r="L1128">
        <v>4</v>
      </c>
      <c r="M1128" t="s">
        <v>360</v>
      </c>
      <c r="N1128" t="s">
        <v>360</v>
      </c>
      <c r="O1128" t="s">
        <v>360</v>
      </c>
      <c r="P1128" s="2" t="str">
        <f t="shared" si="51"/>
        <v>22/07/2025 to 25/07/2025</v>
      </c>
      <c r="Q1128" s="3">
        <v>45862</v>
      </c>
      <c r="R1128" t="str">
        <f t="shared" si="52"/>
        <v>On-Time</v>
      </c>
      <c r="S1128" t="s">
        <v>856</v>
      </c>
      <c r="T1128">
        <v>38</v>
      </c>
      <c r="U1128" t="s">
        <v>79</v>
      </c>
      <c r="V1128" t="s">
        <v>72</v>
      </c>
      <c r="W1128" t="str">
        <f t="shared" ca="1" si="53"/>
        <v>Dormant</v>
      </c>
    </row>
    <row r="1129" spans="1:23" x14ac:dyDescent="0.2">
      <c r="A1129">
        <v>1152</v>
      </c>
      <c r="B1129" t="s">
        <v>3428</v>
      </c>
      <c r="C1129" t="s">
        <v>3433</v>
      </c>
      <c r="D1129" s="1" t="s">
        <v>855</v>
      </c>
      <c r="E1129" t="s">
        <v>3430</v>
      </c>
      <c r="F1129" t="s">
        <v>803</v>
      </c>
      <c r="G1129" s="4" t="s">
        <v>5425</v>
      </c>
      <c r="H1129" t="s">
        <v>1768</v>
      </c>
      <c r="I1129" t="s">
        <v>59</v>
      </c>
      <c r="J1129" s="4" t="s">
        <v>5417</v>
      </c>
      <c r="K1129" t="s">
        <v>323</v>
      </c>
      <c r="L1129">
        <v>2</v>
      </c>
      <c r="M1129" t="s">
        <v>360</v>
      </c>
      <c r="N1129" t="s">
        <v>360</v>
      </c>
      <c r="O1129" t="s">
        <v>360</v>
      </c>
      <c r="P1129" s="2" t="str">
        <f t="shared" si="51"/>
        <v>22/07/2025 to 25/07/2025</v>
      </c>
      <c r="Q1129" s="3">
        <v>45860</v>
      </c>
      <c r="R1129" t="str">
        <f t="shared" si="52"/>
        <v>On-Time</v>
      </c>
      <c r="S1129" t="s">
        <v>761</v>
      </c>
      <c r="T1129">
        <v>18</v>
      </c>
      <c r="U1129" t="s">
        <v>65</v>
      </c>
      <c r="V1129" t="s">
        <v>66</v>
      </c>
      <c r="W1129" t="str">
        <f t="shared" ca="1" si="53"/>
        <v>Dormant</v>
      </c>
    </row>
    <row r="1130" spans="1:23" x14ac:dyDescent="0.2">
      <c r="A1130">
        <v>1662</v>
      </c>
      <c r="B1130" t="s">
        <v>4649</v>
      </c>
      <c r="C1130" t="s">
        <v>4650</v>
      </c>
      <c r="D1130" s="1" t="s">
        <v>360</v>
      </c>
      <c r="E1130" t="s">
        <v>4651</v>
      </c>
      <c r="F1130" t="s">
        <v>266</v>
      </c>
      <c r="G1130" s="4" t="s">
        <v>5424</v>
      </c>
      <c r="H1130" t="s">
        <v>4652</v>
      </c>
      <c r="I1130" t="s">
        <v>112</v>
      </c>
      <c r="J1130" s="4" t="s">
        <v>74</v>
      </c>
      <c r="K1130" t="s">
        <v>4653</v>
      </c>
      <c r="L1130">
        <v>4</v>
      </c>
      <c r="M1130" t="s">
        <v>360</v>
      </c>
      <c r="N1130" t="s">
        <v>362</v>
      </c>
      <c r="O1130" t="s">
        <v>360</v>
      </c>
      <c r="P1130" s="2" t="str">
        <f t="shared" si="51"/>
        <v>22/07/2025 to 25/07/2025</v>
      </c>
      <c r="Q1130" s="3">
        <v>45862</v>
      </c>
      <c r="R1130" t="str">
        <f t="shared" si="52"/>
        <v>On-Time</v>
      </c>
      <c r="S1130" t="s">
        <v>1081</v>
      </c>
      <c r="T1130">
        <v>34.5</v>
      </c>
      <c r="U1130" t="s">
        <v>65</v>
      </c>
      <c r="V1130" t="s">
        <v>80</v>
      </c>
      <c r="W1130" t="str">
        <f t="shared" ca="1" si="53"/>
        <v>Dormant</v>
      </c>
    </row>
    <row r="1131" spans="1:23" x14ac:dyDescent="0.2">
      <c r="A1131">
        <v>1663</v>
      </c>
      <c r="B1131" t="s">
        <v>4649</v>
      </c>
      <c r="C1131" t="s">
        <v>4654</v>
      </c>
      <c r="D1131" s="1" t="s">
        <v>360</v>
      </c>
      <c r="E1131" t="s">
        <v>4651</v>
      </c>
      <c r="F1131" t="s">
        <v>266</v>
      </c>
      <c r="G1131" s="4" t="s">
        <v>5421</v>
      </c>
      <c r="H1131" t="s">
        <v>4652</v>
      </c>
      <c r="I1131" t="s">
        <v>112</v>
      </c>
      <c r="J1131" s="4" t="s">
        <v>74</v>
      </c>
      <c r="K1131" t="s">
        <v>4655</v>
      </c>
      <c r="L1131">
        <v>4</v>
      </c>
      <c r="M1131" t="s">
        <v>360</v>
      </c>
      <c r="N1131" t="s">
        <v>360</v>
      </c>
      <c r="O1131" t="s">
        <v>362</v>
      </c>
      <c r="P1131" s="2" t="str">
        <f t="shared" si="51"/>
        <v>22/07/2025 to 25/07/2025</v>
      </c>
      <c r="Q1131" s="3">
        <v>45859</v>
      </c>
      <c r="R1131" t="str">
        <f t="shared" si="52"/>
        <v>Late</v>
      </c>
      <c r="S1131" t="s">
        <v>408</v>
      </c>
      <c r="T1131">
        <v>37.5</v>
      </c>
      <c r="U1131" t="s">
        <v>65</v>
      </c>
      <c r="V1131" t="s">
        <v>66</v>
      </c>
      <c r="W1131" t="str">
        <f t="shared" ca="1" si="53"/>
        <v>Dormant</v>
      </c>
    </row>
    <row r="1132" spans="1:23" x14ac:dyDescent="0.2">
      <c r="A1132">
        <v>1664</v>
      </c>
      <c r="B1132" t="s">
        <v>4649</v>
      </c>
      <c r="C1132" t="s">
        <v>4656</v>
      </c>
      <c r="D1132" s="1" t="s">
        <v>360</v>
      </c>
      <c r="E1132" t="s">
        <v>4651</v>
      </c>
      <c r="F1132" t="s">
        <v>266</v>
      </c>
      <c r="G1132" s="4" t="s">
        <v>5419</v>
      </c>
      <c r="H1132" t="s">
        <v>4652</v>
      </c>
      <c r="I1132" t="s">
        <v>112</v>
      </c>
      <c r="J1132" s="4" t="s">
        <v>68</v>
      </c>
      <c r="K1132" t="s">
        <v>4657</v>
      </c>
      <c r="L1132">
        <v>4</v>
      </c>
      <c r="M1132" t="s">
        <v>362</v>
      </c>
      <c r="N1132" t="s">
        <v>365</v>
      </c>
      <c r="O1132" t="s">
        <v>363</v>
      </c>
      <c r="P1132" s="2" t="str">
        <f t="shared" si="51"/>
        <v>22/07/2025 to 25/07/2025</v>
      </c>
      <c r="Q1132" s="3">
        <v>45862</v>
      </c>
      <c r="R1132" t="str">
        <f t="shared" si="52"/>
        <v>On-Time</v>
      </c>
      <c r="S1132" t="s">
        <v>1081</v>
      </c>
      <c r="T1132">
        <v>38.5</v>
      </c>
      <c r="U1132" t="s">
        <v>79</v>
      </c>
      <c r="V1132" t="s">
        <v>66</v>
      </c>
      <c r="W1132" t="str">
        <f t="shared" ca="1" si="53"/>
        <v>Dormant</v>
      </c>
    </row>
    <row r="1133" spans="1:23" x14ac:dyDescent="0.2">
      <c r="A1133">
        <v>1665</v>
      </c>
      <c r="B1133" t="s">
        <v>4649</v>
      </c>
      <c r="C1133" t="s">
        <v>4658</v>
      </c>
      <c r="D1133" s="1" t="s">
        <v>360</v>
      </c>
      <c r="E1133" t="s">
        <v>4651</v>
      </c>
      <c r="F1133" t="s">
        <v>266</v>
      </c>
      <c r="G1133" s="4" t="s">
        <v>5425</v>
      </c>
      <c r="H1133" t="s">
        <v>4652</v>
      </c>
      <c r="I1133" t="s">
        <v>112</v>
      </c>
      <c r="J1133" s="4" t="s">
        <v>68</v>
      </c>
      <c r="K1133" t="s">
        <v>382</v>
      </c>
      <c r="L1133">
        <v>2</v>
      </c>
      <c r="M1133" t="s">
        <v>360</v>
      </c>
      <c r="N1133" t="s">
        <v>362</v>
      </c>
      <c r="O1133" t="s">
        <v>360</v>
      </c>
      <c r="P1133" s="2" t="str">
        <f t="shared" si="51"/>
        <v>22/07/2025 to 25/07/2025</v>
      </c>
      <c r="Q1133" s="3">
        <v>45859</v>
      </c>
      <c r="R1133" t="str">
        <f t="shared" si="52"/>
        <v>Late</v>
      </c>
      <c r="S1133" t="s">
        <v>408</v>
      </c>
      <c r="T1133">
        <v>19</v>
      </c>
      <c r="U1133" t="s">
        <v>79</v>
      </c>
      <c r="V1133" t="s">
        <v>66</v>
      </c>
      <c r="W1133" t="str">
        <f t="shared" ca="1" si="53"/>
        <v>Dormant</v>
      </c>
    </row>
    <row r="1134" spans="1:23" x14ac:dyDescent="0.2">
      <c r="A1134">
        <v>1776</v>
      </c>
      <c r="B1134" t="s">
        <v>4902</v>
      </c>
      <c r="C1134" t="s">
        <v>4903</v>
      </c>
      <c r="D1134" s="1" t="s">
        <v>360</v>
      </c>
      <c r="E1134" t="s">
        <v>4904</v>
      </c>
      <c r="F1134" t="s">
        <v>266</v>
      </c>
      <c r="G1134" s="4" t="s">
        <v>5422</v>
      </c>
      <c r="H1134" t="s">
        <v>3755</v>
      </c>
      <c r="I1134" t="s">
        <v>59</v>
      </c>
      <c r="J1134" s="4" t="s">
        <v>68</v>
      </c>
      <c r="K1134" t="s">
        <v>1366</v>
      </c>
      <c r="L1134">
        <v>2</v>
      </c>
      <c r="M1134" t="s">
        <v>360</v>
      </c>
      <c r="N1134" t="s">
        <v>116</v>
      </c>
      <c r="O1134" t="s">
        <v>362</v>
      </c>
      <c r="P1134" s="2" t="str">
        <f t="shared" si="51"/>
        <v>22/07/2025 to 25/07/2025</v>
      </c>
      <c r="Q1134" s="3">
        <v>45863</v>
      </c>
      <c r="R1134" t="str">
        <f t="shared" si="52"/>
        <v>On-Time</v>
      </c>
      <c r="S1134" t="s">
        <v>1084</v>
      </c>
      <c r="T1134">
        <v>22</v>
      </c>
      <c r="U1134" t="s">
        <v>79</v>
      </c>
      <c r="V1134" t="s">
        <v>72</v>
      </c>
      <c r="W1134" t="str">
        <f t="shared" ca="1" si="53"/>
        <v>Dormant</v>
      </c>
    </row>
    <row r="1135" spans="1:23" x14ac:dyDescent="0.2">
      <c r="A1135">
        <v>1777</v>
      </c>
      <c r="B1135" t="s">
        <v>4902</v>
      </c>
      <c r="C1135" t="s">
        <v>4905</v>
      </c>
      <c r="D1135" s="1" t="s">
        <v>360</v>
      </c>
      <c r="E1135" t="s">
        <v>4904</v>
      </c>
      <c r="F1135" t="s">
        <v>266</v>
      </c>
      <c r="G1135" s="4" t="s">
        <v>5421</v>
      </c>
      <c r="H1135" t="s">
        <v>3755</v>
      </c>
      <c r="I1135" t="s">
        <v>59</v>
      </c>
      <c r="J1135" s="4" t="s">
        <v>68</v>
      </c>
      <c r="K1135" t="s">
        <v>4906</v>
      </c>
      <c r="L1135">
        <v>4</v>
      </c>
      <c r="M1135" t="s">
        <v>116</v>
      </c>
      <c r="N1135" t="s">
        <v>362</v>
      </c>
      <c r="O1135" t="s">
        <v>116</v>
      </c>
      <c r="P1135" s="2" t="str">
        <f t="shared" si="51"/>
        <v>22/07/2025 to 25/07/2025</v>
      </c>
      <c r="Q1135" s="3">
        <v>45860</v>
      </c>
      <c r="R1135" t="str">
        <f t="shared" si="52"/>
        <v>On-Time</v>
      </c>
      <c r="S1135" t="s">
        <v>761</v>
      </c>
      <c r="T1135">
        <v>34</v>
      </c>
      <c r="U1135" t="s">
        <v>65</v>
      </c>
      <c r="V1135" t="s">
        <v>80</v>
      </c>
      <c r="W1135" t="str">
        <f t="shared" ca="1" si="53"/>
        <v>Dormant</v>
      </c>
    </row>
    <row r="1136" spans="1:23" x14ac:dyDescent="0.2">
      <c r="A1136">
        <v>1778</v>
      </c>
      <c r="B1136" t="s">
        <v>4902</v>
      </c>
      <c r="C1136" t="s">
        <v>4907</v>
      </c>
      <c r="D1136" s="1" t="s">
        <v>360</v>
      </c>
      <c r="E1136" t="s">
        <v>4904</v>
      </c>
      <c r="F1136" t="s">
        <v>266</v>
      </c>
      <c r="G1136" s="4" t="s">
        <v>5428</v>
      </c>
      <c r="H1136" t="s">
        <v>3755</v>
      </c>
      <c r="I1136" t="s">
        <v>59</v>
      </c>
      <c r="J1136" s="4" t="s">
        <v>5417</v>
      </c>
      <c r="K1136" t="s">
        <v>4908</v>
      </c>
      <c r="L1136">
        <v>3</v>
      </c>
      <c r="M1136" t="s">
        <v>362</v>
      </c>
      <c r="N1136" t="s">
        <v>365</v>
      </c>
      <c r="O1136" t="s">
        <v>365</v>
      </c>
      <c r="P1136" s="2" t="str">
        <f t="shared" si="51"/>
        <v>22/07/2025 to 25/07/2025</v>
      </c>
      <c r="Q1136" s="3">
        <v>45860</v>
      </c>
      <c r="R1136" t="str">
        <f t="shared" si="52"/>
        <v>On-Time</v>
      </c>
      <c r="S1136" t="s">
        <v>409</v>
      </c>
      <c r="T1136">
        <v>28.5</v>
      </c>
      <c r="U1136" t="s">
        <v>79</v>
      </c>
      <c r="V1136" t="s">
        <v>66</v>
      </c>
      <c r="W1136" t="str">
        <f t="shared" ca="1" si="53"/>
        <v>Dormant</v>
      </c>
    </row>
    <row r="1137" spans="1:23" x14ac:dyDescent="0.2">
      <c r="A1137">
        <v>643</v>
      </c>
      <c r="B1137" t="s">
        <v>2199</v>
      </c>
      <c r="C1137" t="s">
        <v>2200</v>
      </c>
      <c r="D1137" s="1" t="s">
        <v>116</v>
      </c>
      <c r="E1137" t="s">
        <v>2201</v>
      </c>
      <c r="F1137" t="s">
        <v>741</v>
      </c>
      <c r="G1137" s="4" t="s">
        <v>5424</v>
      </c>
      <c r="H1137" t="s">
        <v>571</v>
      </c>
      <c r="I1137" t="s">
        <v>136</v>
      </c>
      <c r="J1137" s="4" t="s">
        <v>60</v>
      </c>
      <c r="K1137" t="s">
        <v>2202</v>
      </c>
      <c r="L1137">
        <v>4</v>
      </c>
      <c r="M1137" t="s">
        <v>362</v>
      </c>
      <c r="N1137" t="s">
        <v>365</v>
      </c>
      <c r="O1137" t="s">
        <v>365</v>
      </c>
      <c r="P1137" s="2" t="str">
        <f t="shared" si="51"/>
        <v>22/07/2025 to 25/07/2025</v>
      </c>
      <c r="Q1137" s="3">
        <v>45863</v>
      </c>
      <c r="R1137" t="str">
        <f t="shared" si="52"/>
        <v>On-Time</v>
      </c>
      <c r="S1137" t="s">
        <v>1084</v>
      </c>
      <c r="T1137">
        <v>37.5</v>
      </c>
      <c r="U1137" t="s">
        <v>65</v>
      </c>
      <c r="V1137" t="s">
        <v>66</v>
      </c>
      <c r="W1137" t="str">
        <f t="shared" ca="1" si="53"/>
        <v>Dormant</v>
      </c>
    </row>
    <row r="1138" spans="1:23" x14ac:dyDescent="0.2">
      <c r="A1138">
        <v>644</v>
      </c>
      <c r="B1138" t="s">
        <v>2199</v>
      </c>
      <c r="C1138" t="s">
        <v>2203</v>
      </c>
      <c r="D1138" s="1" t="s">
        <v>116</v>
      </c>
      <c r="E1138" t="s">
        <v>2201</v>
      </c>
      <c r="F1138" t="s">
        <v>741</v>
      </c>
      <c r="G1138" s="4" t="s">
        <v>5427</v>
      </c>
      <c r="H1138" t="s">
        <v>571</v>
      </c>
      <c r="I1138" t="s">
        <v>136</v>
      </c>
      <c r="J1138" s="4" t="s">
        <v>68</v>
      </c>
      <c r="K1138" t="s">
        <v>2204</v>
      </c>
      <c r="L1138">
        <v>2</v>
      </c>
      <c r="M1138" t="s">
        <v>365</v>
      </c>
      <c r="N1138" t="s">
        <v>363</v>
      </c>
      <c r="O1138" t="s">
        <v>363</v>
      </c>
      <c r="P1138" s="2" t="str">
        <f t="shared" si="51"/>
        <v>23/07/2025 to 28/07/2025</v>
      </c>
      <c r="Q1138" s="3">
        <v>45860</v>
      </c>
      <c r="R1138" t="str">
        <f t="shared" si="52"/>
        <v>Late</v>
      </c>
      <c r="S1138" t="s">
        <v>409</v>
      </c>
      <c r="T1138">
        <v>20.5</v>
      </c>
      <c r="U1138" t="s">
        <v>65</v>
      </c>
      <c r="V1138" t="s">
        <v>72</v>
      </c>
      <c r="W1138" t="str">
        <f t="shared" ca="1" si="53"/>
        <v>Dormant</v>
      </c>
    </row>
    <row r="1139" spans="1:23" x14ac:dyDescent="0.2">
      <c r="A1139">
        <v>645</v>
      </c>
      <c r="B1139" t="s">
        <v>2199</v>
      </c>
      <c r="C1139" t="s">
        <v>2205</v>
      </c>
      <c r="D1139" s="1" t="s">
        <v>116</v>
      </c>
      <c r="E1139" t="s">
        <v>2201</v>
      </c>
      <c r="F1139" t="s">
        <v>741</v>
      </c>
      <c r="G1139" s="4" t="s">
        <v>5419</v>
      </c>
      <c r="H1139" t="s">
        <v>571</v>
      </c>
      <c r="I1139" t="s">
        <v>136</v>
      </c>
      <c r="J1139" s="4" t="s">
        <v>60</v>
      </c>
      <c r="K1139" t="s">
        <v>26</v>
      </c>
      <c r="L1139">
        <v>1</v>
      </c>
      <c r="M1139" t="s">
        <v>116</v>
      </c>
      <c r="N1139" t="s">
        <v>116</v>
      </c>
      <c r="O1139" t="s">
        <v>116</v>
      </c>
      <c r="P1139" s="2" t="str">
        <f t="shared" si="51"/>
        <v>22/07/2025 to 25/07/2025</v>
      </c>
      <c r="Q1139" s="3">
        <v>45863</v>
      </c>
      <c r="R1139" t="str">
        <f t="shared" si="52"/>
        <v>On-Time</v>
      </c>
      <c r="S1139" t="s">
        <v>1084</v>
      </c>
      <c r="T1139">
        <v>9</v>
      </c>
      <c r="U1139" t="s">
        <v>65</v>
      </c>
      <c r="V1139" t="s">
        <v>72</v>
      </c>
      <c r="W1139" t="str">
        <f t="shared" ca="1" si="53"/>
        <v>Dormant</v>
      </c>
    </row>
    <row r="1140" spans="1:23" x14ac:dyDescent="0.2">
      <c r="A1140">
        <v>1947</v>
      </c>
      <c r="B1140" t="s">
        <v>5287</v>
      </c>
      <c r="C1140" t="s">
        <v>5288</v>
      </c>
      <c r="D1140" s="1" t="s">
        <v>116</v>
      </c>
      <c r="E1140" t="s">
        <v>5289</v>
      </c>
      <c r="F1140" t="s">
        <v>607</v>
      </c>
      <c r="G1140" s="4" t="s">
        <v>5423</v>
      </c>
      <c r="H1140" t="s">
        <v>5253</v>
      </c>
      <c r="I1140" t="s">
        <v>112</v>
      </c>
      <c r="J1140" s="4" t="s">
        <v>60</v>
      </c>
      <c r="K1140" t="s">
        <v>5290</v>
      </c>
      <c r="L1140">
        <v>3</v>
      </c>
      <c r="M1140" t="s">
        <v>116</v>
      </c>
      <c r="N1140" t="s">
        <v>116</v>
      </c>
      <c r="O1140" t="s">
        <v>365</v>
      </c>
      <c r="P1140" s="2" t="str">
        <f t="shared" si="51"/>
        <v>22/07/2025 to 25/07/2025</v>
      </c>
      <c r="Q1140" s="3">
        <v>45859</v>
      </c>
      <c r="R1140" t="str">
        <f t="shared" si="52"/>
        <v>Late</v>
      </c>
      <c r="S1140" t="s">
        <v>409</v>
      </c>
      <c r="T1140">
        <v>29.5</v>
      </c>
      <c r="U1140" t="s">
        <v>65</v>
      </c>
      <c r="V1140" t="s">
        <v>72</v>
      </c>
      <c r="W1140" t="str">
        <f t="shared" ca="1" si="53"/>
        <v>Dormant</v>
      </c>
    </row>
    <row r="1141" spans="1:23" x14ac:dyDescent="0.2">
      <c r="A1141">
        <v>1746</v>
      </c>
      <c r="B1141" t="s">
        <v>4842</v>
      </c>
      <c r="C1141" t="s">
        <v>4843</v>
      </c>
      <c r="D1141" s="1" t="s">
        <v>362</v>
      </c>
      <c r="E1141" t="s">
        <v>4844</v>
      </c>
      <c r="F1141" t="s">
        <v>881</v>
      </c>
      <c r="G1141" s="4" t="s">
        <v>5427</v>
      </c>
      <c r="H1141" t="s">
        <v>4845</v>
      </c>
      <c r="I1141" t="s">
        <v>112</v>
      </c>
      <c r="J1141" s="4" t="s">
        <v>60</v>
      </c>
      <c r="K1141" t="s">
        <v>12</v>
      </c>
      <c r="L1141">
        <v>1</v>
      </c>
      <c r="M1141" t="s">
        <v>362</v>
      </c>
      <c r="N1141" t="s">
        <v>363</v>
      </c>
      <c r="O1141" t="s">
        <v>363</v>
      </c>
      <c r="P1141" s="2" t="str">
        <f t="shared" si="51"/>
        <v>22/07/2025 to 25/07/2025</v>
      </c>
      <c r="Q1141" s="3">
        <v>45863</v>
      </c>
      <c r="R1141" t="str">
        <f t="shared" si="52"/>
        <v>On-Time</v>
      </c>
      <c r="S1141" t="s">
        <v>1081</v>
      </c>
      <c r="T1141">
        <v>9.5</v>
      </c>
      <c r="U1141" t="s">
        <v>65</v>
      </c>
      <c r="V1141" t="s">
        <v>66</v>
      </c>
      <c r="W1141" t="str">
        <f t="shared" ca="1" si="53"/>
        <v>Dormant</v>
      </c>
    </row>
    <row r="1142" spans="1:23" x14ac:dyDescent="0.2">
      <c r="A1142">
        <v>1747</v>
      </c>
      <c r="B1142" t="s">
        <v>4842</v>
      </c>
      <c r="C1142" t="s">
        <v>4846</v>
      </c>
      <c r="D1142" s="1" t="s">
        <v>362</v>
      </c>
      <c r="E1142" t="s">
        <v>4844</v>
      </c>
      <c r="F1142" t="s">
        <v>881</v>
      </c>
      <c r="G1142" s="4" t="s">
        <v>5420</v>
      </c>
      <c r="H1142" t="s">
        <v>4845</v>
      </c>
      <c r="I1142" t="s">
        <v>112</v>
      </c>
      <c r="J1142" s="4" t="s">
        <v>5417</v>
      </c>
      <c r="K1142" t="s">
        <v>722</v>
      </c>
      <c r="L1142">
        <v>2</v>
      </c>
      <c r="M1142" t="s">
        <v>365</v>
      </c>
      <c r="N1142" t="s">
        <v>366</v>
      </c>
      <c r="O1142" t="s">
        <v>363</v>
      </c>
      <c r="P1142" s="2" t="str">
        <f t="shared" si="51"/>
        <v>23/07/2025 to 28/07/2025</v>
      </c>
      <c r="Q1142" s="3">
        <v>45865</v>
      </c>
      <c r="R1142" t="str">
        <f t="shared" si="52"/>
        <v>On-Time</v>
      </c>
      <c r="S1142" t="s">
        <v>1418</v>
      </c>
      <c r="T1142">
        <v>17</v>
      </c>
      <c r="U1142" t="s">
        <v>79</v>
      </c>
      <c r="V1142" t="s">
        <v>72</v>
      </c>
      <c r="W1142" t="str">
        <f t="shared" ca="1" si="53"/>
        <v>Dormant</v>
      </c>
    </row>
    <row r="1143" spans="1:23" x14ac:dyDescent="0.2">
      <c r="A1143">
        <v>1748</v>
      </c>
      <c r="B1143" t="s">
        <v>4842</v>
      </c>
      <c r="C1143" t="s">
        <v>4847</v>
      </c>
      <c r="D1143" s="1" t="s">
        <v>362</v>
      </c>
      <c r="E1143" t="s">
        <v>4844</v>
      </c>
      <c r="F1143" t="s">
        <v>881</v>
      </c>
      <c r="G1143" s="4" t="s">
        <v>5424</v>
      </c>
      <c r="H1143" t="s">
        <v>4845</v>
      </c>
      <c r="I1143" t="s">
        <v>112</v>
      </c>
      <c r="J1143" s="4" t="s">
        <v>60</v>
      </c>
      <c r="K1143" t="s">
        <v>1124</v>
      </c>
      <c r="L1143">
        <v>2</v>
      </c>
      <c r="M1143" t="s">
        <v>365</v>
      </c>
      <c r="N1143" t="s">
        <v>365</v>
      </c>
      <c r="O1143" t="s">
        <v>365</v>
      </c>
      <c r="P1143" s="2" t="str">
        <f t="shared" si="51"/>
        <v>23/07/2025 to 28/07/2025</v>
      </c>
      <c r="Q1143" s="3">
        <v>45860</v>
      </c>
      <c r="R1143" t="str">
        <f t="shared" si="52"/>
        <v>Late</v>
      </c>
      <c r="S1143" t="s">
        <v>856</v>
      </c>
      <c r="T1143">
        <v>15.5</v>
      </c>
      <c r="U1143" t="s">
        <v>65</v>
      </c>
      <c r="V1143" t="s">
        <v>66</v>
      </c>
      <c r="W1143" t="str">
        <f t="shared" ca="1" si="53"/>
        <v>Dormant</v>
      </c>
    </row>
    <row r="1144" spans="1:23" x14ac:dyDescent="0.2">
      <c r="A1144">
        <v>1749</v>
      </c>
      <c r="B1144" t="s">
        <v>4842</v>
      </c>
      <c r="C1144" t="s">
        <v>4848</v>
      </c>
      <c r="D1144" s="1" t="s">
        <v>362</v>
      </c>
      <c r="E1144" t="s">
        <v>4844</v>
      </c>
      <c r="F1144" t="s">
        <v>881</v>
      </c>
      <c r="G1144" s="4" t="s">
        <v>5418</v>
      </c>
      <c r="H1144" t="s">
        <v>4845</v>
      </c>
      <c r="I1144" t="s">
        <v>112</v>
      </c>
      <c r="J1144" s="4" t="s">
        <v>68</v>
      </c>
      <c r="K1144" t="s">
        <v>4849</v>
      </c>
      <c r="L1144">
        <v>4</v>
      </c>
      <c r="M1144" t="s">
        <v>362</v>
      </c>
      <c r="N1144" t="s">
        <v>365</v>
      </c>
      <c r="O1144" t="s">
        <v>362</v>
      </c>
      <c r="P1144" s="2" t="str">
        <f t="shared" si="51"/>
        <v>22/07/2025 to 25/07/2025</v>
      </c>
      <c r="Q1144" s="3">
        <v>45861</v>
      </c>
      <c r="R1144" t="str">
        <f t="shared" si="52"/>
        <v>On-Time</v>
      </c>
      <c r="S1144" t="s">
        <v>1084</v>
      </c>
      <c r="T1144">
        <v>39.5</v>
      </c>
      <c r="U1144" t="s">
        <v>65</v>
      </c>
      <c r="V1144" t="s">
        <v>66</v>
      </c>
      <c r="W1144" t="str">
        <f t="shared" ca="1" si="53"/>
        <v>Dormant</v>
      </c>
    </row>
    <row r="1145" spans="1:23" x14ac:dyDescent="0.2">
      <c r="A1145">
        <v>1750</v>
      </c>
      <c r="B1145" t="s">
        <v>4842</v>
      </c>
      <c r="C1145" t="s">
        <v>4850</v>
      </c>
      <c r="D1145" s="1" t="s">
        <v>362</v>
      </c>
      <c r="E1145" t="s">
        <v>4844</v>
      </c>
      <c r="F1145" t="s">
        <v>881</v>
      </c>
      <c r="G1145" s="4" t="s">
        <v>5424</v>
      </c>
      <c r="H1145" t="s">
        <v>4845</v>
      </c>
      <c r="I1145" t="s">
        <v>112</v>
      </c>
      <c r="J1145" s="4" t="s">
        <v>68</v>
      </c>
      <c r="K1145" t="s">
        <v>4851</v>
      </c>
      <c r="L1145">
        <v>3</v>
      </c>
      <c r="M1145" t="s">
        <v>363</v>
      </c>
      <c r="N1145" t="s">
        <v>363</v>
      </c>
      <c r="O1145" t="s">
        <v>1291</v>
      </c>
      <c r="P1145" s="2" t="str">
        <f t="shared" si="51"/>
        <v>24/07/2025 to 29/07/2025</v>
      </c>
      <c r="Q1145" s="3">
        <v>45865</v>
      </c>
      <c r="R1145" t="str">
        <f t="shared" si="52"/>
        <v>On-Time</v>
      </c>
      <c r="S1145" t="s">
        <v>756</v>
      </c>
      <c r="T1145">
        <v>34.5</v>
      </c>
      <c r="U1145" t="s">
        <v>65</v>
      </c>
      <c r="V1145" t="s">
        <v>80</v>
      </c>
      <c r="W1145" t="str">
        <f t="shared" ca="1" si="53"/>
        <v>Dormant</v>
      </c>
    </row>
    <row r="1146" spans="1:23" x14ac:dyDescent="0.2">
      <c r="A1146">
        <v>878</v>
      </c>
      <c r="B1146" t="s">
        <v>2761</v>
      </c>
      <c r="C1146" t="s">
        <v>2762</v>
      </c>
      <c r="D1146" s="1" t="s">
        <v>365</v>
      </c>
      <c r="E1146" t="s">
        <v>2763</v>
      </c>
      <c r="F1146" t="s">
        <v>579</v>
      </c>
      <c r="G1146" s="4" t="s">
        <v>5428</v>
      </c>
      <c r="H1146" t="s">
        <v>2764</v>
      </c>
      <c r="I1146" t="s">
        <v>112</v>
      </c>
      <c r="J1146" s="4" t="s">
        <v>68</v>
      </c>
      <c r="K1146" t="s">
        <v>2765</v>
      </c>
      <c r="L1146">
        <v>4</v>
      </c>
      <c r="M1146" t="s">
        <v>365</v>
      </c>
      <c r="N1146" t="s">
        <v>365</v>
      </c>
      <c r="O1146" t="s">
        <v>365</v>
      </c>
      <c r="P1146" s="2" t="str">
        <f t="shared" si="51"/>
        <v>23/07/2025 to 28/07/2025</v>
      </c>
      <c r="Q1146" s="3">
        <v>45862</v>
      </c>
      <c r="R1146" t="str">
        <f t="shared" si="52"/>
        <v>On-Time</v>
      </c>
      <c r="S1146" t="s">
        <v>1084</v>
      </c>
      <c r="T1146">
        <v>38.5</v>
      </c>
      <c r="U1146" t="s">
        <v>65</v>
      </c>
      <c r="V1146" t="s">
        <v>72</v>
      </c>
      <c r="W1146" t="str">
        <f t="shared" ca="1" si="53"/>
        <v>Dormant</v>
      </c>
    </row>
    <row r="1147" spans="1:23" x14ac:dyDescent="0.2">
      <c r="A1147">
        <v>879</v>
      </c>
      <c r="B1147" t="s">
        <v>2761</v>
      </c>
      <c r="C1147" t="s">
        <v>2766</v>
      </c>
      <c r="D1147" s="1" t="s">
        <v>365</v>
      </c>
      <c r="E1147" t="s">
        <v>2763</v>
      </c>
      <c r="F1147" t="s">
        <v>579</v>
      </c>
      <c r="G1147" s="4" t="s">
        <v>5418</v>
      </c>
      <c r="H1147" t="s">
        <v>2764</v>
      </c>
      <c r="I1147" t="s">
        <v>112</v>
      </c>
      <c r="J1147" s="4" t="s">
        <v>74</v>
      </c>
      <c r="K1147" t="s">
        <v>749</v>
      </c>
      <c r="L1147">
        <v>2</v>
      </c>
      <c r="M1147" t="s">
        <v>365</v>
      </c>
      <c r="N1147" t="s">
        <v>365</v>
      </c>
      <c r="O1147" t="s">
        <v>366</v>
      </c>
      <c r="P1147" s="2" t="str">
        <f t="shared" si="51"/>
        <v>23/07/2025 to 28/07/2025</v>
      </c>
      <c r="Q1147" s="3">
        <v>45866</v>
      </c>
      <c r="R1147" t="str">
        <f t="shared" si="52"/>
        <v>On-Time</v>
      </c>
      <c r="S1147" t="s">
        <v>756</v>
      </c>
      <c r="T1147">
        <v>17.5</v>
      </c>
      <c r="U1147" t="s">
        <v>65</v>
      </c>
      <c r="V1147" t="s">
        <v>72</v>
      </c>
      <c r="W1147" t="str">
        <f t="shared" ca="1" si="53"/>
        <v>Dormant</v>
      </c>
    </row>
    <row r="1148" spans="1:23" x14ac:dyDescent="0.2">
      <c r="A1148">
        <v>880</v>
      </c>
      <c r="B1148" t="s">
        <v>2761</v>
      </c>
      <c r="C1148" t="s">
        <v>2767</v>
      </c>
      <c r="D1148" s="1" t="s">
        <v>365</v>
      </c>
      <c r="E1148" t="s">
        <v>2763</v>
      </c>
      <c r="F1148" t="s">
        <v>579</v>
      </c>
      <c r="G1148" s="4" t="s">
        <v>5426</v>
      </c>
      <c r="H1148" t="s">
        <v>2764</v>
      </c>
      <c r="I1148" t="s">
        <v>112</v>
      </c>
      <c r="J1148" s="4" t="s">
        <v>74</v>
      </c>
      <c r="K1148" t="s">
        <v>22</v>
      </c>
      <c r="L1148">
        <v>1</v>
      </c>
      <c r="M1148" t="s">
        <v>366</v>
      </c>
      <c r="N1148" t="s">
        <v>1291</v>
      </c>
      <c r="O1148" t="s">
        <v>366</v>
      </c>
      <c r="P1148" s="2" t="str">
        <f t="shared" si="51"/>
        <v>25/07/2025 to 30/07/2025</v>
      </c>
      <c r="Q1148" s="3">
        <v>45865</v>
      </c>
      <c r="R1148" t="str">
        <f t="shared" si="52"/>
        <v>On-Time</v>
      </c>
      <c r="S1148" t="s">
        <v>488</v>
      </c>
      <c r="T1148">
        <v>8</v>
      </c>
      <c r="U1148" t="s">
        <v>65</v>
      </c>
      <c r="V1148" t="s">
        <v>80</v>
      </c>
      <c r="W1148" t="str">
        <f t="shared" ca="1" si="53"/>
        <v>Dormant</v>
      </c>
    </row>
    <row r="1149" spans="1:23" x14ac:dyDescent="0.2">
      <c r="A1149">
        <v>1841</v>
      </c>
      <c r="B1149" t="s">
        <v>5046</v>
      </c>
      <c r="C1149" t="s">
        <v>5047</v>
      </c>
      <c r="D1149" s="1" t="s">
        <v>365</v>
      </c>
      <c r="E1149" t="s">
        <v>5048</v>
      </c>
      <c r="F1149" t="s">
        <v>1154</v>
      </c>
      <c r="G1149" s="4" t="s">
        <v>5423</v>
      </c>
      <c r="H1149" t="s">
        <v>5049</v>
      </c>
      <c r="I1149" t="s">
        <v>136</v>
      </c>
      <c r="J1149" s="4" t="s">
        <v>68</v>
      </c>
      <c r="K1149" t="s">
        <v>5050</v>
      </c>
      <c r="L1149">
        <v>4</v>
      </c>
      <c r="M1149" t="s">
        <v>365</v>
      </c>
      <c r="N1149" t="s">
        <v>366</v>
      </c>
      <c r="O1149" t="s">
        <v>366</v>
      </c>
      <c r="P1149" s="2" t="str">
        <f t="shared" si="51"/>
        <v>23/07/2025 to 28/07/2025</v>
      </c>
      <c r="Q1149" s="3">
        <v>45864</v>
      </c>
      <c r="R1149" t="str">
        <f t="shared" si="52"/>
        <v>On-Time</v>
      </c>
      <c r="S1149" t="s">
        <v>756</v>
      </c>
      <c r="T1149">
        <v>35</v>
      </c>
      <c r="U1149" t="s">
        <v>79</v>
      </c>
      <c r="V1149" t="s">
        <v>72</v>
      </c>
      <c r="W1149" t="str">
        <f t="shared" ca="1" si="53"/>
        <v>Dormant</v>
      </c>
    </row>
    <row r="1150" spans="1:23" x14ac:dyDescent="0.2">
      <c r="A1150">
        <v>1728</v>
      </c>
      <c r="B1150" t="s">
        <v>4800</v>
      </c>
      <c r="C1150" t="s">
        <v>4801</v>
      </c>
      <c r="D1150" s="1" t="s">
        <v>363</v>
      </c>
      <c r="E1150" t="s">
        <v>4802</v>
      </c>
      <c r="F1150" t="s">
        <v>1003</v>
      </c>
      <c r="G1150" s="4" t="s">
        <v>5419</v>
      </c>
      <c r="H1150" t="s">
        <v>4803</v>
      </c>
      <c r="I1150" t="s">
        <v>136</v>
      </c>
      <c r="J1150" s="4" t="s">
        <v>74</v>
      </c>
      <c r="K1150" t="s">
        <v>1258</v>
      </c>
      <c r="L1150">
        <v>2</v>
      </c>
      <c r="M1150" t="s">
        <v>366</v>
      </c>
      <c r="N1150" t="s">
        <v>1291</v>
      </c>
      <c r="O1150" t="s">
        <v>750</v>
      </c>
      <c r="P1150" s="2" t="str">
        <f t="shared" si="51"/>
        <v>25/07/2025 to 30/07/2025</v>
      </c>
      <c r="Q1150" s="3">
        <v>45868</v>
      </c>
      <c r="R1150" t="str">
        <f t="shared" si="52"/>
        <v>On-Time</v>
      </c>
      <c r="S1150" t="s">
        <v>493</v>
      </c>
      <c r="T1150">
        <v>19</v>
      </c>
      <c r="U1150" t="s">
        <v>79</v>
      </c>
      <c r="V1150" t="s">
        <v>66</v>
      </c>
      <c r="W1150" t="str">
        <f t="shared" ca="1" si="53"/>
        <v>Dormant</v>
      </c>
    </row>
    <row r="1151" spans="1:23" x14ac:dyDescent="0.2">
      <c r="A1151">
        <v>616</v>
      </c>
      <c r="B1151" t="s">
        <v>2124</v>
      </c>
      <c r="C1151" t="s">
        <v>2125</v>
      </c>
      <c r="D1151" s="1" t="s">
        <v>366</v>
      </c>
      <c r="E1151" t="s">
        <v>2126</v>
      </c>
      <c r="F1151" t="s">
        <v>1920</v>
      </c>
      <c r="G1151" s="4" t="s">
        <v>5425</v>
      </c>
      <c r="H1151" t="s">
        <v>2127</v>
      </c>
      <c r="I1151" t="s">
        <v>93</v>
      </c>
      <c r="J1151" s="4" t="s">
        <v>60</v>
      </c>
      <c r="K1151" t="s">
        <v>2128</v>
      </c>
      <c r="L1151">
        <v>4</v>
      </c>
      <c r="M1151" t="s">
        <v>1291</v>
      </c>
      <c r="N1151" t="s">
        <v>750</v>
      </c>
      <c r="O1151" t="s">
        <v>1291</v>
      </c>
      <c r="P1151" s="2" t="str">
        <f t="shared" si="51"/>
        <v>28/07/2025 to 31/07/2025</v>
      </c>
      <c r="Q1151" s="3">
        <v>45866</v>
      </c>
      <c r="R1151" t="str">
        <f t="shared" si="52"/>
        <v>On-Time</v>
      </c>
      <c r="S1151" t="s">
        <v>488</v>
      </c>
      <c r="T1151">
        <v>41</v>
      </c>
      <c r="U1151" t="s">
        <v>65</v>
      </c>
      <c r="V1151" t="s">
        <v>80</v>
      </c>
      <c r="W1151" t="str">
        <f t="shared" ca="1" si="53"/>
        <v>Dormant</v>
      </c>
    </row>
    <row r="1152" spans="1:23" x14ac:dyDescent="0.2">
      <c r="A1152">
        <v>617</v>
      </c>
      <c r="B1152" t="s">
        <v>2124</v>
      </c>
      <c r="C1152" t="s">
        <v>2129</v>
      </c>
      <c r="D1152" s="1" t="s">
        <v>366</v>
      </c>
      <c r="E1152" t="s">
        <v>2126</v>
      </c>
      <c r="F1152" t="s">
        <v>1920</v>
      </c>
      <c r="G1152" s="4" t="s">
        <v>5421</v>
      </c>
      <c r="H1152" t="s">
        <v>2127</v>
      </c>
      <c r="I1152" t="s">
        <v>93</v>
      </c>
      <c r="J1152" s="4" t="s">
        <v>74</v>
      </c>
      <c r="K1152" t="s">
        <v>2130</v>
      </c>
      <c r="L1152">
        <v>4</v>
      </c>
      <c r="M1152" t="s">
        <v>750</v>
      </c>
      <c r="N1152" t="s">
        <v>750</v>
      </c>
      <c r="O1152" t="s">
        <v>416</v>
      </c>
      <c r="P1152" s="2" t="str">
        <f t="shared" si="51"/>
        <v>29/07/2025 to 01/08/2025</v>
      </c>
      <c r="Q1152" s="3">
        <v>45869</v>
      </c>
      <c r="R1152" t="str">
        <f t="shared" si="52"/>
        <v>On-Time</v>
      </c>
      <c r="S1152" t="s">
        <v>494</v>
      </c>
      <c r="T1152">
        <v>40</v>
      </c>
      <c r="U1152" t="s">
        <v>65</v>
      </c>
      <c r="V1152" t="s">
        <v>66</v>
      </c>
      <c r="W1152" t="str">
        <f t="shared" ca="1" si="53"/>
        <v>Dormant</v>
      </c>
    </row>
    <row r="1153" spans="1:23" x14ac:dyDescent="0.2">
      <c r="A1153">
        <v>618</v>
      </c>
      <c r="B1153" t="s">
        <v>2124</v>
      </c>
      <c r="C1153" t="s">
        <v>2131</v>
      </c>
      <c r="D1153" s="1" t="s">
        <v>366</v>
      </c>
      <c r="E1153" t="s">
        <v>2126</v>
      </c>
      <c r="F1153" t="s">
        <v>1920</v>
      </c>
      <c r="G1153" s="4" t="s">
        <v>5420</v>
      </c>
      <c r="H1153" t="s">
        <v>2127</v>
      </c>
      <c r="I1153" t="s">
        <v>93</v>
      </c>
      <c r="J1153" s="4" t="s">
        <v>74</v>
      </c>
      <c r="K1153" t="s">
        <v>1516</v>
      </c>
      <c r="L1153">
        <v>3</v>
      </c>
      <c r="M1153" t="s">
        <v>1291</v>
      </c>
      <c r="N1153" t="s">
        <v>1291</v>
      </c>
      <c r="O1153" t="s">
        <v>412</v>
      </c>
      <c r="P1153" s="2" t="str">
        <f t="shared" si="51"/>
        <v>28/07/2025 to 31/07/2025</v>
      </c>
      <c r="Q1153" s="3">
        <v>45865</v>
      </c>
      <c r="R1153" t="str">
        <f t="shared" si="52"/>
        <v>Late</v>
      </c>
      <c r="S1153" t="s">
        <v>756</v>
      </c>
      <c r="T1153">
        <v>34.5</v>
      </c>
      <c r="U1153" t="s">
        <v>79</v>
      </c>
      <c r="V1153" t="s">
        <v>72</v>
      </c>
      <c r="W1153" t="str">
        <f t="shared" ca="1" si="53"/>
        <v>Dormant</v>
      </c>
    </row>
    <row r="1154" spans="1:23" x14ac:dyDescent="0.2">
      <c r="A1154">
        <v>376</v>
      </c>
      <c r="B1154" t="s">
        <v>1473</v>
      </c>
      <c r="C1154" t="s">
        <v>1474</v>
      </c>
      <c r="D1154" s="1" t="s">
        <v>1291</v>
      </c>
      <c r="E1154" t="s">
        <v>1475</v>
      </c>
      <c r="F1154" t="s">
        <v>229</v>
      </c>
      <c r="G1154" s="4" t="s">
        <v>5424</v>
      </c>
      <c r="H1154" t="s">
        <v>1476</v>
      </c>
      <c r="I1154" t="s">
        <v>93</v>
      </c>
      <c r="J1154" s="4" t="s">
        <v>68</v>
      </c>
      <c r="K1154" t="s">
        <v>669</v>
      </c>
      <c r="L1154">
        <v>3</v>
      </c>
      <c r="M1154" t="s">
        <v>412</v>
      </c>
      <c r="N1154" t="s">
        <v>412</v>
      </c>
      <c r="O1154" t="s">
        <v>412</v>
      </c>
      <c r="P1154" s="2" t="str">
        <f t="shared" ref="P1154:P1217" si="54">IF(ISBLANK(M1154), "", TEXT(WORKDAY(M1154, 7), "dd/mm/yyyy") &amp; " to " &amp; TEXT(WORKDAY(M1154, 10), "dd/mm/yyyy"))</f>
        <v>29/07/2025 to 01/08/2025</v>
      </c>
      <c r="Q1154" s="3">
        <v>45866</v>
      </c>
      <c r="R1154" t="str">
        <f t="shared" ref="R1154:R1217" si="55">IF(Q1154="","In Progress",
IF(AND(--Q1154&gt;=DATEVALUE(LEFT(P1154,10)),
       --Q1154&lt;=DATEVALUE(TRIM(MID(P1154,FIND("to",P1154)+3,10)))),
   "On-Time","Late"))</f>
        <v>Late</v>
      </c>
      <c r="S1154" t="s">
        <v>493</v>
      </c>
      <c r="T1154">
        <v>27.5</v>
      </c>
      <c r="U1154" t="s">
        <v>79</v>
      </c>
      <c r="V1154" t="s">
        <v>80</v>
      </c>
      <c r="W1154" t="str">
        <f t="shared" ca="1" si="53"/>
        <v>Dormant</v>
      </c>
    </row>
    <row r="1155" spans="1:23" x14ac:dyDescent="0.2">
      <c r="A1155">
        <v>377</v>
      </c>
      <c r="B1155" t="s">
        <v>1473</v>
      </c>
      <c r="C1155" t="s">
        <v>1477</v>
      </c>
      <c r="D1155" s="1" t="s">
        <v>1291</v>
      </c>
      <c r="E1155" t="s">
        <v>1475</v>
      </c>
      <c r="F1155" t="s">
        <v>229</v>
      </c>
      <c r="G1155" s="4" t="s">
        <v>5428</v>
      </c>
      <c r="H1155" t="s">
        <v>1476</v>
      </c>
      <c r="I1155" t="s">
        <v>93</v>
      </c>
      <c r="J1155" s="4" t="s">
        <v>74</v>
      </c>
      <c r="K1155" t="s">
        <v>730</v>
      </c>
      <c r="L1155">
        <v>2</v>
      </c>
      <c r="M1155" t="s">
        <v>412</v>
      </c>
      <c r="N1155" t="s">
        <v>408</v>
      </c>
      <c r="O1155" t="s">
        <v>412</v>
      </c>
      <c r="P1155" s="2" t="str">
        <f t="shared" si="54"/>
        <v>29/07/2025 to 01/08/2025</v>
      </c>
      <c r="Q1155" s="3">
        <v>45866</v>
      </c>
      <c r="R1155" t="str">
        <f t="shared" si="55"/>
        <v>Late</v>
      </c>
      <c r="S1155" t="s">
        <v>488</v>
      </c>
      <c r="T1155">
        <v>17.5</v>
      </c>
      <c r="U1155" t="s">
        <v>65</v>
      </c>
      <c r="V1155" t="s">
        <v>80</v>
      </c>
      <c r="W1155" t="str">
        <f t="shared" ref="W1155:W1218" ca="1" si="56">IF(D1155="","",
IF(TODAY()-D1155&lt;=120,"Active",
IF(TODAY()-D1155&lt;=210,"At Risk",
IF(TODAY()-D1155&lt;=395,"Dormant",
IF(TODAY()-D1155&lt;=730,"Inactive","Archived")))))</f>
        <v>Dormant</v>
      </c>
    </row>
    <row r="1156" spans="1:23" x14ac:dyDescent="0.2">
      <c r="A1156">
        <v>378</v>
      </c>
      <c r="B1156" t="s">
        <v>1473</v>
      </c>
      <c r="C1156" t="s">
        <v>1478</v>
      </c>
      <c r="D1156" s="1" t="s">
        <v>1291</v>
      </c>
      <c r="E1156" t="s">
        <v>1475</v>
      </c>
      <c r="F1156" t="s">
        <v>229</v>
      </c>
      <c r="G1156" s="4" t="s">
        <v>5423</v>
      </c>
      <c r="H1156" t="s">
        <v>1476</v>
      </c>
      <c r="I1156" t="s">
        <v>93</v>
      </c>
      <c r="J1156" s="4" t="s">
        <v>74</v>
      </c>
      <c r="K1156" t="s">
        <v>1479</v>
      </c>
      <c r="L1156">
        <v>2</v>
      </c>
      <c r="M1156" t="s">
        <v>750</v>
      </c>
      <c r="N1156" t="s">
        <v>750</v>
      </c>
      <c r="O1156" t="s">
        <v>412</v>
      </c>
      <c r="P1156" s="2" t="str">
        <f t="shared" si="54"/>
        <v>29/07/2025 to 01/08/2025</v>
      </c>
      <c r="Q1156" s="3">
        <v>45867</v>
      </c>
      <c r="R1156" t="str">
        <f t="shared" si="55"/>
        <v>On-Time</v>
      </c>
      <c r="S1156" t="s">
        <v>494</v>
      </c>
      <c r="T1156">
        <v>19.5</v>
      </c>
      <c r="U1156" t="s">
        <v>79</v>
      </c>
      <c r="V1156" t="s">
        <v>80</v>
      </c>
      <c r="W1156" t="str">
        <f t="shared" ca="1" si="56"/>
        <v>Dormant</v>
      </c>
    </row>
    <row r="1157" spans="1:23" x14ac:dyDescent="0.2">
      <c r="A1157">
        <v>390</v>
      </c>
      <c r="B1157" t="s">
        <v>1518</v>
      </c>
      <c r="C1157" t="s">
        <v>1519</v>
      </c>
      <c r="D1157" s="1" t="s">
        <v>1291</v>
      </c>
      <c r="E1157" t="s">
        <v>1520</v>
      </c>
      <c r="F1157" t="s">
        <v>209</v>
      </c>
      <c r="G1157" s="4" t="s">
        <v>5418</v>
      </c>
      <c r="H1157" t="s">
        <v>1521</v>
      </c>
      <c r="I1157" t="s">
        <v>59</v>
      </c>
      <c r="J1157" s="4" t="s">
        <v>60</v>
      </c>
      <c r="K1157" t="s">
        <v>20</v>
      </c>
      <c r="L1157">
        <v>1</v>
      </c>
      <c r="M1157" t="s">
        <v>750</v>
      </c>
      <c r="N1157" t="s">
        <v>412</v>
      </c>
      <c r="O1157" t="s">
        <v>750</v>
      </c>
      <c r="P1157" s="2" t="str">
        <f t="shared" si="54"/>
        <v>29/07/2025 to 01/08/2025</v>
      </c>
      <c r="Q1157" s="3">
        <v>45868</v>
      </c>
      <c r="R1157" t="str">
        <f t="shared" si="55"/>
        <v>On-Time</v>
      </c>
      <c r="S1157" t="s">
        <v>494</v>
      </c>
      <c r="T1157">
        <v>10.5</v>
      </c>
      <c r="U1157" t="s">
        <v>79</v>
      </c>
      <c r="V1157" t="s">
        <v>72</v>
      </c>
      <c r="W1157" t="str">
        <f t="shared" ca="1" si="56"/>
        <v>Dormant</v>
      </c>
    </row>
    <row r="1158" spans="1:23" x14ac:dyDescent="0.2">
      <c r="A1158">
        <v>391</v>
      </c>
      <c r="B1158" t="s">
        <v>1518</v>
      </c>
      <c r="C1158" t="s">
        <v>1522</v>
      </c>
      <c r="D1158" s="1" t="s">
        <v>1291</v>
      </c>
      <c r="E1158" t="s">
        <v>1520</v>
      </c>
      <c r="F1158" t="s">
        <v>209</v>
      </c>
      <c r="G1158" s="4" t="s">
        <v>5425</v>
      </c>
      <c r="H1158" t="s">
        <v>1521</v>
      </c>
      <c r="I1158" t="s">
        <v>59</v>
      </c>
      <c r="J1158" s="4" t="s">
        <v>74</v>
      </c>
      <c r="K1158" t="s">
        <v>1352</v>
      </c>
      <c r="L1158">
        <v>2</v>
      </c>
      <c r="M1158" t="s">
        <v>412</v>
      </c>
      <c r="N1158" t="s">
        <v>408</v>
      </c>
      <c r="O1158" t="s">
        <v>408</v>
      </c>
      <c r="P1158" s="2" t="str">
        <f t="shared" si="54"/>
        <v>29/07/2025 to 01/08/2025</v>
      </c>
      <c r="Q1158" s="3">
        <v>45872</v>
      </c>
      <c r="R1158" t="str">
        <f t="shared" si="55"/>
        <v>Late</v>
      </c>
      <c r="S1158" t="s">
        <v>767</v>
      </c>
      <c r="T1158">
        <v>23.5</v>
      </c>
      <c r="U1158" t="s">
        <v>65</v>
      </c>
      <c r="V1158" t="s">
        <v>80</v>
      </c>
      <c r="W1158" t="str">
        <f t="shared" ca="1" si="56"/>
        <v>Dormant</v>
      </c>
    </row>
    <row r="1159" spans="1:23" x14ac:dyDescent="0.2">
      <c r="A1159">
        <v>392</v>
      </c>
      <c r="B1159" t="s">
        <v>1518</v>
      </c>
      <c r="C1159" t="s">
        <v>1523</v>
      </c>
      <c r="D1159" s="1" t="s">
        <v>1291</v>
      </c>
      <c r="E1159" t="s">
        <v>1520</v>
      </c>
      <c r="F1159" t="s">
        <v>209</v>
      </c>
      <c r="G1159" s="4" t="s">
        <v>5428</v>
      </c>
      <c r="H1159" t="s">
        <v>1521</v>
      </c>
      <c r="I1159" t="s">
        <v>59</v>
      </c>
      <c r="J1159" s="4" t="s">
        <v>74</v>
      </c>
      <c r="K1159" t="s">
        <v>8</v>
      </c>
      <c r="L1159">
        <v>1</v>
      </c>
      <c r="M1159" t="s">
        <v>1291</v>
      </c>
      <c r="N1159" t="s">
        <v>412</v>
      </c>
      <c r="O1159" t="s">
        <v>750</v>
      </c>
      <c r="P1159" s="2" t="str">
        <f t="shared" si="54"/>
        <v>28/07/2025 to 31/07/2025</v>
      </c>
      <c r="Q1159" s="3">
        <v>45867</v>
      </c>
      <c r="R1159" t="str">
        <f t="shared" si="55"/>
        <v>On-Time</v>
      </c>
      <c r="S1159" t="s">
        <v>493</v>
      </c>
      <c r="T1159">
        <v>9</v>
      </c>
      <c r="U1159" t="s">
        <v>65</v>
      </c>
      <c r="V1159" t="s">
        <v>72</v>
      </c>
      <c r="W1159" t="str">
        <f t="shared" ca="1" si="56"/>
        <v>Dormant</v>
      </c>
    </row>
    <row r="1160" spans="1:23" x14ac:dyDescent="0.2">
      <c r="A1160">
        <v>393</v>
      </c>
      <c r="B1160" t="s">
        <v>1518</v>
      </c>
      <c r="C1160" t="s">
        <v>1524</v>
      </c>
      <c r="D1160" s="1" t="s">
        <v>1291</v>
      </c>
      <c r="E1160" t="s">
        <v>1520</v>
      </c>
      <c r="F1160" t="s">
        <v>209</v>
      </c>
      <c r="G1160" s="4" t="s">
        <v>5418</v>
      </c>
      <c r="H1160" t="s">
        <v>1521</v>
      </c>
      <c r="I1160" t="s">
        <v>59</v>
      </c>
      <c r="J1160" s="4" t="s">
        <v>74</v>
      </c>
      <c r="K1160" t="s">
        <v>22</v>
      </c>
      <c r="L1160">
        <v>1</v>
      </c>
      <c r="M1160" t="s">
        <v>750</v>
      </c>
      <c r="N1160" t="s">
        <v>412</v>
      </c>
      <c r="O1160" t="s">
        <v>750</v>
      </c>
      <c r="P1160" s="2" t="str">
        <f t="shared" si="54"/>
        <v>29/07/2025 to 01/08/2025</v>
      </c>
      <c r="Q1160" s="3">
        <v>45865</v>
      </c>
      <c r="R1160" t="str">
        <f t="shared" si="55"/>
        <v>Late</v>
      </c>
      <c r="S1160" t="s">
        <v>756</v>
      </c>
      <c r="T1160">
        <v>8</v>
      </c>
      <c r="U1160" t="s">
        <v>65</v>
      </c>
      <c r="V1160" t="s">
        <v>66</v>
      </c>
      <c r="W1160" t="str">
        <f t="shared" ca="1" si="56"/>
        <v>Dormant</v>
      </c>
    </row>
    <row r="1161" spans="1:23" x14ac:dyDescent="0.2">
      <c r="A1161">
        <v>1327</v>
      </c>
      <c r="B1161" t="s">
        <v>3844</v>
      </c>
      <c r="C1161" t="s">
        <v>3845</v>
      </c>
      <c r="D1161" s="1" t="s">
        <v>1291</v>
      </c>
      <c r="E1161" t="s">
        <v>3846</v>
      </c>
      <c r="F1161" t="s">
        <v>1204</v>
      </c>
      <c r="G1161" s="4" t="s">
        <v>5427</v>
      </c>
      <c r="H1161" t="s">
        <v>3847</v>
      </c>
      <c r="I1161" t="s">
        <v>201</v>
      </c>
      <c r="J1161" s="4" t="s">
        <v>74</v>
      </c>
      <c r="K1161" t="s">
        <v>3848</v>
      </c>
      <c r="L1161">
        <v>4</v>
      </c>
      <c r="M1161" t="s">
        <v>1291</v>
      </c>
      <c r="N1161" t="s">
        <v>1291</v>
      </c>
      <c r="O1161" t="s">
        <v>1291</v>
      </c>
      <c r="P1161" s="2" t="str">
        <f t="shared" si="54"/>
        <v>28/07/2025 to 31/07/2025</v>
      </c>
      <c r="Q1161" s="3">
        <v>45864</v>
      </c>
      <c r="R1161" t="str">
        <f t="shared" si="55"/>
        <v>Late</v>
      </c>
      <c r="S1161" t="s">
        <v>1081</v>
      </c>
      <c r="T1161">
        <v>36.5</v>
      </c>
      <c r="U1161" t="s">
        <v>65</v>
      </c>
      <c r="V1161" t="s">
        <v>66</v>
      </c>
      <c r="W1161" t="str">
        <f t="shared" ca="1" si="56"/>
        <v>Dormant</v>
      </c>
    </row>
    <row r="1162" spans="1:23" x14ac:dyDescent="0.2">
      <c r="A1162">
        <v>1858</v>
      </c>
      <c r="B1162" t="s">
        <v>5088</v>
      </c>
      <c r="C1162" t="s">
        <v>5089</v>
      </c>
      <c r="D1162" s="1" t="s">
        <v>1291</v>
      </c>
      <c r="E1162" t="s">
        <v>5090</v>
      </c>
      <c r="F1162" t="s">
        <v>209</v>
      </c>
      <c r="G1162" s="4" t="s">
        <v>5426</v>
      </c>
      <c r="H1162" t="s">
        <v>3408</v>
      </c>
      <c r="I1162" t="s">
        <v>59</v>
      </c>
      <c r="J1162" s="4" t="s">
        <v>60</v>
      </c>
      <c r="K1162" t="s">
        <v>5091</v>
      </c>
      <c r="L1162">
        <v>2</v>
      </c>
      <c r="M1162" t="s">
        <v>750</v>
      </c>
      <c r="N1162" t="s">
        <v>750</v>
      </c>
      <c r="O1162" t="s">
        <v>416</v>
      </c>
      <c r="P1162" s="2" t="str">
        <f t="shared" si="54"/>
        <v>29/07/2025 to 01/08/2025</v>
      </c>
      <c r="Q1162" s="3">
        <v>45867</v>
      </c>
      <c r="R1162" t="str">
        <f t="shared" si="55"/>
        <v>On-Time</v>
      </c>
      <c r="S1162" t="s">
        <v>494</v>
      </c>
      <c r="T1162">
        <v>17.5</v>
      </c>
      <c r="U1162" t="s">
        <v>79</v>
      </c>
      <c r="V1162" t="s">
        <v>66</v>
      </c>
      <c r="W1162" t="str">
        <f t="shared" ca="1" si="56"/>
        <v>Dormant</v>
      </c>
    </row>
    <row r="1163" spans="1:23" x14ac:dyDescent="0.2">
      <c r="A1163">
        <v>1859</v>
      </c>
      <c r="B1163" t="s">
        <v>5088</v>
      </c>
      <c r="C1163" t="s">
        <v>5092</v>
      </c>
      <c r="D1163" s="1" t="s">
        <v>1291</v>
      </c>
      <c r="E1163" t="s">
        <v>5090</v>
      </c>
      <c r="F1163" t="s">
        <v>209</v>
      </c>
      <c r="G1163" s="4" t="s">
        <v>38</v>
      </c>
      <c r="H1163" t="s">
        <v>3408</v>
      </c>
      <c r="I1163" t="s">
        <v>59</v>
      </c>
      <c r="J1163" s="4" t="s">
        <v>68</v>
      </c>
      <c r="K1163" t="s">
        <v>6</v>
      </c>
      <c r="L1163">
        <v>1</v>
      </c>
      <c r="M1163" t="s">
        <v>750</v>
      </c>
      <c r="N1163" t="s">
        <v>750</v>
      </c>
      <c r="O1163" t="s">
        <v>412</v>
      </c>
      <c r="P1163" s="2" t="str">
        <f t="shared" si="54"/>
        <v>29/07/2025 to 01/08/2025</v>
      </c>
      <c r="Q1163" s="3">
        <v>45869</v>
      </c>
      <c r="R1163" t="str">
        <f t="shared" si="55"/>
        <v>On-Time</v>
      </c>
      <c r="S1163" t="s">
        <v>495</v>
      </c>
      <c r="T1163">
        <v>7.5</v>
      </c>
      <c r="U1163" t="s">
        <v>65</v>
      </c>
      <c r="V1163" t="s">
        <v>80</v>
      </c>
      <c r="W1163" t="str">
        <f t="shared" ca="1" si="56"/>
        <v>Dormant</v>
      </c>
    </row>
    <row r="1164" spans="1:23" x14ac:dyDescent="0.2">
      <c r="A1164">
        <v>1860</v>
      </c>
      <c r="B1164" t="s">
        <v>5088</v>
      </c>
      <c r="C1164" t="s">
        <v>5093</v>
      </c>
      <c r="D1164" s="1" t="s">
        <v>1291</v>
      </c>
      <c r="E1164" t="s">
        <v>5090</v>
      </c>
      <c r="F1164" t="s">
        <v>209</v>
      </c>
      <c r="G1164" s="4" t="s">
        <v>5423</v>
      </c>
      <c r="H1164" t="s">
        <v>3408</v>
      </c>
      <c r="I1164" t="s">
        <v>59</v>
      </c>
      <c r="J1164" s="4" t="s">
        <v>68</v>
      </c>
      <c r="K1164" t="s">
        <v>5094</v>
      </c>
      <c r="L1164">
        <v>3</v>
      </c>
      <c r="M1164" t="s">
        <v>412</v>
      </c>
      <c r="N1164" t="s">
        <v>416</v>
      </c>
      <c r="O1164" t="s">
        <v>412</v>
      </c>
      <c r="P1164" s="2" t="str">
        <f t="shared" si="54"/>
        <v>29/07/2025 to 01/08/2025</v>
      </c>
      <c r="Q1164" s="3">
        <v>45868</v>
      </c>
      <c r="R1164" t="str">
        <f t="shared" si="55"/>
        <v>On-Time</v>
      </c>
      <c r="S1164" t="s">
        <v>493</v>
      </c>
      <c r="T1164">
        <v>29.5</v>
      </c>
      <c r="U1164" t="s">
        <v>79</v>
      </c>
      <c r="V1164" t="s">
        <v>66</v>
      </c>
      <c r="W1164" t="str">
        <f t="shared" ca="1" si="56"/>
        <v>Dormant</v>
      </c>
    </row>
    <row r="1165" spans="1:23" x14ac:dyDescent="0.2">
      <c r="A1165">
        <v>1861</v>
      </c>
      <c r="B1165" t="s">
        <v>5088</v>
      </c>
      <c r="C1165" t="s">
        <v>5095</v>
      </c>
      <c r="D1165" s="1" t="s">
        <v>1291</v>
      </c>
      <c r="E1165" t="s">
        <v>5090</v>
      </c>
      <c r="F1165" t="s">
        <v>209</v>
      </c>
      <c r="G1165" s="4" t="s">
        <v>5428</v>
      </c>
      <c r="H1165" t="s">
        <v>3408</v>
      </c>
      <c r="I1165" t="s">
        <v>59</v>
      </c>
      <c r="J1165" s="4" t="s">
        <v>68</v>
      </c>
      <c r="K1165" t="s">
        <v>5096</v>
      </c>
      <c r="L1165">
        <v>3</v>
      </c>
      <c r="M1165" t="s">
        <v>412</v>
      </c>
      <c r="N1165" t="s">
        <v>416</v>
      </c>
      <c r="O1165" t="s">
        <v>408</v>
      </c>
      <c r="P1165" s="2" t="str">
        <f t="shared" si="54"/>
        <v>29/07/2025 to 01/08/2025</v>
      </c>
      <c r="Q1165" s="3">
        <v>45872</v>
      </c>
      <c r="R1165" t="str">
        <f t="shared" si="55"/>
        <v>Late</v>
      </c>
      <c r="S1165" t="s">
        <v>763</v>
      </c>
      <c r="T1165">
        <v>34.5</v>
      </c>
      <c r="U1165" t="s">
        <v>79</v>
      </c>
      <c r="V1165" t="s">
        <v>72</v>
      </c>
      <c r="W1165" t="str">
        <f t="shared" ca="1" si="56"/>
        <v>Dormant</v>
      </c>
    </row>
    <row r="1166" spans="1:23" x14ac:dyDescent="0.2">
      <c r="A1166">
        <v>1862</v>
      </c>
      <c r="B1166" t="s">
        <v>5088</v>
      </c>
      <c r="C1166" t="s">
        <v>5097</v>
      </c>
      <c r="D1166" s="1" t="s">
        <v>1291</v>
      </c>
      <c r="E1166" t="s">
        <v>5090</v>
      </c>
      <c r="F1166" t="s">
        <v>209</v>
      </c>
      <c r="G1166" s="4" t="s">
        <v>5428</v>
      </c>
      <c r="H1166" t="s">
        <v>3408</v>
      </c>
      <c r="I1166" t="s">
        <v>59</v>
      </c>
      <c r="J1166" s="4" t="s">
        <v>60</v>
      </c>
      <c r="K1166" t="s">
        <v>5098</v>
      </c>
      <c r="L1166">
        <v>3</v>
      </c>
      <c r="M1166" t="s">
        <v>412</v>
      </c>
      <c r="N1166" t="s">
        <v>412</v>
      </c>
      <c r="O1166" t="s">
        <v>416</v>
      </c>
      <c r="P1166" s="2" t="str">
        <f t="shared" si="54"/>
        <v>29/07/2025 to 01/08/2025</v>
      </c>
      <c r="Q1166" s="3">
        <v>45871</v>
      </c>
      <c r="R1166" t="str">
        <f t="shared" si="55"/>
        <v>Late</v>
      </c>
      <c r="S1166" t="s">
        <v>767</v>
      </c>
      <c r="T1166">
        <v>32.5</v>
      </c>
      <c r="U1166" t="s">
        <v>65</v>
      </c>
      <c r="V1166" t="s">
        <v>80</v>
      </c>
      <c r="W1166" t="str">
        <f t="shared" ca="1" si="56"/>
        <v>Dormant</v>
      </c>
    </row>
    <row r="1167" spans="1:23" x14ac:dyDescent="0.2">
      <c r="A1167">
        <v>471</v>
      </c>
      <c r="B1167" t="s">
        <v>1742</v>
      </c>
      <c r="C1167" t="s">
        <v>1743</v>
      </c>
      <c r="D1167" s="1" t="s">
        <v>750</v>
      </c>
      <c r="E1167" t="s">
        <v>1744</v>
      </c>
      <c r="F1167" t="s">
        <v>553</v>
      </c>
      <c r="G1167" s="4" t="s">
        <v>5421</v>
      </c>
      <c r="H1167" t="s">
        <v>1745</v>
      </c>
      <c r="I1167" t="s">
        <v>59</v>
      </c>
      <c r="J1167" s="4" t="s">
        <v>68</v>
      </c>
      <c r="K1167" t="s">
        <v>16</v>
      </c>
      <c r="L1167">
        <v>1</v>
      </c>
      <c r="M1167" t="s">
        <v>412</v>
      </c>
      <c r="N1167" t="s">
        <v>416</v>
      </c>
      <c r="O1167" t="s">
        <v>408</v>
      </c>
      <c r="P1167" s="2" t="str">
        <f t="shared" si="54"/>
        <v>29/07/2025 to 01/08/2025</v>
      </c>
      <c r="Q1167" s="3">
        <v>45872</v>
      </c>
      <c r="R1167" t="str">
        <f t="shared" si="55"/>
        <v>Late</v>
      </c>
      <c r="S1167" t="s">
        <v>762</v>
      </c>
      <c r="T1167">
        <v>11</v>
      </c>
      <c r="U1167" t="s">
        <v>65</v>
      </c>
      <c r="V1167" t="s">
        <v>80</v>
      </c>
      <c r="W1167" t="str">
        <f t="shared" ca="1" si="56"/>
        <v>Dormant</v>
      </c>
    </row>
    <row r="1168" spans="1:23" x14ac:dyDescent="0.2">
      <c r="A1168">
        <v>472</v>
      </c>
      <c r="B1168" t="s">
        <v>1742</v>
      </c>
      <c r="C1168" t="s">
        <v>1746</v>
      </c>
      <c r="D1168" s="1" t="s">
        <v>750</v>
      </c>
      <c r="E1168" t="s">
        <v>1744</v>
      </c>
      <c r="F1168" t="s">
        <v>553</v>
      </c>
      <c r="G1168" s="4" t="s">
        <v>5427</v>
      </c>
      <c r="H1168" t="s">
        <v>1745</v>
      </c>
      <c r="I1168" t="s">
        <v>59</v>
      </c>
      <c r="J1168" s="4" t="s">
        <v>60</v>
      </c>
      <c r="K1168" t="s">
        <v>1747</v>
      </c>
      <c r="L1168">
        <v>3</v>
      </c>
      <c r="M1168" t="s">
        <v>750</v>
      </c>
      <c r="N1168" t="s">
        <v>412</v>
      </c>
      <c r="O1168" t="s">
        <v>750</v>
      </c>
      <c r="P1168" s="2" t="str">
        <f t="shared" si="54"/>
        <v>29/07/2025 to 01/08/2025</v>
      </c>
      <c r="Q1168" s="3">
        <v>45863</v>
      </c>
      <c r="R1168" t="str">
        <f t="shared" si="55"/>
        <v>Late</v>
      </c>
      <c r="S1168" t="s">
        <v>1081</v>
      </c>
      <c r="T1168">
        <v>32</v>
      </c>
      <c r="U1168" t="s">
        <v>79</v>
      </c>
      <c r="V1168" t="s">
        <v>80</v>
      </c>
      <c r="W1168" t="str">
        <f t="shared" ca="1" si="56"/>
        <v>Dormant</v>
      </c>
    </row>
    <row r="1169" spans="1:23" x14ac:dyDescent="0.2">
      <c r="A1169">
        <v>473</v>
      </c>
      <c r="B1169" t="s">
        <v>1742</v>
      </c>
      <c r="C1169" t="s">
        <v>1748</v>
      </c>
      <c r="D1169" s="1" t="s">
        <v>750</v>
      </c>
      <c r="E1169" t="s">
        <v>1744</v>
      </c>
      <c r="F1169" t="s">
        <v>553</v>
      </c>
      <c r="G1169" s="4" t="s">
        <v>5420</v>
      </c>
      <c r="H1169" t="s">
        <v>1745</v>
      </c>
      <c r="I1169" t="s">
        <v>59</v>
      </c>
      <c r="J1169" s="4" t="s">
        <v>5417</v>
      </c>
      <c r="K1169" t="s">
        <v>1749</v>
      </c>
      <c r="L1169">
        <v>4</v>
      </c>
      <c r="M1169" t="s">
        <v>412</v>
      </c>
      <c r="N1169" t="s">
        <v>408</v>
      </c>
      <c r="O1169" t="s">
        <v>416</v>
      </c>
      <c r="P1169" s="2" t="str">
        <f t="shared" si="54"/>
        <v>29/07/2025 to 01/08/2025</v>
      </c>
      <c r="Q1169" s="3">
        <v>45865</v>
      </c>
      <c r="R1169" t="str">
        <f t="shared" si="55"/>
        <v>Late</v>
      </c>
      <c r="S1169" t="s">
        <v>756</v>
      </c>
      <c r="T1169">
        <v>38.5</v>
      </c>
      <c r="U1169" t="s">
        <v>65</v>
      </c>
      <c r="V1169" t="s">
        <v>80</v>
      </c>
      <c r="W1169" t="str">
        <f t="shared" ca="1" si="56"/>
        <v>Dormant</v>
      </c>
    </row>
    <row r="1170" spans="1:23" x14ac:dyDescent="0.2">
      <c r="A1170">
        <v>474</v>
      </c>
      <c r="B1170" t="s">
        <v>1742</v>
      </c>
      <c r="C1170" t="s">
        <v>1750</v>
      </c>
      <c r="D1170" s="1" t="s">
        <v>750</v>
      </c>
      <c r="E1170" t="s">
        <v>1744</v>
      </c>
      <c r="F1170" t="s">
        <v>553</v>
      </c>
      <c r="G1170" s="4" t="s">
        <v>5420</v>
      </c>
      <c r="H1170" t="s">
        <v>1745</v>
      </c>
      <c r="I1170" t="s">
        <v>59</v>
      </c>
      <c r="J1170" s="4" t="s">
        <v>5417</v>
      </c>
      <c r="K1170" t="s">
        <v>292</v>
      </c>
      <c r="L1170">
        <v>2</v>
      </c>
      <c r="M1170" t="s">
        <v>750</v>
      </c>
      <c r="N1170" t="s">
        <v>412</v>
      </c>
      <c r="O1170" t="s">
        <v>416</v>
      </c>
      <c r="P1170" s="2" t="str">
        <f t="shared" si="54"/>
        <v>29/07/2025 to 01/08/2025</v>
      </c>
      <c r="Q1170" s="3">
        <v>45871</v>
      </c>
      <c r="R1170" t="str">
        <f t="shared" si="55"/>
        <v>Late</v>
      </c>
      <c r="S1170" t="s">
        <v>767</v>
      </c>
      <c r="T1170">
        <v>18.5</v>
      </c>
      <c r="U1170" t="s">
        <v>79</v>
      </c>
      <c r="V1170" t="s">
        <v>80</v>
      </c>
      <c r="W1170" t="str">
        <f t="shared" ca="1" si="56"/>
        <v>Dormant</v>
      </c>
    </row>
    <row r="1171" spans="1:23" x14ac:dyDescent="0.2">
      <c r="A1171">
        <v>475</v>
      </c>
      <c r="B1171" t="s">
        <v>1742</v>
      </c>
      <c r="C1171" t="s">
        <v>1751</v>
      </c>
      <c r="D1171" s="1" t="s">
        <v>750</v>
      </c>
      <c r="E1171" t="s">
        <v>1744</v>
      </c>
      <c r="F1171" t="s">
        <v>553</v>
      </c>
      <c r="G1171" s="4" t="s">
        <v>5423</v>
      </c>
      <c r="H1171" t="s">
        <v>1745</v>
      </c>
      <c r="I1171" t="s">
        <v>59</v>
      </c>
      <c r="J1171" s="4" t="s">
        <v>60</v>
      </c>
      <c r="K1171" t="s">
        <v>1752</v>
      </c>
      <c r="L1171">
        <v>4</v>
      </c>
      <c r="M1171" t="s">
        <v>412</v>
      </c>
      <c r="N1171" t="s">
        <v>412</v>
      </c>
      <c r="O1171" t="s">
        <v>412</v>
      </c>
      <c r="P1171" s="2" t="str">
        <f t="shared" si="54"/>
        <v>29/07/2025 to 01/08/2025</v>
      </c>
      <c r="Q1171" s="3">
        <v>45866</v>
      </c>
      <c r="R1171" t="str">
        <f t="shared" si="55"/>
        <v>Late</v>
      </c>
      <c r="S1171" t="s">
        <v>488</v>
      </c>
      <c r="T1171">
        <v>41.5</v>
      </c>
      <c r="U1171" t="s">
        <v>79</v>
      </c>
      <c r="V1171" t="s">
        <v>72</v>
      </c>
      <c r="W1171" t="str">
        <f t="shared" ca="1" si="56"/>
        <v>Dormant</v>
      </c>
    </row>
    <row r="1172" spans="1:23" x14ac:dyDescent="0.2">
      <c r="A1172">
        <v>143</v>
      </c>
      <c r="B1172" t="s">
        <v>732</v>
      </c>
      <c r="C1172" t="s">
        <v>733</v>
      </c>
      <c r="D1172" s="1" t="s">
        <v>412</v>
      </c>
      <c r="E1172" t="s">
        <v>734</v>
      </c>
      <c r="F1172" t="s">
        <v>121</v>
      </c>
      <c r="G1172" s="4" t="s">
        <v>5421</v>
      </c>
      <c r="H1172" t="s">
        <v>735</v>
      </c>
      <c r="I1172" t="s">
        <v>93</v>
      </c>
      <c r="J1172" s="4" t="s">
        <v>5417</v>
      </c>
      <c r="K1172" t="s">
        <v>736</v>
      </c>
      <c r="L1172">
        <v>3</v>
      </c>
      <c r="M1172" t="s">
        <v>412</v>
      </c>
      <c r="N1172" t="s">
        <v>412</v>
      </c>
      <c r="O1172" t="s">
        <v>416</v>
      </c>
      <c r="P1172" s="2" t="str">
        <f t="shared" si="54"/>
        <v>29/07/2025 to 01/08/2025</v>
      </c>
      <c r="Q1172" s="3">
        <v>45870</v>
      </c>
      <c r="R1172" t="str">
        <f t="shared" si="55"/>
        <v>On-Time</v>
      </c>
      <c r="S1172" t="s">
        <v>495</v>
      </c>
      <c r="T1172">
        <v>26.5</v>
      </c>
      <c r="U1172" t="s">
        <v>65</v>
      </c>
      <c r="V1172" t="s">
        <v>80</v>
      </c>
      <c r="W1172" t="str">
        <f t="shared" ca="1" si="56"/>
        <v>Dormant</v>
      </c>
    </row>
    <row r="1173" spans="1:23" x14ac:dyDescent="0.2">
      <c r="A1173">
        <v>146</v>
      </c>
      <c r="B1173" t="s">
        <v>751</v>
      </c>
      <c r="C1173" t="s">
        <v>752</v>
      </c>
      <c r="D1173" s="1" t="s">
        <v>412</v>
      </c>
      <c r="E1173" t="s">
        <v>753</v>
      </c>
      <c r="F1173" t="s">
        <v>511</v>
      </c>
      <c r="G1173" s="4" t="s">
        <v>5428</v>
      </c>
      <c r="H1173" t="s">
        <v>754</v>
      </c>
      <c r="I1173" t="s">
        <v>201</v>
      </c>
      <c r="J1173" s="4" t="s">
        <v>5417</v>
      </c>
      <c r="K1173" t="s">
        <v>755</v>
      </c>
      <c r="L1173">
        <v>2</v>
      </c>
      <c r="M1173" t="s">
        <v>416</v>
      </c>
      <c r="N1173" t="s">
        <v>408</v>
      </c>
      <c r="O1173" t="s">
        <v>408</v>
      </c>
      <c r="P1173" s="2" t="str">
        <f t="shared" si="54"/>
        <v>29/07/2025 to 01/08/2025</v>
      </c>
      <c r="Q1173" s="3">
        <v>45866</v>
      </c>
      <c r="R1173" t="str">
        <f t="shared" si="55"/>
        <v>Late</v>
      </c>
      <c r="S1173" t="s">
        <v>756</v>
      </c>
      <c r="T1173">
        <v>23.5</v>
      </c>
      <c r="U1173" t="s">
        <v>65</v>
      </c>
      <c r="V1173" t="s">
        <v>80</v>
      </c>
      <c r="W1173" t="str">
        <f t="shared" ca="1" si="56"/>
        <v>Dormant</v>
      </c>
    </row>
    <row r="1174" spans="1:23" x14ac:dyDescent="0.2">
      <c r="A1174">
        <v>147</v>
      </c>
      <c r="B1174" t="s">
        <v>751</v>
      </c>
      <c r="C1174" t="s">
        <v>757</v>
      </c>
      <c r="D1174" s="1" t="s">
        <v>412</v>
      </c>
      <c r="E1174" t="s">
        <v>753</v>
      </c>
      <c r="F1174" t="s">
        <v>511</v>
      </c>
      <c r="G1174" s="4" t="s">
        <v>5421</v>
      </c>
      <c r="H1174" t="s">
        <v>754</v>
      </c>
      <c r="I1174" t="s">
        <v>201</v>
      </c>
      <c r="J1174" s="4" t="s">
        <v>68</v>
      </c>
      <c r="K1174" t="s">
        <v>758</v>
      </c>
      <c r="L1174">
        <v>3</v>
      </c>
      <c r="M1174" t="s">
        <v>412</v>
      </c>
      <c r="N1174" t="s">
        <v>416</v>
      </c>
      <c r="O1174" t="s">
        <v>416</v>
      </c>
      <c r="P1174" s="2" t="str">
        <f t="shared" si="54"/>
        <v>29/07/2025 to 01/08/2025</v>
      </c>
      <c r="Q1174" s="3">
        <v>45869</v>
      </c>
      <c r="R1174" t="str">
        <f t="shared" si="55"/>
        <v>On-Time</v>
      </c>
      <c r="S1174" t="s">
        <v>495</v>
      </c>
      <c r="T1174">
        <v>30.5</v>
      </c>
      <c r="U1174" t="s">
        <v>79</v>
      </c>
      <c r="V1174" t="s">
        <v>72</v>
      </c>
      <c r="W1174" t="str">
        <f t="shared" ca="1" si="56"/>
        <v>Dormant</v>
      </c>
    </row>
    <row r="1175" spans="1:23" x14ac:dyDescent="0.2">
      <c r="A1175">
        <v>148</v>
      </c>
      <c r="B1175" t="s">
        <v>751</v>
      </c>
      <c r="C1175" t="s">
        <v>759</v>
      </c>
      <c r="D1175" s="1" t="s">
        <v>412</v>
      </c>
      <c r="E1175" t="s">
        <v>753</v>
      </c>
      <c r="F1175" t="s">
        <v>511</v>
      </c>
      <c r="G1175" s="4" t="s">
        <v>5425</v>
      </c>
      <c r="H1175" t="s">
        <v>754</v>
      </c>
      <c r="I1175" t="s">
        <v>201</v>
      </c>
      <c r="J1175" s="4" t="s">
        <v>74</v>
      </c>
      <c r="K1175" t="s">
        <v>760</v>
      </c>
      <c r="L1175">
        <v>4</v>
      </c>
      <c r="M1175" t="s">
        <v>416</v>
      </c>
      <c r="N1175" t="s">
        <v>408</v>
      </c>
      <c r="O1175" t="s">
        <v>761</v>
      </c>
      <c r="P1175" s="2" t="str">
        <f t="shared" si="54"/>
        <v>29/07/2025 to 01/08/2025</v>
      </c>
      <c r="Q1175" s="3">
        <v>45873</v>
      </c>
      <c r="R1175" t="str">
        <f t="shared" si="55"/>
        <v>Late</v>
      </c>
      <c r="S1175" t="s">
        <v>763</v>
      </c>
      <c r="T1175">
        <v>40</v>
      </c>
      <c r="U1175" t="s">
        <v>65</v>
      </c>
      <c r="V1175" t="s">
        <v>66</v>
      </c>
      <c r="W1175" t="str">
        <f t="shared" ca="1" si="56"/>
        <v>Dormant</v>
      </c>
    </row>
    <row r="1176" spans="1:23" x14ac:dyDescent="0.2">
      <c r="A1176">
        <v>149</v>
      </c>
      <c r="B1176" t="s">
        <v>751</v>
      </c>
      <c r="C1176" t="s">
        <v>764</v>
      </c>
      <c r="D1176" s="1" t="s">
        <v>412</v>
      </c>
      <c r="E1176" t="s">
        <v>753</v>
      </c>
      <c r="F1176" t="s">
        <v>511</v>
      </c>
      <c r="G1176" s="4" t="s">
        <v>5419</v>
      </c>
      <c r="H1176" t="s">
        <v>754</v>
      </c>
      <c r="I1176" t="s">
        <v>201</v>
      </c>
      <c r="J1176" s="4" t="s">
        <v>5417</v>
      </c>
      <c r="K1176" t="s">
        <v>663</v>
      </c>
      <c r="L1176">
        <v>2</v>
      </c>
      <c r="M1176" t="s">
        <v>412</v>
      </c>
      <c r="N1176" t="s">
        <v>416</v>
      </c>
      <c r="O1176" t="s">
        <v>412</v>
      </c>
      <c r="P1176" s="2" t="str">
        <f t="shared" si="54"/>
        <v>29/07/2025 to 01/08/2025</v>
      </c>
      <c r="Q1176" s="3">
        <v>45868</v>
      </c>
      <c r="R1176" t="str">
        <f t="shared" si="55"/>
        <v>On-Time</v>
      </c>
      <c r="S1176" t="s">
        <v>495</v>
      </c>
      <c r="T1176">
        <v>18.5</v>
      </c>
      <c r="U1176" t="s">
        <v>65</v>
      </c>
      <c r="V1176" t="s">
        <v>72</v>
      </c>
      <c r="W1176" t="str">
        <f t="shared" ca="1" si="56"/>
        <v>Dormant</v>
      </c>
    </row>
    <row r="1177" spans="1:23" x14ac:dyDescent="0.2">
      <c r="A1177">
        <v>766</v>
      </c>
      <c r="B1177" t="s">
        <v>2496</v>
      </c>
      <c r="C1177" t="s">
        <v>2497</v>
      </c>
      <c r="D1177" s="1" t="s">
        <v>412</v>
      </c>
      <c r="E1177" t="s">
        <v>2498</v>
      </c>
      <c r="F1177" t="s">
        <v>1658</v>
      </c>
      <c r="G1177" s="4" t="s">
        <v>5418</v>
      </c>
      <c r="H1177" t="s">
        <v>930</v>
      </c>
      <c r="I1177" t="s">
        <v>136</v>
      </c>
      <c r="J1177" s="4" t="s">
        <v>74</v>
      </c>
      <c r="K1177" t="s">
        <v>24</v>
      </c>
      <c r="L1177">
        <v>1</v>
      </c>
      <c r="M1177" t="s">
        <v>416</v>
      </c>
      <c r="N1177" t="s">
        <v>408</v>
      </c>
      <c r="O1177" t="s">
        <v>761</v>
      </c>
      <c r="P1177" s="2" t="str">
        <f t="shared" si="54"/>
        <v>29/07/2025 to 01/08/2025</v>
      </c>
      <c r="Q1177" s="3">
        <v>45871</v>
      </c>
      <c r="R1177" t="str">
        <f t="shared" si="55"/>
        <v>Late</v>
      </c>
      <c r="S1177" t="s">
        <v>506</v>
      </c>
      <c r="T1177">
        <v>8</v>
      </c>
      <c r="U1177" t="s">
        <v>65</v>
      </c>
      <c r="V1177" t="s">
        <v>80</v>
      </c>
      <c r="W1177" t="str">
        <f t="shared" ca="1" si="56"/>
        <v>Dormant</v>
      </c>
    </row>
    <row r="1178" spans="1:23" x14ac:dyDescent="0.2">
      <c r="A1178">
        <v>767</v>
      </c>
      <c r="B1178" t="s">
        <v>2496</v>
      </c>
      <c r="C1178" t="s">
        <v>2499</v>
      </c>
      <c r="D1178" s="1" t="s">
        <v>412</v>
      </c>
      <c r="E1178" t="s">
        <v>2498</v>
      </c>
      <c r="F1178" t="s">
        <v>1658</v>
      </c>
      <c r="G1178" s="4" t="s">
        <v>5420</v>
      </c>
      <c r="H1178" t="s">
        <v>930</v>
      </c>
      <c r="I1178" t="s">
        <v>136</v>
      </c>
      <c r="J1178" s="4" t="s">
        <v>68</v>
      </c>
      <c r="K1178" t="s">
        <v>2500</v>
      </c>
      <c r="L1178">
        <v>4</v>
      </c>
      <c r="M1178" t="s">
        <v>408</v>
      </c>
      <c r="N1178" t="s">
        <v>761</v>
      </c>
      <c r="O1178" t="s">
        <v>408</v>
      </c>
      <c r="P1178" s="2" t="str">
        <f t="shared" si="54"/>
        <v>30/07/2025 to 04/08/2025</v>
      </c>
      <c r="Q1178" s="3">
        <v>45866</v>
      </c>
      <c r="R1178" t="str">
        <f t="shared" si="55"/>
        <v>Late</v>
      </c>
      <c r="S1178" t="s">
        <v>493</v>
      </c>
      <c r="T1178">
        <v>35.5</v>
      </c>
      <c r="U1178" t="s">
        <v>79</v>
      </c>
      <c r="V1178" t="s">
        <v>66</v>
      </c>
      <c r="W1178" t="str">
        <f t="shared" ca="1" si="56"/>
        <v>Dormant</v>
      </c>
    </row>
    <row r="1179" spans="1:23" x14ac:dyDescent="0.2">
      <c r="A1179">
        <v>768</v>
      </c>
      <c r="B1179" t="s">
        <v>2496</v>
      </c>
      <c r="C1179" t="s">
        <v>2501</v>
      </c>
      <c r="D1179" s="1" t="s">
        <v>412</v>
      </c>
      <c r="E1179" t="s">
        <v>2498</v>
      </c>
      <c r="F1179" t="s">
        <v>1658</v>
      </c>
      <c r="G1179" s="4" t="s">
        <v>38</v>
      </c>
      <c r="H1179" t="s">
        <v>930</v>
      </c>
      <c r="I1179" t="s">
        <v>136</v>
      </c>
      <c r="J1179" s="4" t="s">
        <v>5417</v>
      </c>
      <c r="K1179" t="s">
        <v>2502</v>
      </c>
      <c r="L1179">
        <v>3</v>
      </c>
      <c r="M1179" t="s">
        <v>416</v>
      </c>
      <c r="N1179" t="s">
        <v>761</v>
      </c>
      <c r="O1179" t="s">
        <v>761</v>
      </c>
      <c r="P1179" s="2" t="str">
        <f t="shared" si="54"/>
        <v>29/07/2025 to 01/08/2025</v>
      </c>
      <c r="Q1179" s="3">
        <v>45867</v>
      </c>
      <c r="R1179" t="str">
        <f t="shared" si="55"/>
        <v>On-Time</v>
      </c>
      <c r="S1179" t="s">
        <v>488</v>
      </c>
      <c r="T1179">
        <v>37</v>
      </c>
      <c r="U1179" t="s">
        <v>79</v>
      </c>
      <c r="V1179" t="s">
        <v>66</v>
      </c>
      <c r="W1179" t="str">
        <f t="shared" ca="1" si="56"/>
        <v>Dormant</v>
      </c>
    </row>
    <row r="1180" spans="1:23" x14ac:dyDescent="0.2">
      <c r="A1180">
        <v>769</v>
      </c>
      <c r="B1180" t="s">
        <v>2496</v>
      </c>
      <c r="C1180" t="s">
        <v>2503</v>
      </c>
      <c r="D1180" s="1" t="s">
        <v>412</v>
      </c>
      <c r="E1180" t="s">
        <v>2498</v>
      </c>
      <c r="F1180" t="s">
        <v>1658</v>
      </c>
      <c r="G1180" s="4" t="s">
        <v>5419</v>
      </c>
      <c r="H1180" t="s">
        <v>930</v>
      </c>
      <c r="I1180" t="s">
        <v>136</v>
      </c>
      <c r="J1180" s="4" t="s">
        <v>74</v>
      </c>
      <c r="K1180" t="s">
        <v>22</v>
      </c>
      <c r="L1180">
        <v>1</v>
      </c>
      <c r="M1180" t="s">
        <v>412</v>
      </c>
      <c r="N1180" t="s">
        <v>416</v>
      </c>
      <c r="O1180" t="s">
        <v>412</v>
      </c>
      <c r="P1180" s="2" t="str">
        <f t="shared" si="54"/>
        <v>29/07/2025 to 01/08/2025</v>
      </c>
      <c r="Q1180" s="3">
        <v>45868</v>
      </c>
      <c r="R1180" t="str">
        <f t="shared" si="55"/>
        <v>On-Time</v>
      </c>
      <c r="S1180" t="s">
        <v>494</v>
      </c>
      <c r="T1180">
        <v>8</v>
      </c>
      <c r="U1180" t="s">
        <v>79</v>
      </c>
      <c r="V1180" t="s">
        <v>66</v>
      </c>
      <c r="W1180" t="str">
        <f t="shared" ca="1" si="56"/>
        <v>Dormant</v>
      </c>
    </row>
    <row r="1181" spans="1:23" x14ac:dyDescent="0.2">
      <c r="A1181">
        <v>1035</v>
      </c>
      <c r="B1181" t="s">
        <v>3148</v>
      </c>
      <c r="C1181" t="s">
        <v>3149</v>
      </c>
      <c r="D1181" s="1" t="s">
        <v>412</v>
      </c>
      <c r="E1181" t="s">
        <v>3150</v>
      </c>
      <c r="F1181" t="s">
        <v>803</v>
      </c>
      <c r="G1181" s="4" t="s">
        <v>5426</v>
      </c>
      <c r="H1181" t="s">
        <v>3151</v>
      </c>
      <c r="I1181" t="s">
        <v>59</v>
      </c>
      <c r="J1181" s="4" t="s">
        <v>60</v>
      </c>
      <c r="K1181" t="s">
        <v>3152</v>
      </c>
      <c r="L1181">
        <v>4</v>
      </c>
      <c r="M1181" t="s">
        <v>416</v>
      </c>
      <c r="N1181" t="s">
        <v>761</v>
      </c>
      <c r="O1181" t="s">
        <v>408</v>
      </c>
      <c r="P1181" s="2" t="str">
        <f t="shared" si="54"/>
        <v>29/07/2025 to 01/08/2025</v>
      </c>
      <c r="Q1181" s="3">
        <v>45872</v>
      </c>
      <c r="R1181" t="str">
        <f t="shared" si="55"/>
        <v>Late</v>
      </c>
      <c r="S1181" t="s">
        <v>763</v>
      </c>
      <c r="T1181">
        <v>39</v>
      </c>
      <c r="U1181" t="s">
        <v>79</v>
      </c>
      <c r="V1181" t="s">
        <v>72</v>
      </c>
      <c r="W1181" t="str">
        <f t="shared" ca="1" si="56"/>
        <v>Dormant</v>
      </c>
    </row>
    <row r="1182" spans="1:23" x14ac:dyDescent="0.2">
      <c r="A1182">
        <v>1036</v>
      </c>
      <c r="B1182" t="s">
        <v>3148</v>
      </c>
      <c r="C1182" t="s">
        <v>3153</v>
      </c>
      <c r="D1182" s="1" t="s">
        <v>412</v>
      </c>
      <c r="E1182" t="s">
        <v>3150</v>
      </c>
      <c r="F1182" t="s">
        <v>803</v>
      </c>
      <c r="G1182" s="4" t="s">
        <v>5426</v>
      </c>
      <c r="H1182" t="s">
        <v>3151</v>
      </c>
      <c r="I1182" t="s">
        <v>59</v>
      </c>
      <c r="J1182" s="4" t="s">
        <v>60</v>
      </c>
      <c r="K1182" t="s">
        <v>3154</v>
      </c>
      <c r="L1182">
        <v>4</v>
      </c>
      <c r="M1182" t="s">
        <v>408</v>
      </c>
      <c r="N1182" t="s">
        <v>761</v>
      </c>
      <c r="O1182" t="s">
        <v>408</v>
      </c>
      <c r="P1182" s="2" t="str">
        <f t="shared" si="54"/>
        <v>30/07/2025 to 04/08/2025</v>
      </c>
      <c r="Q1182" s="3">
        <v>45866</v>
      </c>
      <c r="R1182" t="str">
        <f t="shared" si="55"/>
        <v>Late</v>
      </c>
      <c r="S1182" t="s">
        <v>488</v>
      </c>
      <c r="T1182">
        <v>39</v>
      </c>
      <c r="U1182" t="s">
        <v>79</v>
      </c>
      <c r="V1182" t="s">
        <v>72</v>
      </c>
      <c r="W1182" t="str">
        <f t="shared" ca="1" si="56"/>
        <v>Dormant</v>
      </c>
    </row>
    <row r="1183" spans="1:23" x14ac:dyDescent="0.2">
      <c r="A1183">
        <v>1037</v>
      </c>
      <c r="B1183" t="s">
        <v>3148</v>
      </c>
      <c r="C1183" t="s">
        <v>3155</v>
      </c>
      <c r="D1183" s="1" t="s">
        <v>412</v>
      </c>
      <c r="E1183" t="s">
        <v>3150</v>
      </c>
      <c r="F1183" t="s">
        <v>803</v>
      </c>
      <c r="G1183" s="4" t="s">
        <v>5423</v>
      </c>
      <c r="H1183" t="s">
        <v>3151</v>
      </c>
      <c r="I1183" t="s">
        <v>59</v>
      </c>
      <c r="J1183" s="4" t="s">
        <v>5417</v>
      </c>
      <c r="K1183" t="s">
        <v>8</v>
      </c>
      <c r="L1183">
        <v>1</v>
      </c>
      <c r="M1183" t="s">
        <v>408</v>
      </c>
      <c r="N1183" t="s">
        <v>409</v>
      </c>
      <c r="O1183" t="s">
        <v>409</v>
      </c>
      <c r="P1183" s="2" t="str">
        <f t="shared" si="54"/>
        <v>30/07/2025 to 04/08/2025</v>
      </c>
      <c r="Q1183" s="3">
        <v>45868</v>
      </c>
      <c r="R1183" t="str">
        <f t="shared" si="55"/>
        <v>On-Time</v>
      </c>
      <c r="S1183" t="s">
        <v>495</v>
      </c>
      <c r="T1183">
        <v>9</v>
      </c>
      <c r="U1183" t="s">
        <v>65</v>
      </c>
      <c r="V1183" t="s">
        <v>80</v>
      </c>
      <c r="W1183" t="str">
        <f t="shared" ca="1" si="56"/>
        <v>Dormant</v>
      </c>
    </row>
    <row r="1184" spans="1:23" x14ac:dyDescent="0.2">
      <c r="A1184">
        <v>1038</v>
      </c>
      <c r="B1184" t="s">
        <v>3148</v>
      </c>
      <c r="C1184" t="s">
        <v>3156</v>
      </c>
      <c r="D1184" s="1" t="s">
        <v>412</v>
      </c>
      <c r="E1184" t="s">
        <v>3150</v>
      </c>
      <c r="F1184" t="s">
        <v>803</v>
      </c>
      <c r="G1184" s="4" t="s">
        <v>5422</v>
      </c>
      <c r="H1184" t="s">
        <v>3151</v>
      </c>
      <c r="I1184" t="s">
        <v>59</v>
      </c>
      <c r="J1184" s="4" t="s">
        <v>68</v>
      </c>
      <c r="K1184" t="s">
        <v>3157</v>
      </c>
      <c r="L1184">
        <v>3</v>
      </c>
      <c r="M1184" t="s">
        <v>416</v>
      </c>
      <c r="N1184" t="s">
        <v>408</v>
      </c>
      <c r="O1184" t="s">
        <v>761</v>
      </c>
      <c r="P1184" s="2" t="str">
        <f t="shared" si="54"/>
        <v>29/07/2025 to 01/08/2025</v>
      </c>
      <c r="Q1184" s="3">
        <v>45867</v>
      </c>
      <c r="R1184" t="str">
        <f t="shared" si="55"/>
        <v>On-Time</v>
      </c>
      <c r="S1184" t="s">
        <v>494</v>
      </c>
      <c r="T1184">
        <v>33</v>
      </c>
      <c r="U1184" t="s">
        <v>65</v>
      </c>
      <c r="V1184" t="s">
        <v>72</v>
      </c>
      <c r="W1184" t="str">
        <f t="shared" ca="1" si="56"/>
        <v>Dormant</v>
      </c>
    </row>
    <row r="1185" spans="1:23" x14ac:dyDescent="0.2">
      <c r="A1185">
        <v>1039</v>
      </c>
      <c r="B1185" t="s">
        <v>3148</v>
      </c>
      <c r="C1185" t="s">
        <v>3158</v>
      </c>
      <c r="D1185" s="1" t="s">
        <v>412</v>
      </c>
      <c r="E1185" t="s">
        <v>3150</v>
      </c>
      <c r="F1185" t="s">
        <v>803</v>
      </c>
      <c r="G1185" s="4" t="s">
        <v>5420</v>
      </c>
      <c r="H1185" t="s">
        <v>3151</v>
      </c>
      <c r="I1185" t="s">
        <v>59</v>
      </c>
      <c r="J1185" s="4" t="s">
        <v>5417</v>
      </c>
      <c r="K1185" t="s">
        <v>3159</v>
      </c>
      <c r="L1185">
        <v>3</v>
      </c>
      <c r="M1185" t="s">
        <v>416</v>
      </c>
      <c r="N1185" t="s">
        <v>408</v>
      </c>
      <c r="O1185" t="s">
        <v>761</v>
      </c>
      <c r="P1185" s="2" t="str">
        <f t="shared" si="54"/>
        <v>29/07/2025 to 01/08/2025</v>
      </c>
      <c r="Q1185" s="3">
        <v>45869</v>
      </c>
      <c r="R1185" t="str">
        <f t="shared" si="55"/>
        <v>On-Time</v>
      </c>
      <c r="S1185" t="s">
        <v>494</v>
      </c>
      <c r="T1185">
        <v>26.5</v>
      </c>
      <c r="U1185" t="s">
        <v>65</v>
      </c>
      <c r="V1185" t="s">
        <v>80</v>
      </c>
      <c r="W1185" t="str">
        <f t="shared" ca="1" si="56"/>
        <v>Dormant</v>
      </c>
    </row>
    <row r="1186" spans="1:23" x14ac:dyDescent="0.2">
      <c r="A1186">
        <v>1283</v>
      </c>
      <c r="B1186" t="s">
        <v>3738</v>
      </c>
      <c r="C1186" t="s">
        <v>3739</v>
      </c>
      <c r="D1186" s="1" t="s">
        <v>412</v>
      </c>
      <c r="E1186" t="s">
        <v>3740</v>
      </c>
      <c r="F1186" t="s">
        <v>286</v>
      </c>
      <c r="G1186" s="4" t="s">
        <v>5427</v>
      </c>
      <c r="H1186" t="s">
        <v>778</v>
      </c>
      <c r="I1186" t="s">
        <v>93</v>
      </c>
      <c r="J1186" s="4" t="s">
        <v>5417</v>
      </c>
      <c r="K1186" t="s">
        <v>3741</v>
      </c>
      <c r="L1186">
        <v>3</v>
      </c>
      <c r="M1186" t="s">
        <v>408</v>
      </c>
      <c r="N1186" t="s">
        <v>408</v>
      </c>
      <c r="O1186" t="s">
        <v>409</v>
      </c>
      <c r="P1186" s="2" t="str">
        <f t="shared" si="54"/>
        <v>30/07/2025 to 04/08/2025</v>
      </c>
      <c r="Q1186" s="3">
        <v>45868</v>
      </c>
      <c r="R1186" t="str">
        <f t="shared" si="55"/>
        <v>On-Time</v>
      </c>
      <c r="S1186" t="s">
        <v>493</v>
      </c>
      <c r="T1186">
        <v>30</v>
      </c>
      <c r="U1186" t="s">
        <v>79</v>
      </c>
      <c r="V1186" t="s">
        <v>80</v>
      </c>
      <c r="W1186" t="str">
        <f t="shared" ca="1" si="56"/>
        <v>Dormant</v>
      </c>
    </row>
    <row r="1187" spans="1:23" x14ac:dyDescent="0.2">
      <c r="A1187">
        <v>1284</v>
      </c>
      <c r="B1187" t="s">
        <v>3738</v>
      </c>
      <c r="C1187" t="s">
        <v>3742</v>
      </c>
      <c r="D1187" s="1" t="s">
        <v>412</v>
      </c>
      <c r="E1187" t="s">
        <v>3740</v>
      </c>
      <c r="F1187" t="s">
        <v>286</v>
      </c>
      <c r="G1187" s="4" t="s">
        <v>5419</v>
      </c>
      <c r="H1187" t="s">
        <v>778</v>
      </c>
      <c r="I1187" t="s">
        <v>93</v>
      </c>
      <c r="J1187" s="4" t="s">
        <v>5417</v>
      </c>
      <c r="K1187" t="s">
        <v>3743</v>
      </c>
      <c r="L1187">
        <v>4</v>
      </c>
      <c r="M1187" t="s">
        <v>412</v>
      </c>
      <c r="N1187" t="s">
        <v>416</v>
      </c>
      <c r="O1187" t="s">
        <v>408</v>
      </c>
      <c r="P1187" s="2" t="str">
        <f t="shared" si="54"/>
        <v>29/07/2025 to 01/08/2025</v>
      </c>
      <c r="Q1187" s="3">
        <v>45869</v>
      </c>
      <c r="R1187" t="str">
        <f t="shared" si="55"/>
        <v>On-Time</v>
      </c>
      <c r="S1187" t="s">
        <v>494</v>
      </c>
      <c r="T1187">
        <v>37.5</v>
      </c>
      <c r="U1187" t="s">
        <v>65</v>
      </c>
      <c r="V1187" t="s">
        <v>72</v>
      </c>
      <c r="W1187" t="str">
        <f t="shared" ca="1" si="56"/>
        <v>Dormant</v>
      </c>
    </row>
    <row r="1188" spans="1:23" x14ac:dyDescent="0.2">
      <c r="A1188">
        <v>1285</v>
      </c>
      <c r="B1188" t="s">
        <v>3738</v>
      </c>
      <c r="C1188" t="s">
        <v>3744</v>
      </c>
      <c r="D1188" s="1" t="s">
        <v>412</v>
      </c>
      <c r="E1188" t="s">
        <v>3740</v>
      </c>
      <c r="F1188" t="s">
        <v>286</v>
      </c>
      <c r="G1188" s="4" t="s">
        <v>5427</v>
      </c>
      <c r="H1188" t="s">
        <v>778</v>
      </c>
      <c r="I1188" t="s">
        <v>93</v>
      </c>
      <c r="J1188" s="4" t="s">
        <v>74</v>
      </c>
      <c r="K1188" t="s">
        <v>8</v>
      </c>
      <c r="L1188">
        <v>1</v>
      </c>
      <c r="M1188" t="s">
        <v>416</v>
      </c>
      <c r="N1188" t="s">
        <v>761</v>
      </c>
      <c r="O1188" t="s">
        <v>408</v>
      </c>
      <c r="P1188" s="2" t="str">
        <f t="shared" si="54"/>
        <v>29/07/2025 to 01/08/2025</v>
      </c>
      <c r="Q1188" s="3">
        <v>45868</v>
      </c>
      <c r="R1188" t="str">
        <f t="shared" si="55"/>
        <v>On-Time</v>
      </c>
      <c r="S1188" t="s">
        <v>493</v>
      </c>
      <c r="T1188">
        <v>9</v>
      </c>
      <c r="U1188" t="s">
        <v>79</v>
      </c>
      <c r="V1188" t="s">
        <v>66</v>
      </c>
      <c r="W1188" t="str">
        <f t="shared" ca="1" si="56"/>
        <v>Dormant</v>
      </c>
    </row>
    <row r="1189" spans="1:23" x14ac:dyDescent="0.2">
      <c r="A1189">
        <v>1286</v>
      </c>
      <c r="B1189" t="s">
        <v>3738</v>
      </c>
      <c r="C1189" t="s">
        <v>3745</v>
      </c>
      <c r="D1189" s="1" t="s">
        <v>412</v>
      </c>
      <c r="E1189" t="s">
        <v>3740</v>
      </c>
      <c r="F1189" t="s">
        <v>286</v>
      </c>
      <c r="G1189" s="4" t="s">
        <v>5426</v>
      </c>
      <c r="H1189" t="s">
        <v>778</v>
      </c>
      <c r="I1189" t="s">
        <v>93</v>
      </c>
      <c r="J1189" s="4" t="s">
        <v>74</v>
      </c>
      <c r="K1189" t="s">
        <v>3746</v>
      </c>
      <c r="L1189">
        <v>4</v>
      </c>
      <c r="M1189" t="s">
        <v>408</v>
      </c>
      <c r="N1189" t="s">
        <v>409</v>
      </c>
      <c r="O1189" t="s">
        <v>408</v>
      </c>
      <c r="P1189" s="2" t="str">
        <f t="shared" si="54"/>
        <v>30/07/2025 to 04/08/2025</v>
      </c>
      <c r="Q1189" s="3">
        <v>45871</v>
      </c>
      <c r="R1189" t="str">
        <f t="shared" si="55"/>
        <v>On-Time</v>
      </c>
      <c r="S1189" t="s">
        <v>506</v>
      </c>
      <c r="T1189">
        <v>42.5</v>
      </c>
      <c r="U1189" t="s">
        <v>79</v>
      </c>
      <c r="V1189" t="s">
        <v>72</v>
      </c>
      <c r="W1189" t="str">
        <f t="shared" ca="1" si="56"/>
        <v>Dormant</v>
      </c>
    </row>
    <row r="1190" spans="1:23" x14ac:dyDescent="0.2">
      <c r="A1190">
        <v>1287</v>
      </c>
      <c r="B1190" t="s">
        <v>3738</v>
      </c>
      <c r="C1190" t="s">
        <v>3747</v>
      </c>
      <c r="D1190" s="1" t="s">
        <v>412</v>
      </c>
      <c r="E1190" t="s">
        <v>3740</v>
      </c>
      <c r="F1190" t="s">
        <v>286</v>
      </c>
      <c r="G1190" s="4" t="s">
        <v>5422</v>
      </c>
      <c r="H1190" t="s">
        <v>778</v>
      </c>
      <c r="I1190" t="s">
        <v>93</v>
      </c>
      <c r="J1190" s="4" t="s">
        <v>74</v>
      </c>
      <c r="K1190" t="s">
        <v>6</v>
      </c>
      <c r="L1190">
        <v>1</v>
      </c>
      <c r="M1190" t="s">
        <v>416</v>
      </c>
      <c r="N1190" t="s">
        <v>416</v>
      </c>
      <c r="O1190" t="s">
        <v>408</v>
      </c>
      <c r="P1190" s="2" t="str">
        <f t="shared" si="54"/>
        <v>29/07/2025 to 01/08/2025</v>
      </c>
      <c r="Q1190" s="3">
        <v>45872</v>
      </c>
      <c r="R1190" t="str">
        <f t="shared" si="55"/>
        <v>Late</v>
      </c>
      <c r="S1190" t="s">
        <v>767</v>
      </c>
      <c r="T1190">
        <v>7.5</v>
      </c>
      <c r="U1190" t="s">
        <v>65</v>
      </c>
      <c r="V1190" t="s">
        <v>80</v>
      </c>
      <c r="W1190" t="str">
        <f t="shared" ca="1" si="56"/>
        <v>Dormant</v>
      </c>
    </row>
    <row r="1191" spans="1:23" x14ac:dyDescent="0.2">
      <c r="A1191">
        <v>1541</v>
      </c>
      <c r="B1191" t="s">
        <v>4370</v>
      </c>
      <c r="C1191" t="s">
        <v>4371</v>
      </c>
      <c r="D1191" s="1" t="s">
        <v>412</v>
      </c>
      <c r="E1191" t="s">
        <v>4372</v>
      </c>
      <c r="F1191" t="s">
        <v>110</v>
      </c>
      <c r="G1191" s="4" t="s">
        <v>5420</v>
      </c>
      <c r="H1191" t="s">
        <v>4373</v>
      </c>
      <c r="I1191" t="s">
        <v>59</v>
      </c>
      <c r="J1191" s="4" t="s">
        <v>74</v>
      </c>
      <c r="K1191" t="s">
        <v>711</v>
      </c>
      <c r="L1191">
        <v>2</v>
      </c>
      <c r="M1191" t="s">
        <v>416</v>
      </c>
      <c r="N1191" t="s">
        <v>416</v>
      </c>
      <c r="O1191" t="s">
        <v>416</v>
      </c>
      <c r="P1191" s="2" t="str">
        <f t="shared" si="54"/>
        <v>29/07/2025 to 01/08/2025</v>
      </c>
      <c r="Q1191" s="3">
        <v>45870</v>
      </c>
      <c r="R1191" t="str">
        <f t="shared" si="55"/>
        <v>On-Time</v>
      </c>
      <c r="S1191" t="s">
        <v>767</v>
      </c>
      <c r="T1191">
        <v>17</v>
      </c>
      <c r="U1191" t="s">
        <v>65</v>
      </c>
      <c r="V1191" t="s">
        <v>72</v>
      </c>
      <c r="W1191" t="str">
        <f t="shared" ca="1" si="56"/>
        <v>Dormant</v>
      </c>
    </row>
    <row r="1192" spans="1:23" x14ac:dyDescent="0.2">
      <c r="A1192">
        <v>1542</v>
      </c>
      <c r="B1192" t="s">
        <v>4370</v>
      </c>
      <c r="C1192" t="s">
        <v>4374</v>
      </c>
      <c r="D1192" s="1" t="s">
        <v>412</v>
      </c>
      <c r="E1192" t="s">
        <v>4372</v>
      </c>
      <c r="F1192" t="s">
        <v>110</v>
      </c>
      <c r="G1192" s="4" t="s">
        <v>38</v>
      </c>
      <c r="H1192" t="s">
        <v>4373</v>
      </c>
      <c r="I1192" t="s">
        <v>59</v>
      </c>
      <c r="J1192" s="4" t="s">
        <v>5417</v>
      </c>
      <c r="K1192" t="s">
        <v>14</v>
      </c>
      <c r="L1192">
        <v>1</v>
      </c>
      <c r="M1192" t="s">
        <v>412</v>
      </c>
      <c r="N1192" t="s">
        <v>412</v>
      </c>
      <c r="O1192" t="s">
        <v>416</v>
      </c>
      <c r="P1192" s="2" t="str">
        <f t="shared" si="54"/>
        <v>29/07/2025 to 01/08/2025</v>
      </c>
      <c r="Q1192" s="3">
        <v>45869</v>
      </c>
      <c r="R1192" t="str">
        <f t="shared" si="55"/>
        <v>On-Time</v>
      </c>
      <c r="S1192" t="s">
        <v>506</v>
      </c>
      <c r="T1192">
        <v>9.5</v>
      </c>
      <c r="U1192" t="s">
        <v>65</v>
      </c>
      <c r="V1192" t="s">
        <v>66</v>
      </c>
      <c r="W1192" t="str">
        <f t="shared" ca="1" si="56"/>
        <v>Dormant</v>
      </c>
    </row>
    <row r="1193" spans="1:23" x14ac:dyDescent="0.2">
      <c r="A1193">
        <v>1543</v>
      </c>
      <c r="B1193" t="s">
        <v>4370</v>
      </c>
      <c r="C1193" t="s">
        <v>4375</v>
      </c>
      <c r="D1193" s="1" t="s">
        <v>412</v>
      </c>
      <c r="E1193" t="s">
        <v>4372</v>
      </c>
      <c r="F1193" t="s">
        <v>110</v>
      </c>
      <c r="G1193" s="4" t="s">
        <v>5427</v>
      </c>
      <c r="H1193" t="s">
        <v>4373</v>
      </c>
      <c r="I1193" t="s">
        <v>59</v>
      </c>
      <c r="J1193" s="4" t="s">
        <v>68</v>
      </c>
      <c r="K1193" t="s">
        <v>4376</v>
      </c>
      <c r="L1193">
        <v>4</v>
      </c>
      <c r="M1193" t="s">
        <v>408</v>
      </c>
      <c r="N1193" t="s">
        <v>409</v>
      </c>
      <c r="O1193" t="s">
        <v>409</v>
      </c>
      <c r="P1193" s="2" t="str">
        <f t="shared" si="54"/>
        <v>30/07/2025 to 04/08/2025</v>
      </c>
      <c r="Q1193" s="3">
        <v>45873</v>
      </c>
      <c r="R1193" t="str">
        <f t="shared" si="55"/>
        <v>On-Time</v>
      </c>
      <c r="S1193" t="s">
        <v>762</v>
      </c>
      <c r="T1193">
        <v>34</v>
      </c>
      <c r="U1193" t="s">
        <v>79</v>
      </c>
      <c r="V1193" t="s">
        <v>80</v>
      </c>
      <c r="W1193" t="str">
        <f t="shared" ca="1" si="56"/>
        <v>Dormant</v>
      </c>
    </row>
    <row r="1194" spans="1:23" x14ac:dyDescent="0.2">
      <c r="A1194">
        <v>1544</v>
      </c>
      <c r="B1194" t="s">
        <v>4370</v>
      </c>
      <c r="C1194" t="s">
        <v>4377</v>
      </c>
      <c r="D1194" s="1" t="s">
        <v>412</v>
      </c>
      <c r="E1194" t="s">
        <v>4372</v>
      </c>
      <c r="F1194" t="s">
        <v>110</v>
      </c>
      <c r="G1194" s="4" t="s">
        <v>5421</v>
      </c>
      <c r="H1194" t="s">
        <v>4373</v>
      </c>
      <c r="I1194" t="s">
        <v>59</v>
      </c>
      <c r="J1194" s="4" t="s">
        <v>5417</v>
      </c>
      <c r="K1194" t="s">
        <v>4378</v>
      </c>
      <c r="L1194">
        <v>3</v>
      </c>
      <c r="M1194" t="s">
        <v>408</v>
      </c>
      <c r="N1194" t="s">
        <v>408</v>
      </c>
      <c r="O1194" t="s">
        <v>408</v>
      </c>
      <c r="P1194" s="2" t="str">
        <f t="shared" si="54"/>
        <v>30/07/2025 to 04/08/2025</v>
      </c>
      <c r="Q1194" s="3">
        <v>45870</v>
      </c>
      <c r="R1194" t="str">
        <f t="shared" si="55"/>
        <v>On-Time</v>
      </c>
      <c r="S1194" t="s">
        <v>495</v>
      </c>
      <c r="T1194">
        <v>36</v>
      </c>
      <c r="U1194" t="s">
        <v>65</v>
      </c>
      <c r="V1194" t="s">
        <v>72</v>
      </c>
      <c r="W1194" t="str">
        <f t="shared" ca="1" si="56"/>
        <v>Dormant</v>
      </c>
    </row>
    <row r="1195" spans="1:23" x14ac:dyDescent="0.2">
      <c r="A1195">
        <v>1545</v>
      </c>
      <c r="B1195" t="s">
        <v>4370</v>
      </c>
      <c r="C1195" t="s">
        <v>4379</v>
      </c>
      <c r="D1195" s="1" t="s">
        <v>412</v>
      </c>
      <c r="E1195" t="s">
        <v>4372</v>
      </c>
      <c r="F1195" t="s">
        <v>110</v>
      </c>
      <c r="G1195" s="4" t="s">
        <v>5422</v>
      </c>
      <c r="H1195" t="s">
        <v>4373</v>
      </c>
      <c r="I1195" t="s">
        <v>59</v>
      </c>
      <c r="J1195" s="4" t="s">
        <v>68</v>
      </c>
      <c r="K1195" t="s">
        <v>4233</v>
      </c>
      <c r="L1195">
        <v>2</v>
      </c>
      <c r="M1195" t="s">
        <v>408</v>
      </c>
      <c r="N1195" t="s">
        <v>408</v>
      </c>
      <c r="O1195" t="s">
        <v>761</v>
      </c>
      <c r="P1195" s="2" t="str">
        <f t="shared" si="54"/>
        <v>30/07/2025 to 04/08/2025</v>
      </c>
      <c r="Q1195" s="3">
        <v>45868</v>
      </c>
      <c r="R1195" t="str">
        <f t="shared" si="55"/>
        <v>On-Time</v>
      </c>
      <c r="S1195" t="s">
        <v>494</v>
      </c>
      <c r="T1195">
        <v>23</v>
      </c>
      <c r="U1195" t="s">
        <v>65</v>
      </c>
      <c r="V1195" t="s">
        <v>80</v>
      </c>
      <c r="W1195" t="str">
        <f t="shared" ca="1" si="56"/>
        <v>Dormant</v>
      </c>
    </row>
    <row r="1196" spans="1:23" x14ac:dyDescent="0.2">
      <c r="A1196">
        <v>240</v>
      </c>
      <c r="B1196" t="s">
        <v>1074</v>
      </c>
      <c r="C1196" t="s">
        <v>1075</v>
      </c>
      <c r="D1196" s="1" t="s">
        <v>409</v>
      </c>
      <c r="E1196" t="s">
        <v>1076</v>
      </c>
      <c r="F1196" t="s">
        <v>1077</v>
      </c>
      <c r="G1196" s="4" t="s">
        <v>5418</v>
      </c>
      <c r="H1196" t="s">
        <v>1078</v>
      </c>
      <c r="I1196" t="s">
        <v>201</v>
      </c>
      <c r="J1196" s="4" t="s">
        <v>74</v>
      </c>
      <c r="K1196" t="s">
        <v>1079</v>
      </c>
      <c r="L1196">
        <v>4</v>
      </c>
      <c r="M1196" t="s">
        <v>856</v>
      </c>
      <c r="N1196" t="s">
        <v>856</v>
      </c>
      <c r="O1196" t="s">
        <v>856</v>
      </c>
      <c r="P1196" s="2" t="str">
        <f t="shared" si="54"/>
        <v>04/08/2025 to 07/08/2025</v>
      </c>
      <c r="Q1196" s="3">
        <v>45871</v>
      </c>
      <c r="R1196" t="str">
        <f t="shared" si="55"/>
        <v>Late</v>
      </c>
      <c r="S1196" t="s">
        <v>767</v>
      </c>
      <c r="T1196">
        <v>37.5</v>
      </c>
      <c r="U1196" t="s">
        <v>65</v>
      </c>
      <c r="V1196" t="s">
        <v>72</v>
      </c>
      <c r="W1196" t="str">
        <f t="shared" ca="1" si="56"/>
        <v>Dormant</v>
      </c>
    </row>
    <row r="1197" spans="1:23" x14ac:dyDescent="0.2">
      <c r="A1197">
        <v>241</v>
      </c>
      <c r="B1197" t="s">
        <v>1074</v>
      </c>
      <c r="C1197" t="s">
        <v>1080</v>
      </c>
      <c r="D1197" s="1" t="s">
        <v>409</v>
      </c>
      <c r="E1197" t="s">
        <v>1076</v>
      </c>
      <c r="F1197" t="s">
        <v>1077</v>
      </c>
      <c r="G1197" s="4" t="s">
        <v>5428</v>
      </c>
      <c r="H1197" t="s">
        <v>1078</v>
      </c>
      <c r="I1197" t="s">
        <v>201</v>
      </c>
      <c r="J1197" s="4" t="s">
        <v>74</v>
      </c>
      <c r="K1197" t="s">
        <v>32</v>
      </c>
      <c r="L1197">
        <v>1</v>
      </c>
      <c r="M1197" t="s">
        <v>856</v>
      </c>
      <c r="N1197" t="s">
        <v>856</v>
      </c>
      <c r="O1197" t="s">
        <v>1081</v>
      </c>
      <c r="P1197" s="2" t="str">
        <f t="shared" si="54"/>
        <v>04/08/2025 to 07/08/2025</v>
      </c>
      <c r="Q1197" s="3">
        <v>45874</v>
      </c>
      <c r="R1197" t="str">
        <f t="shared" si="55"/>
        <v>On-Time</v>
      </c>
      <c r="S1197" t="s">
        <v>763</v>
      </c>
      <c r="T1197">
        <v>14</v>
      </c>
      <c r="U1197" t="s">
        <v>65</v>
      </c>
      <c r="V1197" t="s">
        <v>66</v>
      </c>
      <c r="W1197" t="str">
        <f t="shared" ca="1" si="56"/>
        <v>Dormant</v>
      </c>
    </row>
    <row r="1198" spans="1:23" x14ac:dyDescent="0.2">
      <c r="A1198">
        <v>242</v>
      </c>
      <c r="B1198" t="s">
        <v>1074</v>
      </c>
      <c r="C1198" t="s">
        <v>1082</v>
      </c>
      <c r="D1198" s="1" t="s">
        <v>409</v>
      </c>
      <c r="E1198" t="s">
        <v>1076</v>
      </c>
      <c r="F1198" t="s">
        <v>1077</v>
      </c>
      <c r="G1198" s="4" t="s">
        <v>5425</v>
      </c>
      <c r="H1198" t="s">
        <v>1078</v>
      </c>
      <c r="I1198" t="s">
        <v>201</v>
      </c>
      <c r="J1198" s="4" t="s">
        <v>60</v>
      </c>
      <c r="K1198" t="s">
        <v>1083</v>
      </c>
      <c r="L1198">
        <v>4</v>
      </c>
      <c r="M1198" t="s">
        <v>856</v>
      </c>
      <c r="N1198" t="s">
        <v>1084</v>
      </c>
      <c r="O1198" t="s">
        <v>1081</v>
      </c>
      <c r="P1198" s="2" t="str">
        <f t="shared" si="54"/>
        <v>04/08/2025 to 07/08/2025</v>
      </c>
      <c r="Q1198" s="3">
        <v>45874</v>
      </c>
      <c r="R1198" t="str">
        <f t="shared" si="55"/>
        <v>On-Time</v>
      </c>
      <c r="S1198" t="s">
        <v>770</v>
      </c>
      <c r="T1198">
        <v>43</v>
      </c>
      <c r="U1198" t="s">
        <v>65</v>
      </c>
      <c r="V1198" t="s">
        <v>80</v>
      </c>
      <c r="W1198" t="str">
        <f t="shared" ca="1" si="56"/>
        <v>Dormant</v>
      </c>
    </row>
    <row r="1199" spans="1:23" x14ac:dyDescent="0.2">
      <c r="A1199">
        <v>243</v>
      </c>
      <c r="B1199" t="s">
        <v>1074</v>
      </c>
      <c r="C1199" t="s">
        <v>1085</v>
      </c>
      <c r="D1199" s="1" t="s">
        <v>409</v>
      </c>
      <c r="E1199" t="s">
        <v>1076</v>
      </c>
      <c r="F1199" t="s">
        <v>1077</v>
      </c>
      <c r="G1199" s="4" t="s">
        <v>5421</v>
      </c>
      <c r="H1199" t="s">
        <v>1078</v>
      </c>
      <c r="I1199" t="s">
        <v>201</v>
      </c>
      <c r="J1199" s="4" t="s">
        <v>60</v>
      </c>
      <c r="K1199" t="s">
        <v>26</v>
      </c>
      <c r="L1199">
        <v>1</v>
      </c>
      <c r="M1199" t="s">
        <v>856</v>
      </c>
      <c r="N1199" t="s">
        <v>1084</v>
      </c>
      <c r="O1199" t="s">
        <v>856</v>
      </c>
      <c r="P1199" s="2" t="str">
        <f t="shared" si="54"/>
        <v>04/08/2025 to 07/08/2025</v>
      </c>
      <c r="Q1199" s="3">
        <v>45874</v>
      </c>
      <c r="R1199" t="str">
        <f t="shared" si="55"/>
        <v>On-Time</v>
      </c>
      <c r="S1199" t="s">
        <v>770</v>
      </c>
      <c r="T1199">
        <v>9</v>
      </c>
      <c r="U1199" t="s">
        <v>65</v>
      </c>
      <c r="V1199" t="s">
        <v>72</v>
      </c>
      <c r="W1199" t="str">
        <f t="shared" ca="1" si="56"/>
        <v>Dormant</v>
      </c>
    </row>
    <row r="1200" spans="1:23" x14ac:dyDescent="0.2">
      <c r="A1200">
        <v>1185</v>
      </c>
      <c r="B1200" t="s">
        <v>3506</v>
      </c>
      <c r="C1200" t="s">
        <v>3507</v>
      </c>
      <c r="D1200" s="1" t="s">
        <v>409</v>
      </c>
      <c r="E1200" t="s">
        <v>3508</v>
      </c>
      <c r="F1200" t="s">
        <v>199</v>
      </c>
      <c r="G1200" s="4" t="s">
        <v>5422</v>
      </c>
      <c r="H1200" t="s">
        <v>2994</v>
      </c>
      <c r="I1200" t="s">
        <v>136</v>
      </c>
      <c r="J1200" s="4" t="s">
        <v>74</v>
      </c>
      <c r="K1200" t="s">
        <v>3509</v>
      </c>
      <c r="L1200">
        <v>4</v>
      </c>
      <c r="M1200" t="s">
        <v>856</v>
      </c>
      <c r="N1200" t="s">
        <v>1084</v>
      </c>
      <c r="O1200" t="s">
        <v>1084</v>
      </c>
      <c r="P1200" s="2" t="str">
        <f t="shared" si="54"/>
        <v>04/08/2025 to 07/08/2025</v>
      </c>
      <c r="Q1200" s="3">
        <v>45875</v>
      </c>
      <c r="R1200" t="str">
        <f t="shared" si="55"/>
        <v>On-Time</v>
      </c>
      <c r="S1200" t="s">
        <v>891</v>
      </c>
      <c r="T1200">
        <v>36</v>
      </c>
      <c r="U1200" t="s">
        <v>65</v>
      </c>
      <c r="V1200" t="s">
        <v>66</v>
      </c>
      <c r="W1200" t="str">
        <f t="shared" ca="1" si="56"/>
        <v>Dormant</v>
      </c>
    </row>
    <row r="1201" spans="1:23" x14ac:dyDescent="0.2">
      <c r="A1201">
        <v>1186</v>
      </c>
      <c r="B1201" t="s">
        <v>3506</v>
      </c>
      <c r="C1201" t="s">
        <v>3510</v>
      </c>
      <c r="D1201" s="1" t="s">
        <v>409</v>
      </c>
      <c r="E1201" t="s">
        <v>3508</v>
      </c>
      <c r="F1201" t="s">
        <v>199</v>
      </c>
      <c r="G1201" s="4" t="s">
        <v>5420</v>
      </c>
      <c r="H1201" t="s">
        <v>2994</v>
      </c>
      <c r="I1201" t="s">
        <v>136</v>
      </c>
      <c r="J1201" s="4" t="s">
        <v>60</v>
      </c>
      <c r="K1201" t="s">
        <v>2685</v>
      </c>
      <c r="L1201">
        <v>2</v>
      </c>
      <c r="M1201" t="s">
        <v>1084</v>
      </c>
      <c r="N1201" t="s">
        <v>1418</v>
      </c>
      <c r="O1201" t="s">
        <v>1081</v>
      </c>
      <c r="P1201" s="2" t="str">
        <f t="shared" si="54"/>
        <v>05/08/2025 to 08/08/2025</v>
      </c>
      <c r="Q1201" s="3">
        <v>45873</v>
      </c>
      <c r="R1201" t="str">
        <f t="shared" si="55"/>
        <v>Late</v>
      </c>
      <c r="S1201" t="s">
        <v>762</v>
      </c>
      <c r="T1201">
        <v>15.5</v>
      </c>
      <c r="U1201" t="s">
        <v>65</v>
      </c>
      <c r="V1201" t="s">
        <v>80</v>
      </c>
      <c r="W1201" t="str">
        <f t="shared" ca="1" si="56"/>
        <v>Dormant</v>
      </c>
    </row>
    <row r="1202" spans="1:23" x14ac:dyDescent="0.2">
      <c r="A1202">
        <v>1886</v>
      </c>
      <c r="B1202" t="s">
        <v>5146</v>
      </c>
      <c r="C1202" t="s">
        <v>5147</v>
      </c>
      <c r="D1202" s="1" t="s">
        <v>409</v>
      </c>
      <c r="E1202" t="s">
        <v>5148</v>
      </c>
      <c r="F1202" t="s">
        <v>91</v>
      </c>
      <c r="G1202" s="4" t="s">
        <v>5423</v>
      </c>
      <c r="H1202" t="s">
        <v>5149</v>
      </c>
      <c r="I1202" t="s">
        <v>201</v>
      </c>
      <c r="J1202" s="4" t="s">
        <v>60</v>
      </c>
      <c r="K1202" t="s">
        <v>5150</v>
      </c>
      <c r="L1202">
        <v>4</v>
      </c>
      <c r="M1202" t="s">
        <v>856</v>
      </c>
      <c r="N1202" t="s">
        <v>1084</v>
      </c>
      <c r="O1202" t="s">
        <v>856</v>
      </c>
      <c r="P1202" s="2" t="str">
        <f t="shared" si="54"/>
        <v>04/08/2025 to 07/08/2025</v>
      </c>
      <c r="Q1202" s="3">
        <v>45872</v>
      </c>
      <c r="R1202" t="str">
        <f t="shared" si="55"/>
        <v>Late</v>
      </c>
      <c r="S1202" t="s">
        <v>763</v>
      </c>
      <c r="T1202">
        <v>36.5</v>
      </c>
      <c r="U1202" t="s">
        <v>79</v>
      </c>
      <c r="V1202" t="s">
        <v>72</v>
      </c>
      <c r="W1202" t="str">
        <f t="shared" ca="1" si="56"/>
        <v>Dormant</v>
      </c>
    </row>
    <row r="1203" spans="1:23" x14ac:dyDescent="0.2">
      <c r="A1203">
        <v>1887</v>
      </c>
      <c r="B1203" t="s">
        <v>5146</v>
      </c>
      <c r="C1203" t="s">
        <v>5151</v>
      </c>
      <c r="D1203" s="1" t="s">
        <v>409</v>
      </c>
      <c r="E1203" t="s">
        <v>5148</v>
      </c>
      <c r="F1203" t="s">
        <v>91</v>
      </c>
      <c r="G1203" s="4" t="s">
        <v>5419</v>
      </c>
      <c r="H1203" t="s">
        <v>5149</v>
      </c>
      <c r="I1203" t="s">
        <v>201</v>
      </c>
      <c r="J1203" s="4" t="s">
        <v>5417</v>
      </c>
      <c r="K1203" t="s">
        <v>5152</v>
      </c>
      <c r="L1203">
        <v>2</v>
      </c>
      <c r="M1203" t="s">
        <v>409</v>
      </c>
      <c r="N1203" t="s">
        <v>1084</v>
      </c>
      <c r="O1203" t="s">
        <v>856</v>
      </c>
      <c r="P1203" s="2" t="str">
        <f t="shared" si="54"/>
        <v>01/08/2025 to 06/08/2025</v>
      </c>
      <c r="Q1203" s="3">
        <v>45869</v>
      </c>
      <c r="R1203" t="str">
        <f t="shared" si="55"/>
        <v>Late</v>
      </c>
      <c r="S1203" t="s">
        <v>506</v>
      </c>
      <c r="T1203">
        <v>21.5</v>
      </c>
      <c r="U1203" t="s">
        <v>65</v>
      </c>
      <c r="V1203" t="s">
        <v>66</v>
      </c>
      <c r="W1203" t="str">
        <f t="shared" ca="1" si="56"/>
        <v>Dormant</v>
      </c>
    </row>
    <row r="1204" spans="1:23" x14ac:dyDescent="0.2">
      <c r="A1204">
        <v>1888</v>
      </c>
      <c r="B1204" t="s">
        <v>5146</v>
      </c>
      <c r="C1204" t="s">
        <v>5153</v>
      </c>
      <c r="D1204" s="1" t="s">
        <v>409</v>
      </c>
      <c r="E1204" t="s">
        <v>5148</v>
      </c>
      <c r="F1204" t="s">
        <v>91</v>
      </c>
      <c r="G1204" s="4" t="s">
        <v>5420</v>
      </c>
      <c r="H1204" t="s">
        <v>5149</v>
      </c>
      <c r="I1204" t="s">
        <v>201</v>
      </c>
      <c r="J1204" s="4" t="s">
        <v>60</v>
      </c>
      <c r="K1204" t="s">
        <v>2250</v>
      </c>
      <c r="L1204">
        <v>3</v>
      </c>
      <c r="M1204" t="s">
        <v>409</v>
      </c>
      <c r="N1204" t="s">
        <v>409</v>
      </c>
      <c r="O1204" t="s">
        <v>856</v>
      </c>
      <c r="P1204" s="2" t="str">
        <f t="shared" si="54"/>
        <v>01/08/2025 to 06/08/2025</v>
      </c>
      <c r="Q1204" s="3">
        <v>45873</v>
      </c>
      <c r="R1204" t="str">
        <f t="shared" si="55"/>
        <v>On-Time</v>
      </c>
      <c r="S1204" t="s">
        <v>763</v>
      </c>
      <c r="T1204">
        <v>31.5</v>
      </c>
      <c r="U1204" t="s">
        <v>79</v>
      </c>
      <c r="V1204" t="s">
        <v>66</v>
      </c>
      <c r="W1204" t="str">
        <f t="shared" ca="1" si="56"/>
        <v>Dormant</v>
      </c>
    </row>
    <row r="1205" spans="1:23" x14ac:dyDescent="0.2">
      <c r="A1205">
        <v>1889</v>
      </c>
      <c r="B1205" t="s">
        <v>5146</v>
      </c>
      <c r="C1205" t="s">
        <v>5154</v>
      </c>
      <c r="D1205" s="1" t="s">
        <v>409</v>
      </c>
      <c r="E1205" t="s">
        <v>5148</v>
      </c>
      <c r="F1205" t="s">
        <v>91</v>
      </c>
      <c r="G1205" s="4" t="s">
        <v>5425</v>
      </c>
      <c r="H1205" t="s">
        <v>5149</v>
      </c>
      <c r="I1205" t="s">
        <v>201</v>
      </c>
      <c r="J1205" s="4" t="s">
        <v>5417</v>
      </c>
      <c r="K1205" t="s">
        <v>5155</v>
      </c>
      <c r="L1205">
        <v>4</v>
      </c>
      <c r="M1205" t="s">
        <v>856</v>
      </c>
      <c r="N1205" t="s">
        <v>1084</v>
      </c>
      <c r="O1205" t="s">
        <v>1084</v>
      </c>
      <c r="P1205" s="2" t="str">
        <f t="shared" si="54"/>
        <v>04/08/2025 to 07/08/2025</v>
      </c>
      <c r="Q1205" s="3">
        <v>45871</v>
      </c>
      <c r="R1205" t="str">
        <f t="shared" si="55"/>
        <v>Late</v>
      </c>
      <c r="S1205" t="s">
        <v>506</v>
      </c>
      <c r="T1205">
        <v>39</v>
      </c>
      <c r="U1205" t="s">
        <v>65</v>
      </c>
      <c r="V1205" t="s">
        <v>72</v>
      </c>
      <c r="W1205" t="str">
        <f t="shared" ca="1" si="56"/>
        <v>Dormant</v>
      </c>
    </row>
    <row r="1206" spans="1:23" x14ac:dyDescent="0.2">
      <c r="A1206">
        <v>1890</v>
      </c>
      <c r="B1206" t="s">
        <v>5146</v>
      </c>
      <c r="C1206" t="s">
        <v>5156</v>
      </c>
      <c r="D1206" s="1" t="s">
        <v>409</v>
      </c>
      <c r="E1206" t="s">
        <v>5148</v>
      </c>
      <c r="F1206" t="s">
        <v>91</v>
      </c>
      <c r="G1206" s="4" t="s">
        <v>5426</v>
      </c>
      <c r="H1206" t="s">
        <v>5149</v>
      </c>
      <c r="I1206" t="s">
        <v>201</v>
      </c>
      <c r="J1206" s="4" t="s">
        <v>5417</v>
      </c>
      <c r="K1206" t="s">
        <v>5157</v>
      </c>
      <c r="L1206">
        <v>2</v>
      </c>
      <c r="M1206" t="s">
        <v>1084</v>
      </c>
      <c r="N1206" t="s">
        <v>1418</v>
      </c>
      <c r="O1206" t="s">
        <v>1084</v>
      </c>
      <c r="P1206" s="2" t="str">
        <f t="shared" si="54"/>
        <v>05/08/2025 to 08/08/2025</v>
      </c>
      <c r="Q1206" s="3">
        <v>45874</v>
      </c>
      <c r="R1206" t="str">
        <f t="shared" si="55"/>
        <v>On-Time</v>
      </c>
      <c r="S1206" t="s">
        <v>891</v>
      </c>
      <c r="T1206">
        <v>23</v>
      </c>
      <c r="U1206" t="s">
        <v>79</v>
      </c>
      <c r="V1206" t="s">
        <v>72</v>
      </c>
      <c r="W1206" t="str">
        <f t="shared" ca="1" si="56"/>
        <v>Dormant</v>
      </c>
    </row>
    <row r="1207" spans="1:23" x14ac:dyDescent="0.2">
      <c r="A1207">
        <v>682</v>
      </c>
      <c r="B1207" t="s">
        <v>2290</v>
      </c>
      <c r="C1207" t="s">
        <v>2291</v>
      </c>
      <c r="D1207" s="1" t="s">
        <v>856</v>
      </c>
      <c r="E1207" t="s">
        <v>2292</v>
      </c>
      <c r="F1207" t="s">
        <v>424</v>
      </c>
      <c r="G1207" s="4" t="s">
        <v>5423</v>
      </c>
      <c r="H1207" t="s">
        <v>2293</v>
      </c>
      <c r="I1207" t="s">
        <v>59</v>
      </c>
      <c r="J1207" s="4" t="s">
        <v>5417</v>
      </c>
      <c r="K1207" t="s">
        <v>2294</v>
      </c>
      <c r="L1207">
        <v>4</v>
      </c>
      <c r="M1207" t="s">
        <v>1081</v>
      </c>
      <c r="N1207" t="s">
        <v>756</v>
      </c>
      <c r="O1207" t="s">
        <v>1081</v>
      </c>
      <c r="P1207" s="2" t="str">
        <f t="shared" si="54"/>
        <v>05/08/2025 to 08/08/2025</v>
      </c>
      <c r="Q1207" s="3">
        <v>45874</v>
      </c>
      <c r="R1207" t="str">
        <f t="shared" si="55"/>
        <v>On-Time</v>
      </c>
      <c r="S1207" t="s">
        <v>770</v>
      </c>
      <c r="T1207">
        <v>38</v>
      </c>
      <c r="U1207" t="s">
        <v>65</v>
      </c>
      <c r="V1207" t="s">
        <v>66</v>
      </c>
      <c r="W1207" t="str">
        <f t="shared" ca="1" si="56"/>
        <v>Dormant</v>
      </c>
    </row>
    <row r="1208" spans="1:23" x14ac:dyDescent="0.2">
      <c r="A1208">
        <v>683</v>
      </c>
      <c r="B1208" t="s">
        <v>2290</v>
      </c>
      <c r="C1208" t="s">
        <v>2295</v>
      </c>
      <c r="D1208" s="1" t="s">
        <v>856</v>
      </c>
      <c r="E1208" t="s">
        <v>2292</v>
      </c>
      <c r="F1208" t="s">
        <v>424</v>
      </c>
      <c r="G1208" s="4" t="s">
        <v>5420</v>
      </c>
      <c r="H1208" t="s">
        <v>2293</v>
      </c>
      <c r="I1208" t="s">
        <v>59</v>
      </c>
      <c r="J1208" s="4" t="s">
        <v>60</v>
      </c>
      <c r="K1208" t="s">
        <v>16</v>
      </c>
      <c r="L1208">
        <v>1</v>
      </c>
      <c r="M1208" t="s">
        <v>1081</v>
      </c>
      <c r="N1208" t="s">
        <v>1418</v>
      </c>
      <c r="O1208" t="s">
        <v>1081</v>
      </c>
      <c r="P1208" s="2" t="str">
        <f t="shared" si="54"/>
        <v>05/08/2025 to 08/08/2025</v>
      </c>
      <c r="Q1208" s="3">
        <v>45873</v>
      </c>
      <c r="R1208" t="str">
        <f t="shared" si="55"/>
        <v>Late</v>
      </c>
      <c r="S1208" t="s">
        <v>770</v>
      </c>
      <c r="T1208">
        <v>11</v>
      </c>
      <c r="U1208" t="s">
        <v>79</v>
      </c>
      <c r="V1208" t="s">
        <v>72</v>
      </c>
      <c r="W1208" t="str">
        <f t="shared" ca="1" si="56"/>
        <v>Dormant</v>
      </c>
    </row>
    <row r="1209" spans="1:23" x14ac:dyDescent="0.2">
      <c r="A1209">
        <v>684</v>
      </c>
      <c r="B1209" t="s">
        <v>2290</v>
      </c>
      <c r="C1209" t="s">
        <v>2296</v>
      </c>
      <c r="D1209" s="1" t="s">
        <v>856</v>
      </c>
      <c r="E1209" t="s">
        <v>2292</v>
      </c>
      <c r="F1209" t="s">
        <v>424</v>
      </c>
      <c r="G1209" s="4" t="s">
        <v>5420</v>
      </c>
      <c r="H1209" t="s">
        <v>2293</v>
      </c>
      <c r="I1209" t="s">
        <v>59</v>
      </c>
      <c r="J1209" s="4" t="s">
        <v>74</v>
      </c>
      <c r="K1209" t="s">
        <v>2297</v>
      </c>
      <c r="L1209">
        <v>3</v>
      </c>
      <c r="M1209" t="s">
        <v>1084</v>
      </c>
      <c r="N1209" t="s">
        <v>1418</v>
      </c>
      <c r="O1209" t="s">
        <v>1418</v>
      </c>
      <c r="P1209" s="2" t="str">
        <f t="shared" si="54"/>
        <v>05/08/2025 to 08/08/2025</v>
      </c>
      <c r="Q1209" s="3">
        <v>45878</v>
      </c>
      <c r="R1209" t="str">
        <f t="shared" si="55"/>
        <v>Late</v>
      </c>
      <c r="S1209" t="s">
        <v>240</v>
      </c>
      <c r="T1209">
        <v>25</v>
      </c>
      <c r="U1209" t="s">
        <v>79</v>
      </c>
      <c r="V1209" t="s">
        <v>72</v>
      </c>
      <c r="W1209" t="str">
        <f t="shared" ca="1" si="56"/>
        <v>Dormant</v>
      </c>
    </row>
    <row r="1210" spans="1:23" x14ac:dyDescent="0.2">
      <c r="A1210">
        <v>1502</v>
      </c>
      <c r="B1210" t="s">
        <v>4276</v>
      </c>
      <c r="C1210" t="s">
        <v>4277</v>
      </c>
      <c r="D1210" s="1" t="s">
        <v>856</v>
      </c>
      <c r="E1210" t="s">
        <v>4278</v>
      </c>
      <c r="F1210" t="s">
        <v>600</v>
      </c>
      <c r="G1210" s="4" t="s">
        <v>5419</v>
      </c>
      <c r="H1210" t="s">
        <v>3319</v>
      </c>
      <c r="I1210" t="s">
        <v>201</v>
      </c>
      <c r="J1210" s="4" t="s">
        <v>68</v>
      </c>
      <c r="K1210" t="s">
        <v>4279</v>
      </c>
      <c r="L1210">
        <v>3</v>
      </c>
      <c r="M1210" t="s">
        <v>1081</v>
      </c>
      <c r="N1210" t="s">
        <v>1081</v>
      </c>
      <c r="O1210" t="s">
        <v>1418</v>
      </c>
      <c r="P1210" s="2" t="str">
        <f t="shared" si="54"/>
        <v>05/08/2025 to 08/08/2025</v>
      </c>
      <c r="Q1210" s="3">
        <v>45878</v>
      </c>
      <c r="R1210" t="str">
        <f t="shared" si="55"/>
        <v>Late</v>
      </c>
      <c r="S1210" t="s">
        <v>250</v>
      </c>
      <c r="T1210">
        <v>33.5</v>
      </c>
      <c r="U1210" t="s">
        <v>79</v>
      </c>
      <c r="V1210" t="s">
        <v>80</v>
      </c>
      <c r="W1210" t="str">
        <f t="shared" ca="1" si="56"/>
        <v>Dormant</v>
      </c>
    </row>
    <row r="1211" spans="1:23" x14ac:dyDescent="0.2">
      <c r="A1211">
        <v>356</v>
      </c>
      <c r="B1211" t="s">
        <v>1414</v>
      </c>
      <c r="C1211" t="s">
        <v>1415</v>
      </c>
      <c r="D1211" s="1" t="s">
        <v>1084</v>
      </c>
      <c r="E1211" t="s">
        <v>1416</v>
      </c>
      <c r="F1211" t="s">
        <v>741</v>
      </c>
      <c r="G1211" s="4" t="s">
        <v>5428</v>
      </c>
      <c r="H1211" t="s">
        <v>1417</v>
      </c>
      <c r="I1211" t="s">
        <v>136</v>
      </c>
      <c r="J1211" s="4" t="s">
        <v>68</v>
      </c>
      <c r="K1211" t="s">
        <v>22</v>
      </c>
      <c r="L1211">
        <v>1</v>
      </c>
      <c r="M1211" t="s">
        <v>1418</v>
      </c>
      <c r="N1211" t="s">
        <v>1418</v>
      </c>
      <c r="O1211" t="s">
        <v>756</v>
      </c>
      <c r="P1211" s="2" t="str">
        <f t="shared" si="54"/>
        <v>05/08/2025 to 08/08/2025</v>
      </c>
      <c r="Q1211" s="3">
        <v>45877</v>
      </c>
      <c r="R1211" t="str">
        <f t="shared" si="55"/>
        <v>On-Time</v>
      </c>
      <c r="S1211" t="s">
        <v>498</v>
      </c>
      <c r="T1211">
        <v>8</v>
      </c>
      <c r="U1211" t="s">
        <v>79</v>
      </c>
      <c r="V1211" t="s">
        <v>80</v>
      </c>
      <c r="W1211" t="str">
        <f t="shared" ca="1" si="56"/>
        <v>Dormant</v>
      </c>
    </row>
    <row r="1212" spans="1:23" x14ac:dyDescent="0.2">
      <c r="A1212">
        <v>510</v>
      </c>
      <c r="B1212" t="s">
        <v>1846</v>
      </c>
      <c r="C1212" t="s">
        <v>1847</v>
      </c>
      <c r="D1212" s="1" t="s">
        <v>1081</v>
      </c>
      <c r="E1212" t="s">
        <v>1848</v>
      </c>
      <c r="F1212" t="s">
        <v>1077</v>
      </c>
      <c r="G1212" s="4" t="s">
        <v>5420</v>
      </c>
      <c r="H1212" t="s">
        <v>1089</v>
      </c>
      <c r="I1212" t="s">
        <v>136</v>
      </c>
      <c r="J1212" s="4" t="s">
        <v>74</v>
      </c>
      <c r="K1212" t="s">
        <v>1849</v>
      </c>
      <c r="L1212">
        <v>3</v>
      </c>
      <c r="M1212" t="s">
        <v>756</v>
      </c>
      <c r="N1212" t="s">
        <v>488</v>
      </c>
      <c r="O1212" t="s">
        <v>488</v>
      </c>
      <c r="P1212" s="2" t="str">
        <f t="shared" si="54"/>
        <v>06/08/2025 to 11/08/2025</v>
      </c>
      <c r="Q1212" s="3">
        <v>45877</v>
      </c>
      <c r="R1212" t="str">
        <f t="shared" si="55"/>
        <v>On-Time</v>
      </c>
      <c r="S1212" t="s">
        <v>240</v>
      </c>
      <c r="T1212">
        <v>25</v>
      </c>
      <c r="U1212" t="s">
        <v>79</v>
      </c>
      <c r="V1212" t="s">
        <v>66</v>
      </c>
      <c r="W1212" t="str">
        <f t="shared" ca="1" si="56"/>
        <v>Dormant</v>
      </c>
    </row>
    <row r="1213" spans="1:23" x14ac:dyDescent="0.2">
      <c r="A1213">
        <v>511</v>
      </c>
      <c r="B1213" t="s">
        <v>1846</v>
      </c>
      <c r="C1213" t="s">
        <v>1850</v>
      </c>
      <c r="D1213" s="1" t="s">
        <v>1081</v>
      </c>
      <c r="E1213" t="s">
        <v>1848</v>
      </c>
      <c r="F1213" t="s">
        <v>1077</v>
      </c>
      <c r="G1213" s="4" t="s">
        <v>5424</v>
      </c>
      <c r="H1213" t="s">
        <v>1089</v>
      </c>
      <c r="I1213" t="s">
        <v>136</v>
      </c>
      <c r="J1213" s="4" t="s">
        <v>74</v>
      </c>
      <c r="K1213" t="s">
        <v>1851</v>
      </c>
      <c r="L1213">
        <v>4</v>
      </c>
      <c r="M1213" t="s">
        <v>756</v>
      </c>
      <c r="N1213" t="s">
        <v>493</v>
      </c>
      <c r="O1213" t="s">
        <v>488</v>
      </c>
      <c r="P1213" s="2" t="str">
        <f t="shared" si="54"/>
        <v>06/08/2025 to 11/08/2025</v>
      </c>
      <c r="Q1213" s="3">
        <v>45874</v>
      </c>
      <c r="R1213" t="str">
        <f t="shared" si="55"/>
        <v>Late</v>
      </c>
      <c r="S1213" t="s">
        <v>770</v>
      </c>
      <c r="T1213">
        <v>33</v>
      </c>
      <c r="U1213" t="s">
        <v>79</v>
      </c>
      <c r="V1213" t="s">
        <v>72</v>
      </c>
      <c r="W1213" t="str">
        <f t="shared" ca="1" si="56"/>
        <v>Dormant</v>
      </c>
    </row>
    <row r="1214" spans="1:23" x14ac:dyDescent="0.2">
      <c r="A1214">
        <v>512</v>
      </c>
      <c r="B1214" t="s">
        <v>1846</v>
      </c>
      <c r="C1214" t="s">
        <v>1852</v>
      </c>
      <c r="D1214" s="1" t="s">
        <v>1081</v>
      </c>
      <c r="E1214" t="s">
        <v>1848</v>
      </c>
      <c r="F1214" t="s">
        <v>1077</v>
      </c>
      <c r="G1214" s="4" t="s">
        <v>5424</v>
      </c>
      <c r="H1214" t="s">
        <v>1089</v>
      </c>
      <c r="I1214" t="s">
        <v>136</v>
      </c>
      <c r="J1214" s="4" t="s">
        <v>60</v>
      </c>
      <c r="K1214" t="s">
        <v>211</v>
      </c>
      <c r="L1214">
        <v>2</v>
      </c>
      <c r="M1214" t="s">
        <v>1418</v>
      </c>
      <c r="N1214" t="s">
        <v>1418</v>
      </c>
      <c r="O1214" t="s">
        <v>756</v>
      </c>
      <c r="P1214" s="2" t="str">
        <f t="shared" si="54"/>
        <v>05/08/2025 to 08/08/2025</v>
      </c>
      <c r="Q1214" s="3">
        <v>45875</v>
      </c>
      <c r="R1214" t="str">
        <f t="shared" si="55"/>
        <v>On-Time</v>
      </c>
      <c r="S1214" t="s">
        <v>770</v>
      </c>
      <c r="T1214">
        <v>17</v>
      </c>
      <c r="U1214" t="s">
        <v>79</v>
      </c>
      <c r="V1214" t="s">
        <v>66</v>
      </c>
      <c r="W1214" t="str">
        <f t="shared" ca="1" si="56"/>
        <v>Dormant</v>
      </c>
    </row>
    <row r="1215" spans="1:23" x14ac:dyDescent="0.2">
      <c r="A1215">
        <v>513</v>
      </c>
      <c r="B1215" t="s">
        <v>1846</v>
      </c>
      <c r="C1215" t="s">
        <v>1853</v>
      </c>
      <c r="D1215" s="1" t="s">
        <v>1081</v>
      </c>
      <c r="E1215" t="s">
        <v>1848</v>
      </c>
      <c r="F1215" t="s">
        <v>1077</v>
      </c>
      <c r="G1215" s="4" t="s">
        <v>5426</v>
      </c>
      <c r="H1215" t="s">
        <v>1089</v>
      </c>
      <c r="I1215" t="s">
        <v>136</v>
      </c>
      <c r="J1215" s="4" t="s">
        <v>60</v>
      </c>
      <c r="K1215" t="s">
        <v>1854</v>
      </c>
      <c r="L1215">
        <v>3</v>
      </c>
      <c r="M1215" t="s">
        <v>1081</v>
      </c>
      <c r="N1215" t="s">
        <v>1418</v>
      </c>
      <c r="O1215" t="s">
        <v>1081</v>
      </c>
      <c r="P1215" s="2" t="str">
        <f t="shared" si="54"/>
        <v>05/08/2025 to 08/08/2025</v>
      </c>
      <c r="Q1215" s="3">
        <v>45874</v>
      </c>
      <c r="R1215" t="str">
        <f t="shared" si="55"/>
        <v>On-Time</v>
      </c>
      <c r="S1215" t="s">
        <v>770</v>
      </c>
      <c r="T1215">
        <v>27.5</v>
      </c>
      <c r="U1215" t="s">
        <v>65</v>
      </c>
      <c r="V1215" t="s">
        <v>66</v>
      </c>
      <c r="W1215" t="str">
        <f t="shared" ca="1" si="56"/>
        <v>Dormant</v>
      </c>
    </row>
    <row r="1216" spans="1:23" x14ac:dyDescent="0.2">
      <c r="A1216">
        <v>514</v>
      </c>
      <c r="B1216" t="s">
        <v>1846</v>
      </c>
      <c r="C1216" t="s">
        <v>1855</v>
      </c>
      <c r="D1216" s="1" t="s">
        <v>1081</v>
      </c>
      <c r="E1216" t="s">
        <v>1848</v>
      </c>
      <c r="F1216" t="s">
        <v>1077</v>
      </c>
      <c r="G1216" s="4" t="s">
        <v>5427</v>
      </c>
      <c r="H1216" t="s">
        <v>1089</v>
      </c>
      <c r="I1216" t="s">
        <v>136</v>
      </c>
      <c r="J1216" s="4" t="s">
        <v>74</v>
      </c>
      <c r="K1216" t="s">
        <v>26</v>
      </c>
      <c r="L1216">
        <v>1</v>
      </c>
      <c r="M1216" t="s">
        <v>1418</v>
      </c>
      <c r="N1216" t="s">
        <v>488</v>
      </c>
      <c r="O1216" t="s">
        <v>488</v>
      </c>
      <c r="P1216" s="2" t="str">
        <f t="shared" si="54"/>
        <v>05/08/2025 to 08/08/2025</v>
      </c>
      <c r="Q1216" s="3">
        <v>45874</v>
      </c>
      <c r="R1216" t="str">
        <f t="shared" si="55"/>
        <v>On-Time</v>
      </c>
      <c r="S1216" t="s">
        <v>770</v>
      </c>
      <c r="T1216">
        <v>9</v>
      </c>
      <c r="U1216" t="s">
        <v>65</v>
      </c>
      <c r="V1216" t="s">
        <v>72</v>
      </c>
      <c r="W1216" t="str">
        <f t="shared" ca="1" si="56"/>
        <v>Dormant</v>
      </c>
    </row>
    <row r="1217" spans="1:23" x14ac:dyDescent="0.2">
      <c r="A1217">
        <v>1744</v>
      </c>
      <c r="B1217" t="s">
        <v>4837</v>
      </c>
      <c r="C1217" t="s">
        <v>4838</v>
      </c>
      <c r="D1217" s="1" t="s">
        <v>1418</v>
      </c>
      <c r="E1217" t="s">
        <v>4839</v>
      </c>
      <c r="F1217" t="s">
        <v>553</v>
      </c>
      <c r="G1217" s="4" t="s">
        <v>5424</v>
      </c>
      <c r="H1217" t="s">
        <v>4840</v>
      </c>
      <c r="I1217" t="s">
        <v>59</v>
      </c>
      <c r="J1217" s="4" t="s">
        <v>68</v>
      </c>
      <c r="K1217" t="s">
        <v>30</v>
      </c>
      <c r="L1217">
        <v>1</v>
      </c>
      <c r="M1217" t="s">
        <v>488</v>
      </c>
      <c r="N1217" t="s">
        <v>493</v>
      </c>
      <c r="O1217" t="s">
        <v>488</v>
      </c>
      <c r="P1217" s="2" t="str">
        <f t="shared" si="54"/>
        <v>07/08/2025 to 12/08/2025</v>
      </c>
      <c r="Q1217" s="3">
        <v>45877</v>
      </c>
      <c r="R1217" t="str">
        <f t="shared" si="55"/>
        <v>On-Time</v>
      </c>
      <c r="S1217" t="s">
        <v>499</v>
      </c>
      <c r="T1217">
        <v>12</v>
      </c>
      <c r="U1217" t="s">
        <v>79</v>
      </c>
      <c r="V1217" t="s">
        <v>80</v>
      </c>
      <c r="W1217" t="str">
        <f t="shared" ca="1" si="56"/>
        <v>Dormant</v>
      </c>
    </row>
    <row r="1218" spans="1:23" x14ac:dyDescent="0.2">
      <c r="A1218">
        <v>1745</v>
      </c>
      <c r="B1218" t="s">
        <v>4837</v>
      </c>
      <c r="C1218" t="s">
        <v>4841</v>
      </c>
      <c r="D1218" s="1" t="s">
        <v>1418</v>
      </c>
      <c r="E1218" t="s">
        <v>4839</v>
      </c>
      <c r="F1218" t="s">
        <v>553</v>
      </c>
      <c r="G1218" s="4" t="s">
        <v>5422</v>
      </c>
      <c r="H1218" t="s">
        <v>4840</v>
      </c>
      <c r="I1218" t="s">
        <v>59</v>
      </c>
      <c r="J1218" s="4" t="s">
        <v>68</v>
      </c>
      <c r="K1218" t="s">
        <v>10</v>
      </c>
      <c r="L1218">
        <v>1</v>
      </c>
      <c r="M1218" t="s">
        <v>1418</v>
      </c>
      <c r="N1218" t="s">
        <v>1418</v>
      </c>
      <c r="O1218" t="s">
        <v>488</v>
      </c>
      <c r="P1218" s="2" t="str">
        <f t="shared" ref="P1218:P1281" si="57">IF(ISBLANK(M1218), "", TEXT(WORKDAY(M1218, 7), "dd/mm/yyyy") &amp; " to " &amp; TEXT(WORKDAY(M1218, 10), "dd/mm/yyyy"))</f>
        <v>05/08/2025 to 08/08/2025</v>
      </c>
      <c r="Q1218" s="3">
        <v>45877</v>
      </c>
      <c r="R1218" t="str">
        <f t="shared" ref="R1218:R1281" si="58">IF(Q1218="","In Progress",
IF(AND(--Q1218&gt;=DATEVALUE(LEFT(P1218,10)),
       --Q1218&lt;=DATEVALUE(TRIM(MID(P1218,FIND("to",P1218)+3,10)))),
   "On-Time","Late"))</f>
        <v>On-Time</v>
      </c>
      <c r="S1218" t="s">
        <v>498</v>
      </c>
      <c r="T1218">
        <v>10</v>
      </c>
      <c r="U1218" t="s">
        <v>79</v>
      </c>
      <c r="V1218" t="s">
        <v>80</v>
      </c>
      <c r="W1218" t="str">
        <f t="shared" ca="1" si="56"/>
        <v>Dormant</v>
      </c>
    </row>
    <row r="1219" spans="1:23" x14ac:dyDescent="0.2">
      <c r="A1219">
        <v>1856</v>
      </c>
      <c r="B1219" t="s">
        <v>5080</v>
      </c>
      <c r="C1219" t="s">
        <v>5081</v>
      </c>
      <c r="D1219" s="1" t="s">
        <v>756</v>
      </c>
      <c r="E1219" t="s">
        <v>5082</v>
      </c>
      <c r="F1219" t="s">
        <v>607</v>
      </c>
      <c r="G1219" s="4" t="s">
        <v>5427</v>
      </c>
      <c r="H1219" t="s">
        <v>5083</v>
      </c>
      <c r="I1219" t="s">
        <v>59</v>
      </c>
      <c r="J1219" s="4" t="s">
        <v>5417</v>
      </c>
      <c r="K1219" t="s">
        <v>5084</v>
      </c>
      <c r="L1219">
        <v>4</v>
      </c>
      <c r="M1219" t="s">
        <v>493</v>
      </c>
      <c r="N1219" t="s">
        <v>493</v>
      </c>
      <c r="O1219" t="s">
        <v>493</v>
      </c>
      <c r="P1219" s="2" t="str">
        <f t="shared" si="57"/>
        <v>08/08/2025 to 13/08/2025</v>
      </c>
      <c r="Q1219" s="3">
        <v>45875</v>
      </c>
      <c r="R1219" t="str">
        <f t="shared" si="58"/>
        <v>Late</v>
      </c>
      <c r="S1219" t="s">
        <v>891</v>
      </c>
      <c r="T1219">
        <v>40.5</v>
      </c>
      <c r="U1219" t="s">
        <v>79</v>
      </c>
      <c r="V1219" t="s">
        <v>72</v>
      </c>
      <c r="W1219" t="str">
        <f t="shared" ref="W1219:W1282" ca="1" si="59">IF(D1219="","",
IF(TODAY()-D1219&lt;=120,"Active",
IF(TODAY()-D1219&lt;=210,"At Risk",
IF(TODAY()-D1219&lt;=395,"Dormant",
IF(TODAY()-D1219&lt;=730,"Inactive","Archived")))))</f>
        <v>Dormant</v>
      </c>
    </row>
    <row r="1220" spans="1:23" x14ac:dyDescent="0.2">
      <c r="A1220">
        <v>87</v>
      </c>
      <c r="B1220" t="s">
        <v>486</v>
      </c>
      <c r="C1220" t="s">
        <v>487</v>
      </c>
      <c r="D1220" s="1" t="s">
        <v>488</v>
      </c>
      <c r="E1220" t="s">
        <v>489</v>
      </c>
      <c r="F1220" t="s">
        <v>490</v>
      </c>
      <c r="G1220" s="4" t="s">
        <v>5427</v>
      </c>
      <c r="H1220" t="s">
        <v>491</v>
      </c>
      <c r="I1220" t="s">
        <v>136</v>
      </c>
      <c r="J1220" s="4" t="s">
        <v>74</v>
      </c>
      <c r="K1220" t="s">
        <v>492</v>
      </c>
      <c r="L1220">
        <v>4</v>
      </c>
      <c r="M1220" t="s">
        <v>493</v>
      </c>
      <c r="N1220" t="s">
        <v>494</v>
      </c>
      <c r="O1220" t="s">
        <v>495</v>
      </c>
      <c r="P1220" s="2" t="str">
        <f t="shared" si="57"/>
        <v>08/08/2025 to 13/08/2025</v>
      </c>
      <c r="Q1220" s="3">
        <v>45883</v>
      </c>
      <c r="R1220" t="str">
        <f t="shared" si="58"/>
        <v>Late</v>
      </c>
      <c r="S1220" t="s">
        <v>264</v>
      </c>
      <c r="T1220">
        <v>39.5</v>
      </c>
      <c r="U1220" t="s">
        <v>65</v>
      </c>
      <c r="V1220" t="s">
        <v>66</v>
      </c>
      <c r="W1220" t="str">
        <f t="shared" ca="1" si="59"/>
        <v>Dormant</v>
      </c>
    </row>
    <row r="1221" spans="1:23" x14ac:dyDescent="0.2">
      <c r="A1221">
        <v>88</v>
      </c>
      <c r="B1221" t="s">
        <v>486</v>
      </c>
      <c r="C1221" t="s">
        <v>496</v>
      </c>
      <c r="D1221" s="1" t="s">
        <v>488</v>
      </c>
      <c r="E1221" t="s">
        <v>489</v>
      </c>
      <c r="F1221" t="s">
        <v>490</v>
      </c>
      <c r="G1221" s="4" t="s">
        <v>5424</v>
      </c>
      <c r="H1221" t="s">
        <v>491</v>
      </c>
      <c r="I1221" t="s">
        <v>136</v>
      </c>
      <c r="J1221" s="4" t="s">
        <v>74</v>
      </c>
      <c r="K1221" t="s">
        <v>497</v>
      </c>
      <c r="L1221">
        <v>3</v>
      </c>
      <c r="M1221" t="s">
        <v>494</v>
      </c>
      <c r="N1221" t="s">
        <v>494</v>
      </c>
      <c r="O1221" t="s">
        <v>494</v>
      </c>
      <c r="P1221" s="2" t="str">
        <f t="shared" si="57"/>
        <v>11/08/2025 to 14/08/2025</v>
      </c>
      <c r="Q1221" s="3">
        <v>45877</v>
      </c>
      <c r="R1221" t="str">
        <f t="shared" si="58"/>
        <v>Late</v>
      </c>
      <c r="S1221" t="s">
        <v>499</v>
      </c>
      <c r="T1221">
        <v>30</v>
      </c>
      <c r="U1221" t="s">
        <v>79</v>
      </c>
      <c r="V1221" t="s">
        <v>72</v>
      </c>
      <c r="W1221" t="str">
        <f t="shared" ca="1" si="59"/>
        <v>Dormant</v>
      </c>
    </row>
    <row r="1222" spans="1:23" x14ac:dyDescent="0.2">
      <c r="A1222">
        <v>89</v>
      </c>
      <c r="B1222" t="s">
        <v>486</v>
      </c>
      <c r="C1222" t="s">
        <v>500</v>
      </c>
      <c r="D1222" s="1" t="s">
        <v>488</v>
      </c>
      <c r="E1222" t="s">
        <v>489</v>
      </c>
      <c r="F1222" t="s">
        <v>490</v>
      </c>
      <c r="G1222" s="4" t="s">
        <v>5428</v>
      </c>
      <c r="H1222" t="s">
        <v>491</v>
      </c>
      <c r="I1222" t="s">
        <v>136</v>
      </c>
      <c r="J1222" s="4" t="s">
        <v>74</v>
      </c>
      <c r="K1222" t="s">
        <v>501</v>
      </c>
      <c r="L1222">
        <v>3</v>
      </c>
      <c r="M1222" t="s">
        <v>494</v>
      </c>
      <c r="N1222" t="s">
        <v>495</v>
      </c>
      <c r="O1222" t="s">
        <v>494</v>
      </c>
      <c r="P1222" s="2" t="str">
        <f t="shared" si="57"/>
        <v>11/08/2025 to 14/08/2025</v>
      </c>
      <c r="Q1222" s="3">
        <v>45878</v>
      </c>
      <c r="R1222" t="str">
        <f t="shared" si="58"/>
        <v>Late</v>
      </c>
      <c r="S1222" t="s">
        <v>250</v>
      </c>
      <c r="T1222">
        <v>31.5</v>
      </c>
      <c r="U1222" t="s">
        <v>79</v>
      </c>
      <c r="V1222" t="s">
        <v>66</v>
      </c>
      <c r="W1222" t="str">
        <f t="shared" ca="1" si="59"/>
        <v>Dormant</v>
      </c>
    </row>
    <row r="1223" spans="1:23" x14ac:dyDescent="0.2">
      <c r="A1223">
        <v>90</v>
      </c>
      <c r="B1223" t="s">
        <v>486</v>
      </c>
      <c r="C1223" t="s">
        <v>502</v>
      </c>
      <c r="D1223" s="1" t="s">
        <v>488</v>
      </c>
      <c r="E1223" t="s">
        <v>489</v>
      </c>
      <c r="F1223" t="s">
        <v>490</v>
      </c>
      <c r="G1223" s="4" t="s">
        <v>5426</v>
      </c>
      <c r="H1223" t="s">
        <v>491</v>
      </c>
      <c r="I1223" t="s">
        <v>136</v>
      </c>
      <c r="J1223" s="4" t="s">
        <v>60</v>
      </c>
      <c r="K1223" t="s">
        <v>503</v>
      </c>
      <c r="L1223">
        <v>4</v>
      </c>
      <c r="M1223" t="s">
        <v>488</v>
      </c>
      <c r="N1223" t="s">
        <v>488</v>
      </c>
      <c r="O1223" t="s">
        <v>488</v>
      </c>
      <c r="P1223" s="2" t="str">
        <f t="shared" si="57"/>
        <v>07/08/2025 to 12/08/2025</v>
      </c>
      <c r="Q1223" s="3">
        <v>45880</v>
      </c>
      <c r="R1223" t="str">
        <f t="shared" si="58"/>
        <v>On-Time</v>
      </c>
      <c r="S1223" t="s">
        <v>244</v>
      </c>
      <c r="T1223">
        <v>35.5</v>
      </c>
      <c r="U1223" t="s">
        <v>79</v>
      </c>
      <c r="V1223" t="s">
        <v>66</v>
      </c>
      <c r="W1223" t="str">
        <f t="shared" ca="1" si="59"/>
        <v>Dormant</v>
      </c>
    </row>
    <row r="1224" spans="1:23" x14ac:dyDescent="0.2">
      <c r="A1224">
        <v>91</v>
      </c>
      <c r="B1224" t="s">
        <v>486</v>
      </c>
      <c r="C1224" t="s">
        <v>504</v>
      </c>
      <c r="D1224" s="1" t="s">
        <v>488</v>
      </c>
      <c r="E1224" t="s">
        <v>489</v>
      </c>
      <c r="F1224" t="s">
        <v>490</v>
      </c>
      <c r="G1224" s="4" t="s">
        <v>5425</v>
      </c>
      <c r="H1224" t="s">
        <v>491</v>
      </c>
      <c r="I1224" t="s">
        <v>136</v>
      </c>
      <c r="J1224" s="4" t="s">
        <v>74</v>
      </c>
      <c r="K1224" t="s">
        <v>505</v>
      </c>
      <c r="L1224">
        <v>4</v>
      </c>
      <c r="M1224" t="s">
        <v>494</v>
      </c>
      <c r="N1224" t="s">
        <v>495</v>
      </c>
      <c r="O1224" t="s">
        <v>506</v>
      </c>
      <c r="P1224" s="2" t="str">
        <f t="shared" si="57"/>
        <v>11/08/2025 to 14/08/2025</v>
      </c>
      <c r="Q1224" s="3">
        <v>45878</v>
      </c>
      <c r="R1224" t="str">
        <f t="shared" si="58"/>
        <v>Late</v>
      </c>
      <c r="S1224" t="s">
        <v>499</v>
      </c>
      <c r="T1224">
        <v>40.5</v>
      </c>
      <c r="U1224" t="s">
        <v>79</v>
      </c>
      <c r="V1224" t="s">
        <v>80</v>
      </c>
      <c r="W1224" t="str">
        <f t="shared" ca="1" si="59"/>
        <v>Dormant</v>
      </c>
    </row>
    <row r="1225" spans="1:23" x14ac:dyDescent="0.2">
      <c r="A1225">
        <v>235</v>
      </c>
      <c r="B1225" t="s">
        <v>1062</v>
      </c>
      <c r="C1225" t="s">
        <v>1063</v>
      </c>
      <c r="D1225" s="1" t="s">
        <v>488</v>
      </c>
      <c r="E1225" t="s">
        <v>1064</v>
      </c>
      <c r="F1225" t="s">
        <v>110</v>
      </c>
      <c r="G1225" s="4" t="s">
        <v>5424</v>
      </c>
      <c r="H1225" t="s">
        <v>1065</v>
      </c>
      <c r="I1225" t="s">
        <v>93</v>
      </c>
      <c r="J1225" s="4" t="s">
        <v>74</v>
      </c>
      <c r="K1225" t="s">
        <v>1066</v>
      </c>
      <c r="L1225">
        <v>2</v>
      </c>
      <c r="M1225" t="s">
        <v>488</v>
      </c>
      <c r="N1225" t="s">
        <v>493</v>
      </c>
      <c r="O1225" t="s">
        <v>494</v>
      </c>
      <c r="P1225" s="2" t="str">
        <f t="shared" si="57"/>
        <v>07/08/2025 to 12/08/2025</v>
      </c>
      <c r="Q1225" s="3">
        <v>45882</v>
      </c>
      <c r="R1225" t="str">
        <f t="shared" si="58"/>
        <v>Late</v>
      </c>
      <c r="S1225" t="s">
        <v>633</v>
      </c>
      <c r="T1225">
        <v>18</v>
      </c>
      <c r="U1225" t="s">
        <v>65</v>
      </c>
      <c r="V1225" t="s">
        <v>80</v>
      </c>
      <c r="W1225" t="str">
        <f t="shared" ca="1" si="59"/>
        <v>Dormant</v>
      </c>
    </row>
    <row r="1226" spans="1:23" x14ac:dyDescent="0.2">
      <c r="A1226">
        <v>236</v>
      </c>
      <c r="B1226" t="s">
        <v>1062</v>
      </c>
      <c r="C1226" t="s">
        <v>1067</v>
      </c>
      <c r="D1226" s="1" t="s">
        <v>488</v>
      </c>
      <c r="E1226" t="s">
        <v>1064</v>
      </c>
      <c r="F1226" t="s">
        <v>110</v>
      </c>
      <c r="G1226" s="4" t="s">
        <v>5428</v>
      </c>
      <c r="H1226" t="s">
        <v>1065</v>
      </c>
      <c r="I1226" t="s">
        <v>93</v>
      </c>
      <c r="J1226" s="4" t="s">
        <v>74</v>
      </c>
      <c r="K1226" t="s">
        <v>1068</v>
      </c>
      <c r="L1226">
        <v>2</v>
      </c>
      <c r="M1226" t="s">
        <v>493</v>
      </c>
      <c r="N1226" t="s">
        <v>493</v>
      </c>
      <c r="O1226" t="s">
        <v>493</v>
      </c>
      <c r="P1226" s="2" t="str">
        <f t="shared" si="57"/>
        <v>08/08/2025 to 13/08/2025</v>
      </c>
      <c r="Q1226" s="3">
        <v>45881</v>
      </c>
      <c r="R1226" t="str">
        <f t="shared" si="58"/>
        <v>On-Time</v>
      </c>
      <c r="S1226" t="s">
        <v>244</v>
      </c>
      <c r="T1226">
        <v>23</v>
      </c>
      <c r="U1226" t="s">
        <v>79</v>
      </c>
      <c r="V1226" t="s">
        <v>66</v>
      </c>
      <c r="W1226" t="str">
        <f t="shared" ca="1" si="59"/>
        <v>Dormant</v>
      </c>
    </row>
    <row r="1227" spans="1:23" x14ac:dyDescent="0.2">
      <c r="A1227">
        <v>237</v>
      </c>
      <c r="B1227" t="s">
        <v>1062</v>
      </c>
      <c r="C1227" t="s">
        <v>1069</v>
      </c>
      <c r="D1227" s="1" t="s">
        <v>488</v>
      </c>
      <c r="E1227" t="s">
        <v>1064</v>
      </c>
      <c r="F1227" t="s">
        <v>110</v>
      </c>
      <c r="G1227" s="4" t="s">
        <v>5425</v>
      </c>
      <c r="H1227" t="s">
        <v>1065</v>
      </c>
      <c r="I1227" t="s">
        <v>93</v>
      </c>
      <c r="J1227" s="4" t="s">
        <v>60</v>
      </c>
      <c r="K1227" t="s">
        <v>1070</v>
      </c>
      <c r="L1227">
        <v>2</v>
      </c>
      <c r="M1227" t="s">
        <v>488</v>
      </c>
      <c r="N1227" t="s">
        <v>488</v>
      </c>
      <c r="O1227" t="s">
        <v>493</v>
      </c>
      <c r="P1227" s="2" t="str">
        <f t="shared" si="57"/>
        <v>07/08/2025 to 12/08/2025</v>
      </c>
      <c r="Q1227" s="3">
        <v>45879</v>
      </c>
      <c r="R1227" t="str">
        <f t="shared" si="58"/>
        <v>On-Time</v>
      </c>
      <c r="S1227" t="s">
        <v>240</v>
      </c>
      <c r="T1227">
        <v>16</v>
      </c>
      <c r="U1227" t="s">
        <v>65</v>
      </c>
      <c r="V1227" t="s">
        <v>66</v>
      </c>
      <c r="W1227" t="str">
        <f t="shared" ca="1" si="59"/>
        <v>Dormant</v>
      </c>
    </row>
    <row r="1228" spans="1:23" x14ac:dyDescent="0.2">
      <c r="A1228">
        <v>238</v>
      </c>
      <c r="B1228" t="s">
        <v>1062</v>
      </c>
      <c r="C1228" t="s">
        <v>1071</v>
      </c>
      <c r="D1228" s="1" t="s">
        <v>488</v>
      </c>
      <c r="E1228" t="s">
        <v>1064</v>
      </c>
      <c r="F1228" t="s">
        <v>110</v>
      </c>
      <c r="G1228" s="4" t="s">
        <v>5427</v>
      </c>
      <c r="H1228" t="s">
        <v>1065</v>
      </c>
      <c r="I1228" t="s">
        <v>93</v>
      </c>
      <c r="J1228" s="4" t="s">
        <v>5417</v>
      </c>
      <c r="K1228" t="s">
        <v>14</v>
      </c>
      <c r="L1228">
        <v>1</v>
      </c>
      <c r="M1228" t="s">
        <v>494</v>
      </c>
      <c r="N1228" t="s">
        <v>506</v>
      </c>
      <c r="O1228" t="s">
        <v>495</v>
      </c>
      <c r="P1228" s="2" t="str">
        <f t="shared" si="57"/>
        <v>11/08/2025 to 14/08/2025</v>
      </c>
      <c r="Q1228" s="3">
        <v>45880</v>
      </c>
      <c r="R1228" t="str">
        <f t="shared" si="58"/>
        <v>On-Time</v>
      </c>
      <c r="S1228" t="s">
        <v>244</v>
      </c>
      <c r="T1228">
        <v>9.5</v>
      </c>
      <c r="U1228" t="s">
        <v>65</v>
      </c>
      <c r="V1228" t="s">
        <v>66</v>
      </c>
      <c r="W1228" t="str">
        <f t="shared" ca="1" si="59"/>
        <v>Dormant</v>
      </c>
    </row>
    <row r="1229" spans="1:23" x14ac:dyDescent="0.2">
      <c r="A1229">
        <v>239</v>
      </c>
      <c r="B1229" t="s">
        <v>1062</v>
      </c>
      <c r="C1229" t="s">
        <v>1072</v>
      </c>
      <c r="D1229" s="1" t="s">
        <v>488</v>
      </c>
      <c r="E1229" t="s">
        <v>1064</v>
      </c>
      <c r="F1229" t="s">
        <v>110</v>
      </c>
      <c r="G1229" s="4" t="s">
        <v>5418</v>
      </c>
      <c r="H1229" t="s">
        <v>1065</v>
      </c>
      <c r="I1229" t="s">
        <v>93</v>
      </c>
      <c r="J1229" s="4" t="s">
        <v>68</v>
      </c>
      <c r="K1229" t="s">
        <v>1073</v>
      </c>
      <c r="L1229">
        <v>2</v>
      </c>
      <c r="M1229" t="s">
        <v>493</v>
      </c>
      <c r="N1229" t="s">
        <v>495</v>
      </c>
      <c r="O1229" t="s">
        <v>493</v>
      </c>
      <c r="P1229" s="2" t="str">
        <f t="shared" si="57"/>
        <v>08/08/2025 to 13/08/2025</v>
      </c>
      <c r="Q1229" s="3">
        <v>45879</v>
      </c>
      <c r="R1229" t="str">
        <f t="shared" si="58"/>
        <v>On-Time</v>
      </c>
      <c r="S1229" t="s">
        <v>240</v>
      </c>
      <c r="T1229">
        <v>19</v>
      </c>
      <c r="U1229" t="s">
        <v>65</v>
      </c>
      <c r="V1229" t="s">
        <v>72</v>
      </c>
      <c r="W1229" t="str">
        <f t="shared" ca="1" si="59"/>
        <v>Dormant</v>
      </c>
    </row>
    <row r="1230" spans="1:23" x14ac:dyDescent="0.2">
      <c r="A1230">
        <v>770</v>
      </c>
      <c r="B1230" t="s">
        <v>2504</v>
      </c>
      <c r="C1230" t="s">
        <v>2505</v>
      </c>
      <c r="D1230" s="1" t="s">
        <v>488</v>
      </c>
      <c r="E1230" t="s">
        <v>2506</v>
      </c>
      <c r="F1230" t="s">
        <v>266</v>
      </c>
      <c r="G1230" s="4" t="s">
        <v>5420</v>
      </c>
      <c r="H1230" t="s">
        <v>1422</v>
      </c>
      <c r="I1230" t="s">
        <v>136</v>
      </c>
      <c r="J1230" s="4" t="s">
        <v>5417</v>
      </c>
      <c r="K1230" t="s">
        <v>30</v>
      </c>
      <c r="L1230">
        <v>1</v>
      </c>
      <c r="M1230" t="s">
        <v>488</v>
      </c>
      <c r="N1230" t="s">
        <v>494</v>
      </c>
      <c r="O1230" t="s">
        <v>494</v>
      </c>
      <c r="P1230" s="2" t="str">
        <f t="shared" si="57"/>
        <v>07/08/2025 to 12/08/2025</v>
      </c>
      <c r="Q1230" s="3">
        <v>45879</v>
      </c>
      <c r="R1230" t="str">
        <f t="shared" si="58"/>
        <v>On-Time</v>
      </c>
      <c r="S1230" t="s">
        <v>240</v>
      </c>
      <c r="T1230">
        <v>12</v>
      </c>
      <c r="U1230" t="s">
        <v>79</v>
      </c>
      <c r="V1230" t="s">
        <v>72</v>
      </c>
      <c r="W1230" t="str">
        <f t="shared" ca="1" si="59"/>
        <v>Dormant</v>
      </c>
    </row>
    <row r="1231" spans="1:23" x14ac:dyDescent="0.2">
      <c r="A1231">
        <v>771</v>
      </c>
      <c r="B1231" t="s">
        <v>2504</v>
      </c>
      <c r="C1231" t="s">
        <v>2507</v>
      </c>
      <c r="D1231" s="1" t="s">
        <v>488</v>
      </c>
      <c r="E1231" t="s">
        <v>2506</v>
      </c>
      <c r="F1231" t="s">
        <v>266</v>
      </c>
      <c r="G1231" s="4" t="s">
        <v>5427</v>
      </c>
      <c r="H1231" t="s">
        <v>1422</v>
      </c>
      <c r="I1231" t="s">
        <v>136</v>
      </c>
      <c r="J1231" s="4" t="s">
        <v>74</v>
      </c>
      <c r="K1231" t="s">
        <v>2508</v>
      </c>
      <c r="L1231">
        <v>3</v>
      </c>
      <c r="M1231" t="s">
        <v>488</v>
      </c>
      <c r="N1231" t="s">
        <v>494</v>
      </c>
      <c r="O1231" t="s">
        <v>488</v>
      </c>
      <c r="P1231" s="2" t="str">
        <f t="shared" si="57"/>
        <v>07/08/2025 to 12/08/2025</v>
      </c>
      <c r="Q1231" s="3">
        <v>45876</v>
      </c>
      <c r="R1231" t="str">
        <f t="shared" si="58"/>
        <v>On-Time</v>
      </c>
      <c r="S1231" t="s">
        <v>499</v>
      </c>
      <c r="T1231">
        <v>30.5</v>
      </c>
      <c r="U1231" t="s">
        <v>65</v>
      </c>
      <c r="V1231" t="s">
        <v>80</v>
      </c>
      <c r="W1231" t="str">
        <f t="shared" ca="1" si="59"/>
        <v>Dormant</v>
      </c>
    </row>
    <row r="1232" spans="1:23" x14ac:dyDescent="0.2">
      <c r="A1232">
        <v>772</v>
      </c>
      <c r="B1232" t="s">
        <v>2504</v>
      </c>
      <c r="C1232" t="s">
        <v>2509</v>
      </c>
      <c r="D1232" s="1" t="s">
        <v>488</v>
      </c>
      <c r="E1232" t="s">
        <v>2506</v>
      </c>
      <c r="F1232" t="s">
        <v>266</v>
      </c>
      <c r="G1232" s="4" t="s">
        <v>5421</v>
      </c>
      <c r="H1232" t="s">
        <v>1422</v>
      </c>
      <c r="I1232" t="s">
        <v>136</v>
      </c>
      <c r="J1232" s="4" t="s">
        <v>5417</v>
      </c>
      <c r="K1232" t="s">
        <v>454</v>
      </c>
      <c r="L1232">
        <v>2</v>
      </c>
      <c r="M1232" t="s">
        <v>494</v>
      </c>
      <c r="N1232" t="s">
        <v>495</v>
      </c>
      <c r="O1232" t="s">
        <v>506</v>
      </c>
      <c r="P1232" s="2" t="str">
        <f t="shared" si="57"/>
        <v>11/08/2025 to 14/08/2025</v>
      </c>
      <c r="Q1232" s="3">
        <v>45884</v>
      </c>
      <c r="R1232" t="str">
        <f t="shared" si="58"/>
        <v>Late</v>
      </c>
      <c r="S1232" t="s">
        <v>633</v>
      </c>
      <c r="T1232">
        <v>22</v>
      </c>
      <c r="U1232" t="s">
        <v>79</v>
      </c>
      <c r="V1232" t="s">
        <v>66</v>
      </c>
      <c r="W1232" t="str">
        <f t="shared" ca="1" si="59"/>
        <v>Dormant</v>
      </c>
    </row>
    <row r="1233" spans="1:23" x14ac:dyDescent="0.2">
      <c r="A1233">
        <v>773</v>
      </c>
      <c r="B1233" t="s">
        <v>2504</v>
      </c>
      <c r="C1233" t="s">
        <v>2510</v>
      </c>
      <c r="D1233" s="1" t="s">
        <v>488</v>
      </c>
      <c r="E1233" t="s">
        <v>2506</v>
      </c>
      <c r="F1233" t="s">
        <v>266</v>
      </c>
      <c r="G1233" s="4" t="s">
        <v>5419</v>
      </c>
      <c r="H1233" t="s">
        <v>1422</v>
      </c>
      <c r="I1233" t="s">
        <v>136</v>
      </c>
      <c r="J1233" s="4" t="s">
        <v>60</v>
      </c>
      <c r="K1233" t="s">
        <v>717</v>
      </c>
      <c r="L1233">
        <v>2</v>
      </c>
      <c r="M1233" t="s">
        <v>494</v>
      </c>
      <c r="N1233" t="s">
        <v>506</v>
      </c>
      <c r="O1233" t="s">
        <v>506</v>
      </c>
      <c r="P1233" s="2" t="str">
        <f t="shared" si="57"/>
        <v>11/08/2025 to 14/08/2025</v>
      </c>
      <c r="Q1233" s="3">
        <v>45879</v>
      </c>
      <c r="R1233" t="str">
        <f t="shared" si="58"/>
        <v>Late</v>
      </c>
      <c r="S1233" t="s">
        <v>240</v>
      </c>
      <c r="T1233">
        <v>18</v>
      </c>
      <c r="U1233" t="s">
        <v>79</v>
      </c>
      <c r="V1233" t="s">
        <v>66</v>
      </c>
      <c r="W1233" t="str">
        <f t="shared" ca="1" si="59"/>
        <v>Dormant</v>
      </c>
    </row>
    <row r="1234" spans="1:23" x14ac:dyDescent="0.2">
      <c r="A1234">
        <v>774</v>
      </c>
      <c r="B1234" t="s">
        <v>2504</v>
      </c>
      <c r="C1234" t="s">
        <v>2511</v>
      </c>
      <c r="D1234" s="1" t="s">
        <v>488</v>
      </c>
      <c r="E1234" t="s">
        <v>2506</v>
      </c>
      <c r="F1234" t="s">
        <v>266</v>
      </c>
      <c r="G1234" s="4" t="s">
        <v>5422</v>
      </c>
      <c r="H1234" t="s">
        <v>1422</v>
      </c>
      <c r="I1234" t="s">
        <v>136</v>
      </c>
      <c r="J1234" s="4" t="s">
        <v>5417</v>
      </c>
      <c r="K1234" t="s">
        <v>2193</v>
      </c>
      <c r="L1234">
        <v>2</v>
      </c>
      <c r="M1234" t="s">
        <v>488</v>
      </c>
      <c r="N1234" t="s">
        <v>488</v>
      </c>
      <c r="O1234" t="s">
        <v>488</v>
      </c>
      <c r="P1234" s="2" t="str">
        <f t="shared" si="57"/>
        <v>07/08/2025 to 12/08/2025</v>
      </c>
      <c r="Q1234" s="3">
        <v>45879</v>
      </c>
      <c r="R1234" t="str">
        <f t="shared" si="58"/>
        <v>On-Time</v>
      </c>
      <c r="S1234" t="s">
        <v>240</v>
      </c>
      <c r="T1234">
        <v>22.5</v>
      </c>
      <c r="U1234" t="s">
        <v>65</v>
      </c>
      <c r="V1234" t="s">
        <v>66</v>
      </c>
      <c r="W1234" t="str">
        <f t="shared" ca="1" si="59"/>
        <v>Dormant</v>
      </c>
    </row>
    <row r="1235" spans="1:23" x14ac:dyDescent="0.2">
      <c r="A1235">
        <v>1836</v>
      </c>
      <c r="B1235" t="s">
        <v>5035</v>
      </c>
      <c r="C1235" t="s">
        <v>5036</v>
      </c>
      <c r="D1235" s="1" t="s">
        <v>488</v>
      </c>
      <c r="E1235" t="s">
        <v>5037</v>
      </c>
      <c r="F1235" t="s">
        <v>406</v>
      </c>
      <c r="G1235" s="4" t="s">
        <v>5418</v>
      </c>
      <c r="H1235" t="s">
        <v>58</v>
      </c>
      <c r="I1235" t="s">
        <v>93</v>
      </c>
      <c r="J1235" s="4" t="s">
        <v>68</v>
      </c>
      <c r="K1235" t="s">
        <v>5038</v>
      </c>
      <c r="L1235">
        <v>3</v>
      </c>
      <c r="M1235" t="s">
        <v>493</v>
      </c>
      <c r="N1235" t="s">
        <v>493</v>
      </c>
      <c r="O1235" t="s">
        <v>494</v>
      </c>
      <c r="P1235" s="2" t="str">
        <f t="shared" si="57"/>
        <v>08/08/2025 to 13/08/2025</v>
      </c>
      <c r="Q1235" s="3">
        <v>45880</v>
      </c>
      <c r="R1235" t="str">
        <f t="shared" si="58"/>
        <v>On-Time</v>
      </c>
      <c r="S1235" t="s">
        <v>250</v>
      </c>
      <c r="T1235">
        <v>28.5</v>
      </c>
      <c r="U1235" t="s">
        <v>65</v>
      </c>
      <c r="V1235" t="s">
        <v>66</v>
      </c>
      <c r="W1235" t="str">
        <f t="shared" ca="1" si="59"/>
        <v>Dormant</v>
      </c>
    </row>
    <row r="1236" spans="1:23" x14ac:dyDescent="0.2">
      <c r="A1236">
        <v>1837</v>
      </c>
      <c r="B1236" t="s">
        <v>5035</v>
      </c>
      <c r="C1236" t="s">
        <v>5039</v>
      </c>
      <c r="D1236" s="1" t="s">
        <v>488</v>
      </c>
      <c r="E1236" t="s">
        <v>5037</v>
      </c>
      <c r="F1236" t="s">
        <v>406</v>
      </c>
      <c r="G1236" s="4" t="s">
        <v>38</v>
      </c>
      <c r="H1236" t="s">
        <v>58</v>
      </c>
      <c r="I1236" t="s">
        <v>93</v>
      </c>
      <c r="J1236" s="4" t="s">
        <v>74</v>
      </c>
      <c r="K1236" t="s">
        <v>1366</v>
      </c>
      <c r="L1236">
        <v>2</v>
      </c>
      <c r="M1236" t="s">
        <v>494</v>
      </c>
      <c r="N1236" t="s">
        <v>494</v>
      </c>
      <c r="O1236" t="s">
        <v>495</v>
      </c>
      <c r="P1236" s="2" t="str">
        <f t="shared" si="57"/>
        <v>11/08/2025 to 14/08/2025</v>
      </c>
      <c r="Q1236" s="3">
        <v>45880</v>
      </c>
      <c r="R1236" t="str">
        <f t="shared" si="58"/>
        <v>On-Time</v>
      </c>
      <c r="S1236" t="s">
        <v>255</v>
      </c>
      <c r="T1236">
        <v>22</v>
      </c>
      <c r="U1236" t="s">
        <v>65</v>
      </c>
      <c r="V1236" t="s">
        <v>66</v>
      </c>
      <c r="W1236" t="str">
        <f t="shared" ca="1" si="59"/>
        <v>Dormant</v>
      </c>
    </row>
    <row r="1237" spans="1:23" x14ac:dyDescent="0.2">
      <c r="A1237">
        <v>1838</v>
      </c>
      <c r="B1237" t="s">
        <v>5035</v>
      </c>
      <c r="C1237" t="s">
        <v>5040</v>
      </c>
      <c r="D1237" s="1" t="s">
        <v>488</v>
      </c>
      <c r="E1237" t="s">
        <v>5037</v>
      </c>
      <c r="F1237" t="s">
        <v>406</v>
      </c>
      <c r="G1237" s="4" t="s">
        <v>5425</v>
      </c>
      <c r="H1237" t="s">
        <v>58</v>
      </c>
      <c r="I1237" t="s">
        <v>93</v>
      </c>
      <c r="J1237" s="4" t="s">
        <v>5417</v>
      </c>
      <c r="K1237" t="s">
        <v>22</v>
      </c>
      <c r="L1237">
        <v>1</v>
      </c>
      <c r="M1237" t="s">
        <v>493</v>
      </c>
      <c r="N1237" t="s">
        <v>495</v>
      </c>
      <c r="O1237" t="s">
        <v>493</v>
      </c>
      <c r="P1237" s="2" t="str">
        <f t="shared" si="57"/>
        <v>08/08/2025 to 13/08/2025</v>
      </c>
      <c r="Q1237" s="3">
        <v>45879</v>
      </c>
      <c r="R1237" t="str">
        <f t="shared" si="58"/>
        <v>On-Time</v>
      </c>
      <c r="S1237" t="s">
        <v>250</v>
      </c>
      <c r="T1237">
        <v>8</v>
      </c>
      <c r="U1237" t="s">
        <v>65</v>
      </c>
      <c r="V1237" t="s">
        <v>80</v>
      </c>
      <c r="W1237" t="str">
        <f t="shared" ca="1" si="59"/>
        <v>Dormant</v>
      </c>
    </row>
    <row r="1238" spans="1:23" x14ac:dyDescent="0.2">
      <c r="A1238">
        <v>736</v>
      </c>
      <c r="B1238" t="s">
        <v>2419</v>
      </c>
      <c r="C1238" t="s">
        <v>2420</v>
      </c>
      <c r="D1238" s="1" t="s">
        <v>493</v>
      </c>
      <c r="E1238" t="s">
        <v>2421</v>
      </c>
      <c r="F1238" t="s">
        <v>1036</v>
      </c>
      <c r="G1238" s="4" t="s">
        <v>5422</v>
      </c>
      <c r="H1238" t="s">
        <v>2422</v>
      </c>
      <c r="I1238" t="s">
        <v>59</v>
      </c>
      <c r="J1238" s="4" t="s">
        <v>74</v>
      </c>
      <c r="K1238" t="s">
        <v>2156</v>
      </c>
      <c r="L1238">
        <v>2</v>
      </c>
      <c r="M1238" t="s">
        <v>494</v>
      </c>
      <c r="N1238" t="s">
        <v>506</v>
      </c>
      <c r="O1238" t="s">
        <v>495</v>
      </c>
      <c r="P1238" s="2" t="str">
        <f t="shared" si="57"/>
        <v>11/08/2025 to 14/08/2025</v>
      </c>
      <c r="Q1238" s="3">
        <v>45879</v>
      </c>
      <c r="R1238" t="str">
        <f t="shared" si="58"/>
        <v>Late</v>
      </c>
      <c r="S1238" t="s">
        <v>250</v>
      </c>
      <c r="T1238">
        <v>18.5</v>
      </c>
      <c r="U1238" t="s">
        <v>65</v>
      </c>
      <c r="V1238" t="s">
        <v>72</v>
      </c>
      <c r="W1238" t="str">
        <f t="shared" ca="1" si="59"/>
        <v>Dormant</v>
      </c>
    </row>
    <row r="1239" spans="1:23" x14ac:dyDescent="0.2">
      <c r="A1239">
        <v>737</v>
      </c>
      <c r="B1239" t="s">
        <v>2419</v>
      </c>
      <c r="C1239" t="s">
        <v>2423</v>
      </c>
      <c r="D1239" s="1" t="s">
        <v>493</v>
      </c>
      <c r="E1239" t="s">
        <v>2421</v>
      </c>
      <c r="F1239" t="s">
        <v>1036</v>
      </c>
      <c r="G1239" s="4" t="s">
        <v>38</v>
      </c>
      <c r="H1239" t="s">
        <v>2422</v>
      </c>
      <c r="I1239" t="s">
        <v>59</v>
      </c>
      <c r="J1239" s="4" t="s">
        <v>68</v>
      </c>
      <c r="K1239" t="s">
        <v>2424</v>
      </c>
      <c r="L1239">
        <v>3</v>
      </c>
      <c r="M1239" t="s">
        <v>494</v>
      </c>
      <c r="N1239" t="s">
        <v>506</v>
      </c>
      <c r="O1239" t="s">
        <v>495</v>
      </c>
      <c r="P1239" s="2" t="str">
        <f t="shared" si="57"/>
        <v>11/08/2025 to 14/08/2025</v>
      </c>
      <c r="Q1239" s="3">
        <v>45882</v>
      </c>
      <c r="R1239" t="str">
        <f t="shared" si="58"/>
        <v>On-Time</v>
      </c>
      <c r="S1239" t="s">
        <v>255</v>
      </c>
      <c r="T1239">
        <v>27.5</v>
      </c>
      <c r="U1239" t="s">
        <v>79</v>
      </c>
      <c r="V1239" t="s">
        <v>80</v>
      </c>
      <c r="W1239" t="str">
        <f t="shared" ca="1" si="59"/>
        <v>Dormant</v>
      </c>
    </row>
    <row r="1240" spans="1:23" x14ac:dyDescent="0.2">
      <c r="A1240">
        <v>1238</v>
      </c>
      <c r="B1240" t="s">
        <v>3635</v>
      </c>
      <c r="C1240" t="s">
        <v>3636</v>
      </c>
      <c r="D1240" s="1" t="s">
        <v>493</v>
      </c>
      <c r="E1240" t="s">
        <v>3637</v>
      </c>
      <c r="F1240" t="s">
        <v>1154</v>
      </c>
      <c r="G1240" s="4" t="s">
        <v>5419</v>
      </c>
      <c r="H1240" t="s">
        <v>3638</v>
      </c>
      <c r="I1240" t="s">
        <v>201</v>
      </c>
      <c r="J1240" s="4" t="s">
        <v>60</v>
      </c>
      <c r="K1240" t="s">
        <v>14</v>
      </c>
      <c r="L1240">
        <v>1</v>
      </c>
      <c r="M1240" t="s">
        <v>494</v>
      </c>
      <c r="N1240" t="s">
        <v>506</v>
      </c>
      <c r="O1240" t="s">
        <v>506</v>
      </c>
      <c r="P1240" s="2" t="str">
        <f t="shared" si="57"/>
        <v>11/08/2025 to 14/08/2025</v>
      </c>
      <c r="Q1240" s="3">
        <v>45884</v>
      </c>
      <c r="R1240" t="str">
        <f t="shared" si="58"/>
        <v>Late</v>
      </c>
      <c r="S1240" t="s">
        <v>633</v>
      </c>
      <c r="T1240">
        <v>9.5</v>
      </c>
      <c r="U1240" t="s">
        <v>79</v>
      </c>
      <c r="V1240" t="s">
        <v>66</v>
      </c>
      <c r="W1240" t="str">
        <f t="shared" ca="1" si="59"/>
        <v>Dormant</v>
      </c>
    </row>
    <row r="1241" spans="1:23" x14ac:dyDescent="0.2">
      <c r="A1241">
        <v>1239</v>
      </c>
      <c r="B1241" t="s">
        <v>3635</v>
      </c>
      <c r="C1241" t="s">
        <v>3639</v>
      </c>
      <c r="D1241" s="1" t="s">
        <v>493</v>
      </c>
      <c r="E1241" t="s">
        <v>3637</v>
      </c>
      <c r="F1241" t="s">
        <v>1154</v>
      </c>
      <c r="G1241" s="4" t="s">
        <v>5425</v>
      </c>
      <c r="H1241" t="s">
        <v>3638</v>
      </c>
      <c r="I1241" t="s">
        <v>201</v>
      </c>
      <c r="J1241" s="4" t="s">
        <v>74</v>
      </c>
      <c r="K1241" t="s">
        <v>8</v>
      </c>
      <c r="L1241">
        <v>1</v>
      </c>
      <c r="M1241" t="s">
        <v>494</v>
      </c>
      <c r="N1241" t="s">
        <v>506</v>
      </c>
      <c r="O1241" t="s">
        <v>494</v>
      </c>
      <c r="P1241" s="2" t="str">
        <f t="shared" si="57"/>
        <v>11/08/2025 to 14/08/2025</v>
      </c>
      <c r="Q1241" s="3">
        <v>45878</v>
      </c>
      <c r="R1241" t="str">
        <f t="shared" si="58"/>
        <v>Late</v>
      </c>
      <c r="S1241" t="s">
        <v>499</v>
      </c>
      <c r="T1241">
        <v>9</v>
      </c>
      <c r="U1241" t="s">
        <v>65</v>
      </c>
      <c r="V1241" t="s">
        <v>80</v>
      </c>
      <c r="W1241" t="str">
        <f t="shared" ca="1" si="59"/>
        <v>Dormant</v>
      </c>
    </row>
    <row r="1242" spans="1:23" x14ac:dyDescent="0.2">
      <c r="A1242">
        <v>1995</v>
      </c>
      <c r="B1242" t="s">
        <v>5400</v>
      </c>
      <c r="C1242" t="s">
        <v>5401</v>
      </c>
      <c r="D1242" s="1" t="s">
        <v>494</v>
      </c>
      <c r="E1242" t="s">
        <v>5402</v>
      </c>
      <c r="F1242" t="s">
        <v>872</v>
      </c>
      <c r="G1242" s="4" t="s">
        <v>5423</v>
      </c>
      <c r="H1242" t="s">
        <v>1933</v>
      </c>
      <c r="I1242" t="s">
        <v>112</v>
      </c>
      <c r="J1242" s="4" t="s">
        <v>60</v>
      </c>
      <c r="K1242" t="s">
        <v>5403</v>
      </c>
      <c r="L1242">
        <v>2</v>
      </c>
      <c r="M1242" t="s">
        <v>495</v>
      </c>
      <c r="N1242" t="s">
        <v>767</v>
      </c>
      <c r="O1242" t="s">
        <v>506</v>
      </c>
      <c r="P1242" s="2" t="str">
        <f t="shared" si="57"/>
        <v>12/08/2025 to 15/08/2025</v>
      </c>
      <c r="Q1242" s="3">
        <v>45879</v>
      </c>
      <c r="R1242" t="str">
        <f t="shared" si="58"/>
        <v>Late</v>
      </c>
      <c r="S1242" t="s">
        <v>240</v>
      </c>
      <c r="T1242">
        <v>17.5</v>
      </c>
      <c r="U1242" t="s">
        <v>65</v>
      </c>
      <c r="V1242" t="s">
        <v>66</v>
      </c>
      <c r="W1242" t="str">
        <f t="shared" ca="1" si="59"/>
        <v>Dormant</v>
      </c>
    </row>
    <row r="1243" spans="1:23" x14ac:dyDescent="0.2">
      <c r="A1243">
        <v>1996</v>
      </c>
      <c r="B1243" t="s">
        <v>5400</v>
      </c>
      <c r="C1243" t="s">
        <v>5404</v>
      </c>
      <c r="D1243" s="1" t="s">
        <v>494</v>
      </c>
      <c r="E1243" t="s">
        <v>5402</v>
      </c>
      <c r="F1243" t="s">
        <v>872</v>
      </c>
      <c r="G1243" s="4" t="s">
        <v>5427</v>
      </c>
      <c r="H1243" t="s">
        <v>1933</v>
      </c>
      <c r="I1243" t="s">
        <v>112</v>
      </c>
      <c r="J1243" s="4" t="s">
        <v>68</v>
      </c>
      <c r="K1243" t="s">
        <v>5405</v>
      </c>
      <c r="L1243">
        <v>3</v>
      </c>
      <c r="M1243" t="s">
        <v>506</v>
      </c>
      <c r="N1243" t="s">
        <v>767</v>
      </c>
      <c r="O1243" t="s">
        <v>767</v>
      </c>
      <c r="P1243" s="2" t="str">
        <f t="shared" si="57"/>
        <v>12/08/2025 to 15/08/2025</v>
      </c>
      <c r="Q1243" s="3">
        <v>45879</v>
      </c>
      <c r="R1243" t="str">
        <f t="shared" si="58"/>
        <v>Late</v>
      </c>
      <c r="S1243" t="s">
        <v>244</v>
      </c>
      <c r="T1243">
        <v>26.5</v>
      </c>
      <c r="U1243" t="s">
        <v>79</v>
      </c>
      <c r="V1243" t="s">
        <v>72</v>
      </c>
      <c r="W1243" t="str">
        <f t="shared" ca="1" si="59"/>
        <v>Dormant</v>
      </c>
    </row>
    <row r="1244" spans="1:23" x14ac:dyDescent="0.2">
      <c r="A1244">
        <v>1997</v>
      </c>
      <c r="B1244" t="s">
        <v>5400</v>
      </c>
      <c r="C1244" t="s">
        <v>5406</v>
      </c>
      <c r="D1244" s="1" t="s">
        <v>494</v>
      </c>
      <c r="E1244" t="s">
        <v>5402</v>
      </c>
      <c r="F1244" t="s">
        <v>872</v>
      </c>
      <c r="G1244" s="4" t="s">
        <v>5426</v>
      </c>
      <c r="H1244" t="s">
        <v>1933</v>
      </c>
      <c r="I1244" t="s">
        <v>112</v>
      </c>
      <c r="J1244" s="4" t="s">
        <v>5417</v>
      </c>
      <c r="K1244" t="s">
        <v>5407</v>
      </c>
      <c r="L1244">
        <v>4</v>
      </c>
      <c r="M1244" t="s">
        <v>495</v>
      </c>
      <c r="N1244" t="s">
        <v>506</v>
      </c>
      <c r="O1244" t="s">
        <v>767</v>
      </c>
      <c r="P1244" s="2" t="str">
        <f t="shared" si="57"/>
        <v>12/08/2025 to 15/08/2025</v>
      </c>
      <c r="Q1244" s="3">
        <v>45884</v>
      </c>
      <c r="R1244" t="str">
        <f t="shared" si="58"/>
        <v>On-Time</v>
      </c>
      <c r="S1244" t="s">
        <v>892</v>
      </c>
      <c r="T1244">
        <v>35</v>
      </c>
      <c r="U1244" t="s">
        <v>79</v>
      </c>
      <c r="V1244" t="s">
        <v>72</v>
      </c>
      <c r="W1244" t="str">
        <f t="shared" ca="1" si="59"/>
        <v>Dormant</v>
      </c>
    </row>
    <row r="1245" spans="1:23" x14ac:dyDescent="0.2">
      <c r="A1245">
        <v>1998</v>
      </c>
      <c r="B1245" t="s">
        <v>5400</v>
      </c>
      <c r="C1245" t="s">
        <v>5408</v>
      </c>
      <c r="D1245" s="1" t="s">
        <v>494</v>
      </c>
      <c r="E1245" t="s">
        <v>5402</v>
      </c>
      <c r="F1245" t="s">
        <v>872</v>
      </c>
      <c r="G1245" s="4" t="s">
        <v>5425</v>
      </c>
      <c r="H1245" t="s">
        <v>1933</v>
      </c>
      <c r="I1245" t="s">
        <v>112</v>
      </c>
      <c r="J1245" s="4" t="s">
        <v>60</v>
      </c>
      <c r="K1245" t="s">
        <v>18</v>
      </c>
      <c r="L1245">
        <v>1</v>
      </c>
      <c r="M1245" t="s">
        <v>494</v>
      </c>
      <c r="N1245" t="s">
        <v>495</v>
      </c>
      <c r="O1245" t="s">
        <v>494</v>
      </c>
      <c r="P1245" s="2" t="str">
        <f t="shared" si="57"/>
        <v>11/08/2025 to 14/08/2025</v>
      </c>
      <c r="Q1245" s="3">
        <v>45876</v>
      </c>
      <c r="R1245" t="str">
        <f t="shared" si="58"/>
        <v>Late</v>
      </c>
      <c r="S1245" t="s">
        <v>891</v>
      </c>
      <c r="T1245">
        <v>8.5</v>
      </c>
      <c r="U1245" t="s">
        <v>65</v>
      </c>
      <c r="V1245" t="s">
        <v>66</v>
      </c>
      <c r="W1245" t="str">
        <f t="shared" ca="1" si="59"/>
        <v>Dormant</v>
      </c>
    </row>
    <row r="1246" spans="1:23" x14ac:dyDescent="0.2">
      <c r="A1246">
        <v>1252</v>
      </c>
      <c r="B1246" t="s">
        <v>3669</v>
      </c>
      <c r="C1246" t="s">
        <v>3670</v>
      </c>
      <c r="D1246" s="1" t="s">
        <v>495</v>
      </c>
      <c r="E1246" t="s">
        <v>3671</v>
      </c>
      <c r="F1246" t="s">
        <v>1829</v>
      </c>
      <c r="G1246" s="4" t="s">
        <v>5428</v>
      </c>
      <c r="H1246" t="s">
        <v>3672</v>
      </c>
      <c r="I1246" t="s">
        <v>59</v>
      </c>
      <c r="J1246" s="4" t="s">
        <v>60</v>
      </c>
      <c r="K1246" t="s">
        <v>3673</v>
      </c>
      <c r="L1246">
        <v>4</v>
      </c>
      <c r="M1246" t="s">
        <v>767</v>
      </c>
      <c r="N1246" t="s">
        <v>767</v>
      </c>
      <c r="O1246" t="s">
        <v>767</v>
      </c>
      <c r="P1246" s="2" t="str">
        <f t="shared" si="57"/>
        <v>12/08/2025 to 15/08/2025</v>
      </c>
      <c r="Q1246" s="3">
        <v>45883</v>
      </c>
      <c r="R1246" t="str">
        <f t="shared" si="58"/>
        <v>On-Time</v>
      </c>
      <c r="S1246" t="s">
        <v>245</v>
      </c>
      <c r="T1246">
        <v>39</v>
      </c>
      <c r="U1246" t="s">
        <v>65</v>
      </c>
      <c r="V1246" t="s">
        <v>72</v>
      </c>
      <c r="W1246" t="str">
        <f t="shared" ca="1" si="59"/>
        <v>Dormant</v>
      </c>
    </row>
    <row r="1247" spans="1:23" x14ac:dyDescent="0.2">
      <c r="A1247">
        <v>1253</v>
      </c>
      <c r="B1247" t="s">
        <v>3669</v>
      </c>
      <c r="C1247" t="s">
        <v>3674</v>
      </c>
      <c r="D1247" s="1" t="s">
        <v>495</v>
      </c>
      <c r="E1247" t="s">
        <v>3671</v>
      </c>
      <c r="F1247" t="s">
        <v>1829</v>
      </c>
      <c r="G1247" s="4" t="s">
        <v>5420</v>
      </c>
      <c r="H1247" t="s">
        <v>3672</v>
      </c>
      <c r="I1247" t="s">
        <v>59</v>
      </c>
      <c r="J1247" s="4" t="s">
        <v>74</v>
      </c>
      <c r="K1247" t="s">
        <v>3675</v>
      </c>
      <c r="L1247">
        <v>2</v>
      </c>
      <c r="M1247" t="s">
        <v>495</v>
      </c>
      <c r="N1247" t="s">
        <v>506</v>
      </c>
      <c r="O1247" t="s">
        <v>767</v>
      </c>
      <c r="P1247" s="2" t="str">
        <f t="shared" si="57"/>
        <v>12/08/2025 to 15/08/2025</v>
      </c>
      <c r="Q1247" s="3">
        <v>45880</v>
      </c>
      <c r="R1247" t="str">
        <f t="shared" si="58"/>
        <v>Late</v>
      </c>
      <c r="S1247" t="s">
        <v>255</v>
      </c>
      <c r="T1247">
        <v>18.5</v>
      </c>
      <c r="U1247" t="s">
        <v>79</v>
      </c>
      <c r="V1247" t="s">
        <v>72</v>
      </c>
      <c r="W1247" t="str">
        <f t="shared" ca="1" si="59"/>
        <v>Dormant</v>
      </c>
    </row>
    <row r="1248" spans="1:23" x14ac:dyDescent="0.2">
      <c r="A1248">
        <v>1254</v>
      </c>
      <c r="B1248" t="s">
        <v>3669</v>
      </c>
      <c r="C1248" t="s">
        <v>3676</v>
      </c>
      <c r="D1248" s="1" t="s">
        <v>495</v>
      </c>
      <c r="E1248" t="s">
        <v>3671</v>
      </c>
      <c r="F1248" t="s">
        <v>1829</v>
      </c>
      <c r="G1248" s="4" t="s">
        <v>5418</v>
      </c>
      <c r="H1248" t="s">
        <v>3672</v>
      </c>
      <c r="I1248" t="s">
        <v>59</v>
      </c>
      <c r="J1248" s="4" t="s">
        <v>74</v>
      </c>
      <c r="K1248" t="s">
        <v>3677</v>
      </c>
      <c r="L1248">
        <v>4</v>
      </c>
      <c r="M1248" t="s">
        <v>495</v>
      </c>
      <c r="N1248" t="s">
        <v>767</v>
      </c>
      <c r="O1248" t="s">
        <v>506</v>
      </c>
      <c r="P1248" s="2" t="str">
        <f t="shared" si="57"/>
        <v>12/08/2025 to 15/08/2025</v>
      </c>
      <c r="Q1248" s="3">
        <v>45883</v>
      </c>
      <c r="R1248" t="str">
        <f t="shared" si="58"/>
        <v>On-Time</v>
      </c>
      <c r="S1248" t="s">
        <v>245</v>
      </c>
      <c r="T1248">
        <v>38</v>
      </c>
      <c r="U1248" t="s">
        <v>65</v>
      </c>
      <c r="V1248" t="s">
        <v>80</v>
      </c>
      <c r="W1248" t="str">
        <f t="shared" ca="1" si="59"/>
        <v>Dormant</v>
      </c>
    </row>
    <row r="1249" spans="1:23" x14ac:dyDescent="0.2">
      <c r="A1249">
        <v>1255</v>
      </c>
      <c r="B1249" t="s">
        <v>3669</v>
      </c>
      <c r="C1249" t="s">
        <v>3678</v>
      </c>
      <c r="D1249" s="1" t="s">
        <v>495</v>
      </c>
      <c r="E1249" t="s">
        <v>3671</v>
      </c>
      <c r="F1249" t="s">
        <v>1829</v>
      </c>
      <c r="G1249" s="4" t="s">
        <v>5427</v>
      </c>
      <c r="H1249" t="s">
        <v>3672</v>
      </c>
      <c r="I1249" t="s">
        <v>59</v>
      </c>
      <c r="J1249" s="4" t="s">
        <v>60</v>
      </c>
      <c r="K1249" t="s">
        <v>3679</v>
      </c>
      <c r="L1249">
        <v>4</v>
      </c>
      <c r="M1249" t="s">
        <v>495</v>
      </c>
      <c r="N1249" t="s">
        <v>495</v>
      </c>
      <c r="O1249" t="s">
        <v>506</v>
      </c>
      <c r="P1249" s="2" t="str">
        <f t="shared" si="57"/>
        <v>12/08/2025 to 15/08/2025</v>
      </c>
      <c r="Q1249" s="3">
        <v>45879</v>
      </c>
      <c r="R1249" t="str">
        <f t="shared" si="58"/>
        <v>Late</v>
      </c>
      <c r="S1249" t="s">
        <v>250</v>
      </c>
      <c r="T1249">
        <v>37.5</v>
      </c>
      <c r="U1249" t="s">
        <v>65</v>
      </c>
      <c r="V1249" t="s">
        <v>66</v>
      </c>
      <c r="W1249" t="str">
        <f t="shared" ca="1" si="59"/>
        <v>Dormant</v>
      </c>
    </row>
    <row r="1250" spans="1:23" x14ac:dyDescent="0.2">
      <c r="A1250">
        <v>1256</v>
      </c>
      <c r="B1250" t="s">
        <v>3669</v>
      </c>
      <c r="C1250" t="s">
        <v>3680</v>
      </c>
      <c r="D1250" s="1" t="s">
        <v>495</v>
      </c>
      <c r="E1250" t="s">
        <v>3671</v>
      </c>
      <c r="F1250" t="s">
        <v>1829</v>
      </c>
      <c r="G1250" s="4" t="s">
        <v>5427</v>
      </c>
      <c r="H1250" t="s">
        <v>3672</v>
      </c>
      <c r="I1250" t="s">
        <v>59</v>
      </c>
      <c r="J1250" s="4" t="s">
        <v>68</v>
      </c>
      <c r="K1250" t="s">
        <v>3681</v>
      </c>
      <c r="L1250">
        <v>4</v>
      </c>
      <c r="M1250" t="s">
        <v>495</v>
      </c>
      <c r="N1250" t="s">
        <v>767</v>
      </c>
      <c r="O1250" t="s">
        <v>506</v>
      </c>
      <c r="P1250" s="2" t="str">
        <f t="shared" si="57"/>
        <v>12/08/2025 to 15/08/2025</v>
      </c>
      <c r="Q1250" s="3">
        <v>45878</v>
      </c>
      <c r="R1250" t="str">
        <f t="shared" si="58"/>
        <v>Late</v>
      </c>
      <c r="S1250" t="s">
        <v>240</v>
      </c>
      <c r="T1250">
        <v>36.5</v>
      </c>
      <c r="U1250" t="s">
        <v>79</v>
      </c>
      <c r="V1250" t="s">
        <v>72</v>
      </c>
      <c r="W1250" t="str">
        <f t="shared" ca="1" si="59"/>
        <v>Dormant</v>
      </c>
    </row>
    <row r="1251" spans="1:23" x14ac:dyDescent="0.2">
      <c r="A1251">
        <v>1443</v>
      </c>
      <c r="B1251" t="s">
        <v>4127</v>
      </c>
      <c r="C1251" t="s">
        <v>4128</v>
      </c>
      <c r="D1251" s="1" t="s">
        <v>495</v>
      </c>
      <c r="E1251" t="s">
        <v>4129</v>
      </c>
      <c r="F1251" t="s">
        <v>490</v>
      </c>
      <c r="G1251" s="4" t="s">
        <v>5426</v>
      </c>
      <c r="H1251" t="s">
        <v>3842</v>
      </c>
      <c r="I1251" t="s">
        <v>59</v>
      </c>
      <c r="J1251" s="4" t="s">
        <v>74</v>
      </c>
      <c r="K1251" t="s">
        <v>10</v>
      </c>
      <c r="L1251">
        <v>1</v>
      </c>
      <c r="M1251" t="s">
        <v>495</v>
      </c>
      <c r="N1251" t="s">
        <v>506</v>
      </c>
      <c r="O1251" t="s">
        <v>495</v>
      </c>
      <c r="P1251" s="2" t="str">
        <f t="shared" si="57"/>
        <v>12/08/2025 to 15/08/2025</v>
      </c>
      <c r="Q1251" s="3">
        <v>45883</v>
      </c>
      <c r="R1251" t="str">
        <f t="shared" si="58"/>
        <v>On-Time</v>
      </c>
      <c r="S1251" t="s">
        <v>245</v>
      </c>
      <c r="T1251">
        <v>10</v>
      </c>
      <c r="U1251" t="s">
        <v>79</v>
      </c>
      <c r="V1251" t="s">
        <v>72</v>
      </c>
      <c r="W1251" t="str">
        <f t="shared" ca="1" si="59"/>
        <v>Dormant</v>
      </c>
    </row>
    <row r="1252" spans="1:23" x14ac:dyDescent="0.2">
      <c r="A1252">
        <v>289</v>
      </c>
      <c r="B1252" t="s">
        <v>1226</v>
      </c>
      <c r="C1252" t="s">
        <v>1227</v>
      </c>
      <c r="D1252" s="1" t="s">
        <v>506</v>
      </c>
      <c r="E1252" t="s">
        <v>1228</v>
      </c>
      <c r="F1252" t="s">
        <v>1154</v>
      </c>
      <c r="G1252" s="4" t="s">
        <v>5428</v>
      </c>
      <c r="H1252" t="s">
        <v>1229</v>
      </c>
      <c r="I1252" t="s">
        <v>136</v>
      </c>
      <c r="J1252" s="4" t="s">
        <v>74</v>
      </c>
      <c r="K1252" t="s">
        <v>1230</v>
      </c>
      <c r="L1252">
        <v>2</v>
      </c>
      <c r="M1252" t="s">
        <v>762</v>
      </c>
      <c r="N1252" t="s">
        <v>762</v>
      </c>
      <c r="O1252" t="s">
        <v>762</v>
      </c>
      <c r="P1252" s="2" t="str">
        <f t="shared" si="57"/>
        <v>13/08/2025 to 18/08/2025</v>
      </c>
      <c r="Q1252" s="3">
        <v>45881</v>
      </c>
      <c r="R1252" t="str">
        <f t="shared" si="58"/>
        <v>Late</v>
      </c>
      <c r="S1252" t="s">
        <v>244</v>
      </c>
      <c r="T1252">
        <v>19.5</v>
      </c>
      <c r="U1252" t="s">
        <v>79</v>
      </c>
      <c r="V1252" t="s">
        <v>66</v>
      </c>
      <c r="W1252" t="str">
        <f t="shared" ca="1" si="59"/>
        <v>Dormant</v>
      </c>
    </row>
    <row r="1253" spans="1:23" x14ac:dyDescent="0.2">
      <c r="A1253">
        <v>1162</v>
      </c>
      <c r="B1253" t="s">
        <v>3454</v>
      </c>
      <c r="C1253" t="s">
        <v>3455</v>
      </c>
      <c r="D1253" s="1" t="s">
        <v>506</v>
      </c>
      <c r="E1253" t="s">
        <v>3456</v>
      </c>
      <c r="F1253" t="s">
        <v>134</v>
      </c>
      <c r="G1253" s="4" t="s">
        <v>5426</v>
      </c>
      <c r="H1253" t="s">
        <v>1881</v>
      </c>
      <c r="I1253" t="s">
        <v>201</v>
      </c>
      <c r="J1253" s="4" t="s">
        <v>68</v>
      </c>
      <c r="K1253" t="s">
        <v>3457</v>
      </c>
      <c r="L1253">
        <v>2</v>
      </c>
      <c r="M1253" t="s">
        <v>762</v>
      </c>
      <c r="N1253" t="s">
        <v>770</v>
      </c>
      <c r="O1253" t="s">
        <v>763</v>
      </c>
      <c r="P1253" s="2" t="str">
        <f t="shared" si="57"/>
        <v>13/08/2025 to 18/08/2025</v>
      </c>
      <c r="Q1253" s="3">
        <v>45885</v>
      </c>
      <c r="R1253" t="str">
        <f t="shared" si="58"/>
        <v>On-Time</v>
      </c>
      <c r="S1253" t="s">
        <v>892</v>
      </c>
      <c r="T1253">
        <v>20.5</v>
      </c>
      <c r="U1253" t="s">
        <v>65</v>
      </c>
      <c r="V1253" t="s">
        <v>66</v>
      </c>
      <c r="W1253" t="str">
        <f t="shared" ca="1" si="59"/>
        <v>Dormant</v>
      </c>
    </row>
    <row r="1254" spans="1:23" x14ac:dyDescent="0.2">
      <c r="A1254">
        <v>1163</v>
      </c>
      <c r="B1254" t="s">
        <v>3454</v>
      </c>
      <c r="C1254" t="s">
        <v>3458</v>
      </c>
      <c r="D1254" s="1" t="s">
        <v>506</v>
      </c>
      <c r="E1254" t="s">
        <v>3456</v>
      </c>
      <c r="F1254" t="s">
        <v>134</v>
      </c>
      <c r="G1254" s="4" t="s">
        <v>5421</v>
      </c>
      <c r="H1254" t="s">
        <v>1881</v>
      </c>
      <c r="I1254" t="s">
        <v>201</v>
      </c>
      <c r="J1254" s="4" t="s">
        <v>60</v>
      </c>
      <c r="K1254" t="s">
        <v>1926</v>
      </c>
      <c r="L1254">
        <v>2</v>
      </c>
      <c r="M1254" t="s">
        <v>762</v>
      </c>
      <c r="N1254" t="s">
        <v>770</v>
      </c>
      <c r="O1254" t="s">
        <v>770</v>
      </c>
      <c r="P1254" s="2" t="str">
        <f t="shared" si="57"/>
        <v>13/08/2025 to 18/08/2025</v>
      </c>
      <c r="Q1254" s="3">
        <v>45887</v>
      </c>
      <c r="R1254" t="str">
        <f t="shared" si="58"/>
        <v>On-Time</v>
      </c>
      <c r="S1254" t="s">
        <v>269</v>
      </c>
      <c r="T1254">
        <v>17</v>
      </c>
      <c r="U1254" t="s">
        <v>65</v>
      </c>
      <c r="V1254" t="s">
        <v>66</v>
      </c>
      <c r="W1254" t="str">
        <f t="shared" ca="1" si="59"/>
        <v>Dormant</v>
      </c>
    </row>
    <row r="1255" spans="1:23" x14ac:dyDescent="0.2">
      <c r="A1255">
        <v>1164</v>
      </c>
      <c r="B1255" t="s">
        <v>3454</v>
      </c>
      <c r="C1255" t="s">
        <v>3459</v>
      </c>
      <c r="D1255" s="1" t="s">
        <v>506</v>
      </c>
      <c r="E1255" t="s">
        <v>3456</v>
      </c>
      <c r="F1255" t="s">
        <v>134</v>
      </c>
      <c r="G1255" s="4" t="s">
        <v>5426</v>
      </c>
      <c r="H1255" t="s">
        <v>1881</v>
      </c>
      <c r="I1255" t="s">
        <v>201</v>
      </c>
      <c r="J1255" s="4" t="s">
        <v>68</v>
      </c>
      <c r="K1255" t="s">
        <v>22</v>
      </c>
      <c r="L1255">
        <v>1</v>
      </c>
      <c r="M1255" t="s">
        <v>762</v>
      </c>
      <c r="N1255" t="s">
        <v>763</v>
      </c>
      <c r="O1255" t="s">
        <v>770</v>
      </c>
      <c r="P1255" s="2" t="str">
        <f t="shared" si="57"/>
        <v>13/08/2025 to 18/08/2025</v>
      </c>
      <c r="Q1255" s="3">
        <v>45887</v>
      </c>
      <c r="R1255" t="str">
        <f t="shared" si="58"/>
        <v>On-Time</v>
      </c>
      <c r="S1255" t="s">
        <v>269</v>
      </c>
      <c r="T1255">
        <v>8</v>
      </c>
      <c r="U1255" t="s">
        <v>65</v>
      </c>
      <c r="V1255" t="s">
        <v>72</v>
      </c>
      <c r="W1255" t="str">
        <f t="shared" ca="1" si="59"/>
        <v>Dormant</v>
      </c>
    </row>
    <row r="1256" spans="1:23" x14ac:dyDescent="0.2">
      <c r="A1256">
        <v>1165</v>
      </c>
      <c r="B1256" t="s">
        <v>3454</v>
      </c>
      <c r="C1256" t="s">
        <v>3460</v>
      </c>
      <c r="D1256" s="1" t="s">
        <v>506</v>
      </c>
      <c r="E1256" t="s">
        <v>3456</v>
      </c>
      <c r="F1256" t="s">
        <v>134</v>
      </c>
      <c r="G1256" s="4" t="s">
        <v>5426</v>
      </c>
      <c r="H1256" t="s">
        <v>1881</v>
      </c>
      <c r="I1256" t="s">
        <v>201</v>
      </c>
      <c r="J1256" s="4" t="s">
        <v>60</v>
      </c>
      <c r="K1256" t="s">
        <v>8</v>
      </c>
      <c r="L1256">
        <v>1</v>
      </c>
      <c r="M1256" t="s">
        <v>762</v>
      </c>
      <c r="N1256" t="s">
        <v>770</v>
      </c>
      <c r="O1256" t="s">
        <v>763</v>
      </c>
      <c r="P1256" s="2" t="str">
        <f t="shared" si="57"/>
        <v>13/08/2025 to 18/08/2025</v>
      </c>
      <c r="Q1256" s="3">
        <v>45887</v>
      </c>
      <c r="R1256" t="str">
        <f t="shared" si="58"/>
        <v>On-Time</v>
      </c>
      <c r="S1256" t="s">
        <v>270</v>
      </c>
      <c r="T1256">
        <v>9</v>
      </c>
      <c r="U1256" t="s">
        <v>65</v>
      </c>
      <c r="V1256" t="s">
        <v>72</v>
      </c>
      <c r="W1256" t="str">
        <f t="shared" ca="1" si="59"/>
        <v>Dormant</v>
      </c>
    </row>
    <row r="1257" spans="1:23" x14ac:dyDescent="0.2">
      <c r="A1257">
        <v>150</v>
      </c>
      <c r="B1257" t="s">
        <v>765</v>
      </c>
      <c r="C1257" t="s">
        <v>766</v>
      </c>
      <c r="D1257" s="1" t="s">
        <v>767</v>
      </c>
      <c r="E1257" t="s">
        <v>768</v>
      </c>
      <c r="F1257" t="s">
        <v>91</v>
      </c>
      <c r="G1257" s="4" t="s">
        <v>5423</v>
      </c>
      <c r="H1257" t="s">
        <v>769</v>
      </c>
      <c r="I1257" t="s">
        <v>201</v>
      </c>
      <c r="J1257" s="4" t="s">
        <v>68</v>
      </c>
      <c r="K1257" t="s">
        <v>483</v>
      </c>
      <c r="L1257">
        <v>2</v>
      </c>
      <c r="M1257" t="s">
        <v>762</v>
      </c>
      <c r="N1257" t="s">
        <v>770</v>
      </c>
      <c r="O1257" t="s">
        <v>762</v>
      </c>
      <c r="P1257" s="2" t="str">
        <f t="shared" si="57"/>
        <v>13/08/2025 to 18/08/2025</v>
      </c>
      <c r="Q1257" s="3">
        <v>45882</v>
      </c>
      <c r="R1257" t="str">
        <f t="shared" si="58"/>
        <v>On-Time</v>
      </c>
      <c r="S1257" t="s">
        <v>245</v>
      </c>
      <c r="T1257">
        <v>19.5</v>
      </c>
      <c r="U1257" t="s">
        <v>65</v>
      </c>
      <c r="V1257" t="s">
        <v>80</v>
      </c>
      <c r="W1257" t="str">
        <f t="shared" ca="1" si="59"/>
        <v>Dormant</v>
      </c>
    </row>
    <row r="1258" spans="1:23" x14ac:dyDescent="0.2">
      <c r="A1258">
        <v>151</v>
      </c>
      <c r="B1258" t="s">
        <v>765</v>
      </c>
      <c r="C1258" t="s">
        <v>771</v>
      </c>
      <c r="D1258" s="1" t="s">
        <v>767</v>
      </c>
      <c r="E1258" t="s">
        <v>768</v>
      </c>
      <c r="F1258" t="s">
        <v>91</v>
      </c>
      <c r="G1258" s="4" t="s">
        <v>38</v>
      </c>
      <c r="H1258" t="s">
        <v>769</v>
      </c>
      <c r="I1258" t="s">
        <v>201</v>
      </c>
      <c r="J1258" s="4" t="s">
        <v>68</v>
      </c>
      <c r="K1258" t="s">
        <v>772</v>
      </c>
      <c r="L1258">
        <v>3</v>
      </c>
      <c r="M1258" t="s">
        <v>762</v>
      </c>
      <c r="N1258" t="s">
        <v>763</v>
      </c>
      <c r="O1258" t="s">
        <v>763</v>
      </c>
      <c r="P1258" s="2" t="str">
        <f t="shared" si="57"/>
        <v>13/08/2025 to 18/08/2025</v>
      </c>
      <c r="Q1258" s="3">
        <v>45882</v>
      </c>
      <c r="R1258" t="str">
        <f t="shared" si="58"/>
        <v>On-Time</v>
      </c>
      <c r="S1258" t="s">
        <v>245</v>
      </c>
      <c r="T1258">
        <v>28</v>
      </c>
      <c r="U1258" t="s">
        <v>79</v>
      </c>
      <c r="V1258" t="s">
        <v>66</v>
      </c>
      <c r="W1258" t="str">
        <f t="shared" ca="1" si="59"/>
        <v>Dormant</v>
      </c>
    </row>
    <row r="1259" spans="1:23" x14ac:dyDescent="0.2">
      <c r="A1259">
        <v>152</v>
      </c>
      <c r="B1259" t="s">
        <v>765</v>
      </c>
      <c r="C1259" t="s">
        <v>773</v>
      </c>
      <c r="D1259" s="1" t="s">
        <v>767</v>
      </c>
      <c r="E1259" t="s">
        <v>768</v>
      </c>
      <c r="F1259" t="s">
        <v>91</v>
      </c>
      <c r="G1259" s="4" t="s">
        <v>5426</v>
      </c>
      <c r="H1259" t="s">
        <v>769</v>
      </c>
      <c r="I1259" t="s">
        <v>201</v>
      </c>
      <c r="J1259" s="4" t="s">
        <v>74</v>
      </c>
      <c r="K1259" t="s">
        <v>774</v>
      </c>
      <c r="L1259">
        <v>3</v>
      </c>
      <c r="M1259" t="s">
        <v>767</v>
      </c>
      <c r="N1259" t="s">
        <v>762</v>
      </c>
      <c r="O1259" t="s">
        <v>763</v>
      </c>
      <c r="P1259" s="2" t="str">
        <f t="shared" si="57"/>
        <v>12/08/2025 to 15/08/2025</v>
      </c>
      <c r="Q1259" s="3">
        <v>45885</v>
      </c>
      <c r="R1259" t="str">
        <f t="shared" si="58"/>
        <v>Late</v>
      </c>
      <c r="S1259" t="s">
        <v>269</v>
      </c>
      <c r="T1259">
        <v>27</v>
      </c>
      <c r="U1259" t="s">
        <v>79</v>
      </c>
      <c r="V1259" t="s">
        <v>80</v>
      </c>
      <c r="W1259" t="str">
        <f t="shared" ca="1" si="59"/>
        <v>Dormant</v>
      </c>
    </row>
    <row r="1260" spans="1:23" x14ac:dyDescent="0.2">
      <c r="A1260">
        <v>1907</v>
      </c>
      <c r="B1260" t="s">
        <v>5196</v>
      </c>
      <c r="C1260" t="s">
        <v>5197</v>
      </c>
      <c r="D1260" s="1" t="s">
        <v>767</v>
      </c>
      <c r="E1260" t="s">
        <v>5198</v>
      </c>
      <c r="F1260" t="s">
        <v>600</v>
      </c>
      <c r="G1260" s="4" t="s">
        <v>5418</v>
      </c>
      <c r="H1260" t="s">
        <v>4114</v>
      </c>
      <c r="I1260" t="s">
        <v>112</v>
      </c>
      <c r="J1260" s="4" t="s">
        <v>60</v>
      </c>
      <c r="K1260" t="s">
        <v>5199</v>
      </c>
      <c r="L1260">
        <v>3</v>
      </c>
      <c r="M1260" t="s">
        <v>767</v>
      </c>
      <c r="N1260" t="s">
        <v>763</v>
      </c>
      <c r="O1260" t="s">
        <v>767</v>
      </c>
      <c r="P1260" s="2" t="str">
        <f t="shared" si="57"/>
        <v>12/08/2025 to 15/08/2025</v>
      </c>
      <c r="Q1260" s="3">
        <v>45884</v>
      </c>
      <c r="R1260" t="str">
        <f t="shared" si="58"/>
        <v>On-Time</v>
      </c>
      <c r="S1260" t="s">
        <v>892</v>
      </c>
      <c r="T1260">
        <v>26.5</v>
      </c>
      <c r="U1260" t="s">
        <v>79</v>
      </c>
      <c r="V1260" t="s">
        <v>66</v>
      </c>
      <c r="W1260" t="str">
        <f t="shared" ca="1" si="59"/>
        <v>Dormant</v>
      </c>
    </row>
    <row r="1261" spans="1:23" x14ac:dyDescent="0.2">
      <c r="A1261">
        <v>1908</v>
      </c>
      <c r="B1261" t="s">
        <v>5196</v>
      </c>
      <c r="C1261" t="s">
        <v>5200</v>
      </c>
      <c r="D1261" s="1" t="s">
        <v>767</v>
      </c>
      <c r="E1261" t="s">
        <v>5198</v>
      </c>
      <c r="F1261" t="s">
        <v>600</v>
      </c>
      <c r="G1261" s="4" t="s">
        <v>5418</v>
      </c>
      <c r="H1261" t="s">
        <v>4114</v>
      </c>
      <c r="I1261" t="s">
        <v>112</v>
      </c>
      <c r="J1261" s="4" t="s">
        <v>74</v>
      </c>
      <c r="K1261" t="s">
        <v>1610</v>
      </c>
      <c r="L1261">
        <v>2</v>
      </c>
      <c r="M1261" t="s">
        <v>763</v>
      </c>
      <c r="N1261" t="s">
        <v>770</v>
      </c>
      <c r="O1261" t="s">
        <v>763</v>
      </c>
      <c r="P1261" s="2" t="str">
        <f t="shared" si="57"/>
        <v>14/08/2025 to 19/08/2025</v>
      </c>
      <c r="Q1261" s="3">
        <v>45881</v>
      </c>
      <c r="R1261" t="str">
        <f t="shared" si="58"/>
        <v>Late</v>
      </c>
      <c r="S1261" t="s">
        <v>255</v>
      </c>
      <c r="T1261">
        <v>21.5</v>
      </c>
      <c r="U1261" t="s">
        <v>65</v>
      </c>
      <c r="V1261" t="s">
        <v>80</v>
      </c>
      <c r="W1261" t="str">
        <f t="shared" ca="1" si="59"/>
        <v>Dormant</v>
      </c>
    </row>
    <row r="1262" spans="1:23" x14ac:dyDescent="0.2">
      <c r="A1262">
        <v>1909</v>
      </c>
      <c r="B1262" t="s">
        <v>5196</v>
      </c>
      <c r="C1262" t="s">
        <v>5201</v>
      </c>
      <c r="D1262" s="1" t="s">
        <v>767</v>
      </c>
      <c r="E1262" t="s">
        <v>5198</v>
      </c>
      <c r="F1262" t="s">
        <v>600</v>
      </c>
      <c r="G1262" s="4" t="s">
        <v>5423</v>
      </c>
      <c r="H1262" t="s">
        <v>4114</v>
      </c>
      <c r="I1262" t="s">
        <v>112</v>
      </c>
      <c r="J1262" s="4" t="s">
        <v>74</v>
      </c>
      <c r="K1262" t="s">
        <v>5202</v>
      </c>
      <c r="L1262">
        <v>4</v>
      </c>
      <c r="M1262" t="s">
        <v>767</v>
      </c>
      <c r="N1262" t="s">
        <v>762</v>
      </c>
      <c r="O1262" t="s">
        <v>763</v>
      </c>
      <c r="P1262" s="2" t="str">
        <f t="shared" si="57"/>
        <v>12/08/2025 to 15/08/2025</v>
      </c>
      <c r="Q1262" s="3">
        <v>45887</v>
      </c>
      <c r="R1262" t="str">
        <f t="shared" si="58"/>
        <v>Late</v>
      </c>
      <c r="S1262" t="s">
        <v>270</v>
      </c>
      <c r="T1262">
        <v>43</v>
      </c>
      <c r="U1262" t="s">
        <v>65</v>
      </c>
      <c r="V1262" t="s">
        <v>80</v>
      </c>
      <c r="W1262" t="str">
        <f t="shared" ca="1" si="59"/>
        <v>Dormant</v>
      </c>
    </row>
    <row r="1263" spans="1:23" x14ac:dyDescent="0.2">
      <c r="A1263">
        <v>342</v>
      </c>
      <c r="B1263" t="s">
        <v>1377</v>
      </c>
      <c r="C1263" t="s">
        <v>1378</v>
      </c>
      <c r="D1263" s="1" t="s">
        <v>762</v>
      </c>
      <c r="E1263" t="s">
        <v>1379</v>
      </c>
      <c r="F1263" t="s">
        <v>1003</v>
      </c>
      <c r="G1263" s="4" t="s">
        <v>5426</v>
      </c>
      <c r="H1263" t="s">
        <v>1380</v>
      </c>
      <c r="I1263" t="s">
        <v>93</v>
      </c>
      <c r="J1263" s="4" t="s">
        <v>68</v>
      </c>
      <c r="K1263" t="s">
        <v>1381</v>
      </c>
      <c r="L1263">
        <v>3</v>
      </c>
      <c r="M1263" t="s">
        <v>770</v>
      </c>
      <c r="N1263" t="s">
        <v>498</v>
      </c>
      <c r="O1263" t="s">
        <v>891</v>
      </c>
      <c r="P1263" s="2" t="str">
        <f t="shared" si="57"/>
        <v>15/08/2025 to 20/08/2025</v>
      </c>
      <c r="Q1263" s="3">
        <v>45888</v>
      </c>
      <c r="R1263" t="str">
        <f t="shared" si="58"/>
        <v>On-Time</v>
      </c>
      <c r="S1263" t="s">
        <v>270</v>
      </c>
      <c r="T1263">
        <v>27.5</v>
      </c>
      <c r="U1263" t="s">
        <v>79</v>
      </c>
      <c r="V1263" t="s">
        <v>72</v>
      </c>
      <c r="W1263" t="str">
        <f t="shared" ca="1" si="59"/>
        <v>Dormant</v>
      </c>
    </row>
    <row r="1264" spans="1:23" x14ac:dyDescent="0.2">
      <c r="A1264">
        <v>369</v>
      </c>
      <c r="B1264" t="s">
        <v>1449</v>
      </c>
      <c r="C1264" t="s">
        <v>1450</v>
      </c>
      <c r="D1264" s="1" t="s">
        <v>762</v>
      </c>
      <c r="E1264" t="s">
        <v>1451</v>
      </c>
      <c r="F1264" t="s">
        <v>1036</v>
      </c>
      <c r="G1264" s="4" t="s">
        <v>5419</v>
      </c>
      <c r="H1264" t="s">
        <v>882</v>
      </c>
      <c r="I1264" t="s">
        <v>201</v>
      </c>
      <c r="J1264" s="4" t="s">
        <v>5417</v>
      </c>
      <c r="K1264" t="s">
        <v>1452</v>
      </c>
      <c r="L1264">
        <v>4</v>
      </c>
      <c r="M1264" t="s">
        <v>762</v>
      </c>
      <c r="N1264" t="s">
        <v>763</v>
      </c>
      <c r="O1264" t="s">
        <v>762</v>
      </c>
      <c r="P1264" s="2" t="str">
        <f t="shared" si="57"/>
        <v>13/08/2025 to 18/08/2025</v>
      </c>
      <c r="Q1264" s="3">
        <v>45882</v>
      </c>
      <c r="R1264" t="str">
        <f t="shared" si="58"/>
        <v>On-Time</v>
      </c>
      <c r="S1264" t="s">
        <v>255</v>
      </c>
      <c r="T1264">
        <v>36</v>
      </c>
      <c r="U1264" t="s">
        <v>65</v>
      </c>
      <c r="V1264" t="s">
        <v>66</v>
      </c>
      <c r="W1264" t="str">
        <f t="shared" ca="1" si="59"/>
        <v>Dormant</v>
      </c>
    </row>
    <row r="1265" spans="1:23" x14ac:dyDescent="0.2">
      <c r="A1265">
        <v>370</v>
      </c>
      <c r="B1265" t="s">
        <v>1449</v>
      </c>
      <c r="C1265" t="s">
        <v>1453</v>
      </c>
      <c r="D1265" s="1" t="s">
        <v>762</v>
      </c>
      <c r="E1265" t="s">
        <v>1451</v>
      </c>
      <c r="F1265" t="s">
        <v>1036</v>
      </c>
      <c r="G1265" s="4" t="s">
        <v>5424</v>
      </c>
      <c r="H1265" t="s">
        <v>882</v>
      </c>
      <c r="I1265" t="s">
        <v>201</v>
      </c>
      <c r="J1265" s="4" t="s">
        <v>60</v>
      </c>
      <c r="K1265" t="s">
        <v>14</v>
      </c>
      <c r="L1265">
        <v>1</v>
      </c>
      <c r="M1265" t="s">
        <v>762</v>
      </c>
      <c r="N1265" t="s">
        <v>762</v>
      </c>
      <c r="O1265" t="s">
        <v>762</v>
      </c>
      <c r="P1265" s="2" t="str">
        <f t="shared" si="57"/>
        <v>13/08/2025 to 18/08/2025</v>
      </c>
      <c r="Q1265" s="3">
        <v>45883</v>
      </c>
      <c r="R1265" t="str">
        <f t="shared" si="58"/>
        <v>On-Time</v>
      </c>
      <c r="S1265" t="s">
        <v>245</v>
      </c>
      <c r="T1265">
        <v>9.5</v>
      </c>
      <c r="U1265" t="s">
        <v>65</v>
      </c>
      <c r="V1265" t="s">
        <v>72</v>
      </c>
      <c r="W1265" t="str">
        <f t="shared" ca="1" si="59"/>
        <v>Dormant</v>
      </c>
    </row>
    <row r="1266" spans="1:23" x14ac:dyDescent="0.2">
      <c r="A1266">
        <v>1076</v>
      </c>
      <c r="B1266" t="s">
        <v>3247</v>
      </c>
      <c r="C1266" t="s">
        <v>3248</v>
      </c>
      <c r="D1266" s="1" t="s">
        <v>762</v>
      </c>
      <c r="E1266" t="s">
        <v>3249</v>
      </c>
      <c r="F1266" t="s">
        <v>286</v>
      </c>
      <c r="G1266" s="4" t="s">
        <v>5427</v>
      </c>
      <c r="H1266" t="s">
        <v>3250</v>
      </c>
      <c r="I1266" t="s">
        <v>136</v>
      </c>
      <c r="J1266" s="4" t="s">
        <v>74</v>
      </c>
      <c r="K1266" t="s">
        <v>22</v>
      </c>
      <c r="L1266">
        <v>1</v>
      </c>
      <c r="M1266" t="s">
        <v>762</v>
      </c>
      <c r="N1266" t="s">
        <v>763</v>
      </c>
      <c r="O1266" t="s">
        <v>770</v>
      </c>
      <c r="P1266" s="2" t="str">
        <f t="shared" si="57"/>
        <v>13/08/2025 to 18/08/2025</v>
      </c>
      <c r="Q1266" s="3">
        <v>45887</v>
      </c>
      <c r="R1266" t="str">
        <f t="shared" si="58"/>
        <v>On-Time</v>
      </c>
      <c r="S1266" t="s">
        <v>269</v>
      </c>
      <c r="T1266">
        <v>8</v>
      </c>
      <c r="U1266" t="s">
        <v>65</v>
      </c>
      <c r="V1266" t="s">
        <v>66</v>
      </c>
      <c r="W1266" t="str">
        <f t="shared" ca="1" si="59"/>
        <v>Dormant</v>
      </c>
    </row>
    <row r="1267" spans="1:23" x14ac:dyDescent="0.2">
      <c r="A1267">
        <v>185</v>
      </c>
      <c r="B1267" t="s">
        <v>885</v>
      </c>
      <c r="C1267" t="s">
        <v>886</v>
      </c>
      <c r="D1267" s="1" t="s">
        <v>763</v>
      </c>
      <c r="E1267" t="s">
        <v>887</v>
      </c>
      <c r="F1267" t="s">
        <v>803</v>
      </c>
      <c r="G1267" s="4" t="s">
        <v>38</v>
      </c>
      <c r="H1267" t="s">
        <v>690</v>
      </c>
      <c r="I1267" t="s">
        <v>136</v>
      </c>
      <c r="J1267" s="4" t="s">
        <v>68</v>
      </c>
      <c r="K1267" t="s">
        <v>888</v>
      </c>
      <c r="L1267">
        <v>4</v>
      </c>
      <c r="M1267" t="s">
        <v>763</v>
      </c>
      <c r="N1267" t="s">
        <v>763</v>
      </c>
      <c r="O1267" t="s">
        <v>770</v>
      </c>
      <c r="P1267" s="2" t="str">
        <f t="shared" si="57"/>
        <v>14/08/2025 to 19/08/2025</v>
      </c>
      <c r="Q1267" s="3">
        <v>45882</v>
      </c>
      <c r="R1267" t="str">
        <f t="shared" si="58"/>
        <v>Late</v>
      </c>
      <c r="S1267" t="s">
        <v>255</v>
      </c>
      <c r="T1267">
        <v>38</v>
      </c>
      <c r="U1267" t="s">
        <v>65</v>
      </c>
      <c r="V1267" t="s">
        <v>72</v>
      </c>
      <c r="W1267" t="str">
        <f t="shared" ca="1" si="59"/>
        <v>Dormant</v>
      </c>
    </row>
    <row r="1268" spans="1:23" x14ac:dyDescent="0.2">
      <c r="A1268">
        <v>186</v>
      </c>
      <c r="B1268" t="s">
        <v>885</v>
      </c>
      <c r="C1268" t="s">
        <v>889</v>
      </c>
      <c r="D1268" s="1" t="s">
        <v>763</v>
      </c>
      <c r="E1268" t="s">
        <v>887</v>
      </c>
      <c r="F1268" t="s">
        <v>803</v>
      </c>
      <c r="G1268" s="4" t="s">
        <v>5424</v>
      </c>
      <c r="H1268" t="s">
        <v>690</v>
      </c>
      <c r="I1268" t="s">
        <v>136</v>
      </c>
      <c r="J1268" s="4" t="s">
        <v>5417</v>
      </c>
      <c r="K1268" t="s">
        <v>890</v>
      </c>
      <c r="L1268">
        <v>4</v>
      </c>
      <c r="M1268" t="s">
        <v>763</v>
      </c>
      <c r="N1268" t="s">
        <v>891</v>
      </c>
      <c r="O1268" t="s">
        <v>891</v>
      </c>
      <c r="P1268" s="2" t="str">
        <f t="shared" si="57"/>
        <v>14/08/2025 to 19/08/2025</v>
      </c>
      <c r="Q1268" s="3">
        <v>45886</v>
      </c>
      <c r="R1268" t="str">
        <f t="shared" si="58"/>
        <v>On-Time</v>
      </c>
      <c r="S1268" t="s">
        <v>269</v>
      </c>
      <c r="T1268">
        <v>37.5</v>
      </c>
      <c r="U1268" t="s">
        <v>79</v>
      </c>
      <c r="V1268" t="s">
        <v>66</v>
      </c>
      <c r="W1268" t="str">
        <f t="shared" ca="1" si="59"/>
        <v>Dormant</v>
      </c>
    </row>
    <row r="1269" spans="1:23" x14ac:dyDescent="0.2">
      <c r="A1269">
        <v>187</v>
      </c>
      <c r="B1269" t="s">
        <v>885</v>
      </c>
      <c r="C1269" t="s">
        <v>893</v>
      </c>
      <c r="D1269" s="1" t="s">
        <v>763</v>
      </c>
      <c r="E1269" t="s">
        <v>887</v>
      </c>
      <c r="F1269" t="s">
        <v>803</v>
      </c>
      <c r="G1269" s="4" t="s">
        <v>5427</v>
      </c>
      <c r="H1269" t="s">
        <v>690</v>
      </c>
      <c r="I1269" t="s">
        <v>136</v>
      </c>
      <c r="J1269" s="4" t="s">
        <v>5417</v>
      </c>
      <c r="K1269" t="s">
        <v>894</v>
      </c>
      <c r="L1269">
        <v>2</v>
      </c>
      <c r="M1269" t="s">
        <v>770</v>
      </c>
      <c r="N1269" t="s">
        <v>891</v>
      </c>
      <c r="O1269" t="s">
        <v>770</v>
      </c>
      <c r="P1269" s="2" t="str">
        <f t="shared" si="57"/>
        <v>15/08/2025 to 20/08/2025</v>
      </c>
      <c r="Q1269" s="3">
        <v>45887</v>
      </c>
      <c r="R1269" t="str">
        <f t="shared" si="58"/>
        <v>On-Time</v>
      </c>
      <c r="S1269" t="s">
        <v>269</v>
      </c>
      <c r="T1269">
        <v>18</v>
      </c>
      <c r="U1269" t="s">
        <v>79</v>
      </c>
      <c r="V1269" t="s">
        <v>66</v>
      </c>
      <c r="W1269" t="str">
        <f t="shared" ca="1" si="59"/>
        <v>Dormant</v>
      </c>
    </row>
    <row r="1270" spans="1:23" x14ac:dyDescent="0.2">
      <c r="A1270">
        <v>188</v>
      </c>
      <c r="B1270" t="s">
        <v>885</v>
      </c>
      <c r="C1270" t="s">
        <v>895</v>
      </c>
      <c r="D1270" s="1" t="s">
        <v>763</v>
      </c>
      <c r="E1270" t="s">
        <v>887</v>
      </c>
      <c r="F1270" t="s">
        <v>803</v>
      </c>
      <c r="G1270" s="4" t="s">
        <v>5426</v>
      </c>
      <c r="H1270" t="s">
        <v>690</v>
      </c>
      <c r="I1270" t="s">
        <v>136</v>
      </c>
      <c r="J1270" s="4" t="s">
        <v>5417</v>
      </c>
      <c r="K1270" t="s">
        <v>896</v>
      </c>
      <c r="L1270">
        <v>2</v>
      </c>
      <c r="M1270" t="s">
        <v>891</v>
      </c>
      <c r="N1270" t="s">
        <v>499</v>
      </c>
      <c r="O1270" t="s">
        <v>498</v>
      </c>
      <c r="P1270" s="2" t="str">
        <f t="shared" si="57"/>
        <v>18/08/2025 to 21/08/2025</v>
      </c>
      <c r="Q1270" s="3">
        <v>45885</v>
      </c>
      <c r="R1270" t="str">
        <f t="shared" si="58"/>
        <v>Late</v>
      </c>
      <c r="S1270" t="s">
        <v>264</v>
      </c>
      <c r="T1270">
        <v>18.5</v>
      </c>
      <c r="U1270" t="s">
        <v>65</v>
      </c>
      <c r="V1270" t="s">
        <v>72</v>
      </c>
      <c r="W1270" t="str">
        <f t="shared" ca="1" si="59"/>
        <v>Dormant</v>
      </c>
    </row>
    <row r="1271" spans="1:23" x14ac:dyDescent="0.2">
      <c r="A1271">
        <v>1215</v>
      </c>
      <c r="B1271" t="s">
        <v>3584</v>
      </c>
      <c r="C1271" t="s">
        <v>3585</v>
      </c>
      <c r="D1271" s="1" t="s">
        <v>763</v>
      </c>
      <c r="E1271" t="s">
        <v>3586</v>
      </c>
      <c r="F1271" t="s">
        <v>1204</v>
      </c>
      <c r="G1271" s="4" t="s">
        <v>5420</v>
      </c>
      <c r="H1271" t="s">
        <v>3587</v>
      </c>
      <c r="I1271" t="s">
        <v>112</v>
      </c>
      <c r="J1271" s="4" t="s">
        <v>5417</v>
      </c>
      <c r="K1271" t="s">
        <v>3588</v>
      </c>
      <c r="L1271">
        <v>4</v>
      </c>
      <c r="M1271" t="s">
        <v>770</v>
      </c>
      <c r="N1271" t="s">
        <v>498</v>
      </c>
      <c r="O1271" t="s">
        <v>498</v>
      </c>
      <c r="P1271" s="2" t="str">
        <f t="shared" si="57"/>
        <v>15/08/2025 to 20/08/2025</v>
      </c>
      <c r="Q1271" s="3">
        <v>45887</v>
      </c>
      <c r="R1271" t="str">
        <f t="shared" si="58"/>
        <v>On-Time</v>
      </c>
      <c r="S1271" t="s">
        <v>269</v>
      </c>
      <c r="T1271">
        <v>36.5</v>
      </c>
      <c r="U1271" t="s">
        <v>79</v>
      </c>
      <c r="V1271" t="s">
        <v>66</v>
      </c>
      <c r="W1271" t="str">
        <f t="shared" ca="1" si="59"/>
        <v>Dormant</v>
      </c>
    </row>
    <row r="1272" spans="1:23" x14ac:dyDescent="0.2">
      <c r="A1272">
        <v>1216</v>
      </c>
      <c r="B1272" t="s">
        <v>3584</v>
      </c>
      <c r="C1272" t="s">
        <v>3589</v>
      </c>
      <c r="D1272" s="1" t="s">
        <v>763</v>
      </c>
      <c r="E1272" t="s">
        <v>3586</v>
      </c>
      <c r="F1272" t="s">
        <v>1204</v>
      </c>
      <c r="G1272" s="4" t="s">
        <v>5418</v>
      </c>
      <c r="H1272" t="s">
        <v>3587</v>
      </c>
      <c r="I1272" t="s">
        <v>112</v>
      </c>
      <c r="J1272" s="4" t="s">
        <v>68</v>
      </c>
      <c r="K1272" t="s">
        <v>3590</v>
      </c>
      <c r="L1272">
        <v>4</v>
      </c>
      <c r="M1272" t="s">
        <v>891</v>
      </c>
      <c r="N1272" t="s">
        <v>499</v>
      </c>
      <c r="O1272" t="s">
        <v>498</v>
      </c>
      <c r="P1272" s="2" t="str">
        <f t="shared" si="57"/>
        <v>18/08/2025 to 21/08/2025</v>
      </c>
      <c r="Q1272" s="3">
        <v>45886</v>
      </c>
      <c r="R1272" t="str">
        <f t="shared" si="58"/>
        <v>Late</v>
      </c>
      <c r="S1272" t="s">
        <v>269</v>
      </c>
      <c r="T1272">
        <v>37</v>
      </c>
      <c r="U1272" t="s">
        <v>79</v>
      </c>
      <c r="V1272" t="s">
        <v>66</v>
      </c>
      <c r="W1272" t="str">
        <f t="shared" ca="1" si="59"/>
        <v>Dormant</v>
      </c>
    </row>
    <row r="1273" spans="1:23" x14ac:dyDescent="0.2">
      <c r="A1273">
        <v>1217</v>
      </c>
      <c r="B1273" t="s">
        <v>3584</v>
      </c>
      <c r="C1273" t="s">
        <v>3591</v>
      </c>
      <c r="D1273" s="1" t="s">
        <v>763</v>
      </c>
      <c r="E1273" t="s">
        <v>3586</v>
      </c>
      <c r="F1273" t="s">
        <v>1204</v>
      </c>
      <c r="G1273" s="4" t="s">
        <v>5420</v>
      </c>
      <c r="H1273" t="s">
        <v>3587</v>
      </c>
      <c r="I1273" t="s">
        <v>112</v>
      </c>
      <c r="J1273" s="4" t="s">
        <v>5417</v>
      </c>
      <c r="K1273" t="s">
        <v>3592</v>
      </c>
      <c r="L1273">
        <v>4</v>
      </c>
      <c r="M1273" t="s">
        <v>770</v>
      </c>
      <c r="N1273" t="s">
        <v>770</v>
      </c>
      <c r="O1273" t="s">
        <v>891</v>
      </c>
      <c r="P1273" s="2" t="str">
        <f t="shared" si="57"/>
        <v>15/08/2025 to 20/08/2025</v>
      </c>
      <c r="Q1273" s="3">
        <v>45886</v>
      </c>
      <c r="R1273" t="str">
        <f t="shared" si="58"/>
        <v>On-Time</v>
      </c>
      <c r="S1273" t="s">
        <v>892</v>
      </c>
      <c r="T1273">
        <v>34</v>
      </c>
      <c r="U1273" t="s">
        <v>79</v>
      </c>
      <c r="V1273" t="s">
        <v>66</v>
      </c>
      <c r="W1273" t="str">
        <f t="shared" ca="1" si="59"/>
        <v>Dormant</v>
      </c>
    </row>
    <row r="1274" spans="1:23" x14ac:dyDescent="0.2">
      <c r="A1274">
        <v>1218</v>
      </c>
      <c r="B1274" t="s">
        <v>3584</v>
      </c>
      <c r="C1274" t="s">
        <v>3593</v>
      </c>
      <c r="D1274" s="1" t="s">
        <v>763</v>
      </c>
      <c r="E1274" t="s">
        <v>3586</v>
      </c>
      <c r="F1274" t="s">
        <v>1204</v>
      </c>
      <c r="G1274" s="4" t="s">
        <v>5420</v>
      </c>
      <c r="H1274" t="s">
        <v>3587</v>
      </c>
      <c r="I1274" t="s">
        <v>112</v>
      </c>
      <c r="J1274" s="4" t="s">
        <v>5417</v>
      </c>
      <c r="K1274" t="s">
        <v>4</v>
      </c>
      <c r="L1274">
        <v>1</v>
      </c>
      <c r="M1274" t="s">
        <v>891</v>
      </c>
      <c r="N1274" t="s">
        <v>891</v>
      </c>
      <c r="O1274" t="s">
        <v>498</v>
      </c>
      <c r="P1274" s="2" t="str">
        <f t="shared" si="57"/>
        <v>18/08/2025 to 21/08/2025</v>
      </c>
      <c r="Q1274" s="3">
        <v>45885</v>
      </c>
      <c r="R1274" t="str">
        <f t="shared" si="58"/>
        <v>Late</v>
      </c>
      <c r="S1274" t="s">
        <v>892</v>
      </c>
      <c r="T1274">
        <v>8</v>
      </c>
      <c r="U1274" t="s">
        <v>79</v>
      </c>
      <c r="V1274" t="s">
        <v>80</v>
      </c>
      <c r="W1274" t="str">
        <f t="shared" ca="1" si="59"/>
        <v>Dormant</v>
      </c>
    </row>
    <row r="1275" spans="1:23" x14ac:dyDescent="0.2">
      <c r="A1275">
        <v>1408</v>
      </c>
      <c r="B1275" t="s">
        <v>4038</v>
      </c>
      <c r="C1275" t="s">
        <v>4039</v>
      </c>
      <c r="D1275" s="1" t="s">
        <v>763</v>
      </c>
      <c r="E1275" t="s">
        <v>4040</v>
      </c>
      <c r="F1275" t="s">
        <v>1658</v>
      </c>
      <c r="G1275" s="4" t="s">
        <v>5425</v>
      </c>
      <c r="H1275" t="s">
        <v>4041</v>
      </c>
      <c r="I1275" t="s">
        <v>93</v>
      </c>
      <c r="J1275" s="4" t="s">
        <v>5417</v>
      </c>
      <c r="K1275" t="s">
        <v>4042</v>
      </c>
      <c r="L1275">
        <v>3</v>
      </c>
      <c r="M1275" t="s">
        <v>763</v>
      </c>
      <c r="N1275" t="s">
        <v>891</v>
      </c>
      <c r="O1275" t="s">
        <v>770</v>
      </c>
      <c r="P1275" s="2" t="str">
        <f t="shared" si="57"/>
        <v>14/08/2025 to 19/08/2025</v>
      </c>
      <c r="Q1275" s="3">
        <v>45882</v>
      </c>
      <c r="R1275" t="str">
        <f t="shared" si="58"/>
        <v>Late</v>
      </c>
      <c r="S1275" t="s">
        <v>255</v>
      </c>
      <c r="T1275">
        <v>31.5</v>
      </c>
      <c r="U1275" t="s">
        <v>65</v>
      </c>
      <c r="V1275" t="s">
        <v>80</v>
      </c>
      <c r="W1275" t="str">
        <f t="shared" ca="1" si="59"/>
        <v>Dormant</v>
      </c>
    </row>
    <row r="1276" spans="1:23" x14ac:dyDescent="0.2">
      <c r="A1276">
        <v>1409</v>
      </c>
      <c r="B1276" t="s">
        <v>4038</v>
      </c>
      <c r="C1276" t="s">
        <v>4043</v>
      </c>
      <c r="D1276" s="1" t="s">
        <v>763</v>
      </c>
      <c r="E1276" t="s">
        <v>4040</v>
      </c>
      <c r="F1276" t="s">
        <v>1658</v>
      </c>
      <c r="G1276" s="4" t="s">
        <v>5428</v>
      </c>
      <c r="H1276" t="s">
        <v>4041</v>
      </c>
      <c r="I1276" t="s">
        <v>93</v>
      </c>
      <c r="J1276" s="4" t="s">
        <v>74</v>
      </c>
      <c r="K1276" t="s">
        <v>4044</v>
      </c>
      <c r="L1276">
        <v>2</v>
      </c>
      <c r="M1276" t="s">
        <v>770</v>
      </c>
      <c r="N1276" t="s">
        <v>498</v>
      </c>
      <c r="O1276" t="s">
        <v>891</v>
      </c>
      <c r="P1276" s="2" t="str">
        <f t="shared" si="57"/>
        <v>15/08/2025 to 20/08/2025</v>
      </c>
      <c r="Q1276" s="3">
        <v>45886</v>
      </c>
      <c r="R1276" t="str">
        <f t="shared" si="58"/>
        <v>On-Time</v>
      </c>
      <c r="S1276" t="s">
        <v>892</v>
      </c>
      <c r="T1276">
        <v>17.5</v>
      </c>
      <c r="U1276" t="s">
        <v>65</v>
      </c>
      <c r="V1276" t="s">
        <v>80</v>
      </c>
      <c r="W1276" t="str">
        <f t="shared" ca="1" si="59"/>
        <v>Dormant</v>
      </c>
    </row>
    <row r="1277" spans="1:23" x14ac:dyDescent="0.2">
      <c r="A1277">
        <v>1410</v>
      </c>
      <c r="B1277" t="s">
        <v>4038</v>
      </c>
      <c r="C1277" t="s">
        <v>4045</v>
      </c>
      <c r="D1277" s="1" t="s">
        <v>763</v>
      </c>
      <c r="E1277" t="s">
        <v>4040</v>
      </c>
      <c r="F1277" t="s">
        <v>1658</v>
      </c>
      <c r="G1277" s="4" t="s">
        <v>5426</v>
      </c>
      <c r="H1277" t="s">
        <v>4041</v>
      </c>
      <c r="I1277" t="s">
        <v>93</v>
      </c>
      <c r="J1277" s="4" t="s">
        <v>74</v>
      </c>
      <c r="K1277" t="s">
        <v>4046</v>
      </c>
      <c r="L1277">
        <v>3</v>
      </c>
      <c r="M1277" t="s">
        <v>770</v>
      </c>
      <c r="N1277" t="s">
        <v>498</v>
      </c>
      <c r="O1277" t="s">
        <v>770</v>
      </c>
      <c r="P1277" s="2" t="str">
        <f t="shared" si="57"/>
        <v>15/08/2025 to 20/08/2025</v>
      </c>
      <c r="Q1277" s="3">
        <v>45883</v>
      </c>
      <c r="R1277" t="str">
        <f t="shared" si="58"/>
        <v>Late</v>
      </c>
      <c r="S1277" t="s">
        <v>245</v>
      </c>
      <c r="T1277">
        <v>24.5</v>
      </c>
      <c r="U1277" t="s">
        <v>65</v>
      </c>
      <c r="V1277" t="s">
        <v>66</v>
      </c>
      <c r="W1277" t="str">
        <f t="shared" ca="1" si="59"/>
        <v>Dormant</v>
      </c>
    </row>
    <row r="1278" spans="1:23" x14ac:dyDescent="0.2">
      <c r="A1278">
        <v>1411</v>
      </c>
      <c r="B1278" t="s">
        <v>4038</v>
      </c>
      <c r="C1278" t="s">
        <v>4047</v>
      </c>
      <c r="D1278" s="1" t="s">
        <v>763</v>
      </c>
      <c r="E1278" t="s">
        <v>4040</v>
      </c>
      <c r="F1278" t="s">
        <v>1658</v>
      </c>
      <c r="G1278" s="4" t="s">
        <v>5419</v>
      </c>
      <c r="H1278" t="s">
        <v>4041</v>
      </c>
      <c r="I1278" t="s">
        <v>93</v>
      </c>
      <c r="J1278" s="4" t="s">
        <v>60</v>
      </c>
      <c r="K1278" t="s">
        <v>1759</v>
      </c>
      <c r="L1278">
        <v>2</v>
      </c>
      <c r="M1278" t="s">
        <v>891</v>
      </c>
      <c r="N1278" t="s">
        <v>499</v>
      </c>
      <c r="O1278" t="s">
        <v>891</v>
      </c>
      <c r="P1278" s="2" t="str">
        <f t="shared" si="57"/>
        <v>18/08/2025 to 21/08/2025</v>
      </c>
      <c r="Q1278" s="3">
        <v>45885</v>
      </c>
      <c r="R1278" t="str">
        <f t="shared" si="58"/>
        <v>Late</v>
      </c>
      <c r="S1278" t="s">
        <v>892</v>
      </c>
      <c r="T1278">
        <v>19</v>
      </c>
      <c r="U1278" t="s">
        <v>65</v>
      </c>
      <c r="V1278" t="s">
        <v>80</v>
      </c>
      <c r="W1278" t="str">
        <f t="shared" ca="1" si="59"/>
        <v>Dormant</v>
      </c>
    </row>
    <row r="1279" spans="1:23" x14ac:dyDescent="0.2">
      <c r="A1279">
        <v>1799</v>
      </c>
      <c r="B1279" t="s">
        <v>4953</v>
      </c>
      <c r="C1279" t="s">
        <v>4954</v>
      </c>
      <c r="D1279" s="1" t="s">
        <v>763</v>
      </c>
      <c r="E1279" t="s">
        <v>4955</v>
      </c>
      <c r="F1279" t="s">
        <v>607</v>
      </c>
      <c r="G1279" s="4" t="s">
        <v>5427</v>
      </c>
      <c r="H1279" t="s">
        <v>2872</v>
      </c>
      <c r="I1279" t="s">
        <v>136</v>
      </c>
      <c r="J1279" s="4" t="s">
        <v>60</v>
      </c>
      <c r="K1279" t="s">
        <v>4956</v>
      </c>
      <c r="L1279">
        <v>3</v>
      </c>
      <c r="M1279" t="s">
        <v>763</v>
      </c>
      <c r="N1279" t="s">
        <v>770</v>
      </c>
      <c r="O1279" t="s">
        <v>891</v>
      </c>
      <c r="P1279" s="2" t="str">
        <f t="shared" si="57"/>
        <v>14/08/2025 to 19/08/2025</v>
      </c>
      <c r="Q1279" s="3">
        <v>45884</v>
      </c>
      <c r="R1279" t="str">
        <f t="shared" si="58"/>
        <v>On-Time</v>
      </c>
      <c r="S1279" t="s">
        <v>633</v>
      </c>
      <c r="T1279">
        <v>34.5</v>
      </c>
      <c r="U1279" t="s">
        <v>79</v>
      </c>
      <c r="V1279" t="s">
        <v>80</v>
      </c>
      <c r="W1279" t="str">
        <f t="shared" ca="1" si="59"/>
        <v>Dormant</v>
      </c>
    </row>
    <row r="1280" spans="1:23" x14ac:dyDescent="0.2">
      <c r="A1280">
        <v>1800</v>
      </c>
      <c r="B1280" t="s">
        <v>4953</v>
      </c>
      <c r="C1280" t="s">
        <v>4957</v>
      </c>
      <c r="D1280" s="1" t="s">
        <v>763</v>
      </c>
      <c r="E1280" t="s">
        <v>4955</v>
      </c>
      <c r="F1280" t="s">
        <v>607</v>
      </c>
      <c r="G1280" s="4" t="s">
        <v>5422</v>
      </c>
      <c r="H1280" t="s">
        <v>2872</v>
      </c>
      <c r="I1280" t="s">
        <v>136</v>
      </c>
      <c r="J1280" s="4" t="s">
        <v>68</v>
      </c>
      <c r="K1280" t="s">
        <v>30</v>
      </c>
      <c r="L1280">
        <v>1</v>
      </c>
      <c r="M1280" t="s">
        <v>763</v>
      </c>
      <c r="N1280" t="s">
        <v>891</v>
      </c>
      <c r="O1280" t="s">
        <v>891</v>
      </c>
      <c r="P1280" s="2" t="str">
        <f t="shared" si="57"/>
        <v>14/08/2025 to 19/08/2025</v>
      </c>
      <c r="Q1280" s="3">
        <v>45884</v>
      </c>
      <c r="R1280" t="str">
        <f t="shared" si="58"/>
        <v>On-Time</v>
      </c>
      <c r="S1280" t="s">
        <v>264</v>
      </c>
      <c r="T1280">
        <v>12</v>
      </c>
      <c r="U1280" t="s">
        <v>79</v>
      </c>
      <c r="V1280" t="s">
        <v>66</v>
      </c>
      <c r="W1280" t="str">
        <f t="shared" ca="1" si="59"/>
        <v>Dormant</v>
      </c>
    </row>
    <row r="1281" spans="1:23" x14ac:dyDescent="0.2">
      <c r="A1281">
        <v>1801</v>
      </c>
      <c r="B1281" t="s">
        <v>4953</v>
      </c>
      <c r="C1281" t="s">
        <v>4958</v>
      </c>
      <c r="D1281" s="1" t="s">
        <v>763</v>
      </c>
      <c r="E1281" t="s">
        <v>4955</v>
      </c>
      <c r="F1281" t="s">
        <v>607</v>
      </c>
      <c r="G1281" s="4" t="s">
        <v>5421</v>
      </c>
      <c r="H1281" t="s">
        <v>2872</v>
      </c>
      <c r="I1281" t="s">
        <v>136</v>
      </c>
      <c r="J1281" s="4" t="s">
        <v>5417</v>
      </c>
      <c r="K1281" t="s">
        <v>4959</v>
      </c>
      <c r="L1281">
        <v>3</v>
      </c>
      <c r="M1281" t="s">
        <v>763</v>
      </c>
      <c r="N1281" t="s">
        <v>770</v>
      </c>
      <c r="O1281" t="s">
        <v>770</v>
      </c>
      <c r="P1281" s="2" t="str">
        <f t="shared" si="57"/>
        <v>14/08/2025 to 19/08/2025</v>
      </c>
      <c r="Q1281" s="3">
        <v>45886</v>
      </c>
      <c r="R1281" t="str">
        <f t="shared" si="58"/>
        <v>On-Time</v>
      </c>
      <c r="S1281" t="s">
        <v>269</v>
      </c>
      <c r="T1281">
        <v>37</v>
      </c>
      <c r="U1281" t="s">
        <v>65</v>
      </c>
      <c r="V1281" t="s">
        <v>66</v>
      </c>
      <c r="W1281" t="str">
        <f t="shared" ca="1" si="59"/>
        <v>Dormant</v>
      </c>
    </row>
    <row r="1282" spans="1:23" x14ac:dyDescent="0.2">
      <c r="A1282">
        <v>1802</v>
      </c>
      <c r="B1282" t="s">
        <v>4953</v>
      </c>
      <c r="C1282" t="s">
        <v>4960</v>
      </c>
      <c r="D1282" s="1" t="s">
        <v>763</v>
      </c>
      <c r="E1282" t="s">
        <v>4955</v>
      </c>
      <c r="F1282" t="s">
        <v>607</v>
      </c>
      <c r="G1282" s="4" t="s">
        <v>5419</v>
      </c>
      <c r="H1282" t="s">
        <v>2872</v>
      </c>
      <c r="I1282" t="s">
        <v>136</v>
      </c>
      <c r="J1282" s="4" t="s">
        <v>68</v>
      </c>
      <c r="K1282" t="s">
        <v>4961</v>
      </c>
      <c r="L1282">
        <v>3</v>
      </c>
      <c r="M1282" t="s">
        <v>763</v>
      </c>
      <c r="N1282" t="s">
        <v>891</v>
      </c>
      <c r="O1282" t="s">
        <v>770</v>
      </c>
      <c r="P1282" s="2" t="str">
        <f t="shared" ref="P1282:P1345" si="60">IF(ISBLANK(M1282), "", TEXT(WORKDAY(M1282, 7), "dd/mm/yyyy") &amp; " to " &amp; TEXT(WORKDAY(M1282, 10), "dd/mm/yyyy"))</f>
        <v>14/08/2025 to 19/08/2025</v>
      </c>
      <c r="Q1282" s="3">
        <v>45885</v>
      </c>
      <c r="R1282" t="str">
        <f t="shared" ref="R1282:R1345" si="61">IF(Q1282="","In Progress",
IF(AND(--Q1282&gt;=DATEVALUE(LEFT(P1282,10)),
       --Q1282&lt;=DATEVALUE(TRIM(MID(P1282,FIND("to",P1282)+3,10)))),
   "On-Time","Late"))</f>
        <v>On-Time</v>
      </c>
      <c r="S1282" t="s">
        <v>892</v>
      </c>
      <c r="T1282">
        <v>25.5</v>
      </c>
      <c r="U1282" t="s">
        <v>79</v>
      </c>
      <c r="V1282" t="s">
        <v>72</v>
      </c>
      <c r="W1282" t="str">
        <f t="shared" ca="1" si="59"/>
        <v>Dormant</v>
      </c>
    </row>
    <row r="1283" spans="1:23" x14ac:dyDescent="0.2">
      <c r="A1283">
        <v>1804</v>
      </c>
      <c r="B1283" t="s">
        <v>4966</v>
      </c>
      <c r="C1283" t="s">
        <v>4967</v>
      </c>
      <c r="D1283" s="1" t="s">
        <v>770</v>
      </c>
      <c r="E1283" t="s">
        <v>4968</v>
      </c>
      <c r="F1283" t="s">
        <v>668</v>
      </c>
      <c r="G1283" s="4" t="s">
        <v>5426</v>
      </c>
      <c r="H1283" t="s">
        <v>4969</v>
      </c>
      <c r="I1283" t="s">
        <v>59</v>
      </c>
      <c r="J1283" s="4" t="s">
        <v>68</v>
      </c>
      <c r="K1283" t="s">
        <v>32</v>
      </c>
      <c r="L1283">
        <v>1</v>
      </c>
      <c r="M1283" t="s">
        <v>891</v>
      </c>
      <c r="N1283" t="s">
        <v>498</v>
      </c>
      <c r="O1283" t="s">
        <v>499</v>
      </c>
      <c r="P1283" s="2" t="str">
        <f t="shared" si="60"/>
        <v>18/08/2025 to 21/08/2025</v>
      </c>
      <c r="Q1283" s="3">
        <v>45889</v>
      </c>
      <c r="R1283" t="str">
        <f t="shared" si="61"/>
        <v>On-Time</v>
      </c>
      <c r="S1283" t="s">
        <v>251</v>
      </c>
      <c r="T1283">
        <v>14</v>
      </c>
      <c r="U1283" t="s">
        <v>65</v>
      </c>
      <c r="V1283" t="s">
        <v>80</v>
      </c>
      <c r="W1283" t="str">
        <f t="shared" ref="W1283:W1346" ca="1" si="62">IF(D1283="","",
IF(TODAY()-D1283&lt;=120,"Active",
IF(TODAY()-D1283&lt;=210,"At Risk",
IF(TODAY()-D1283&lt;=395,"Dormant",
IF(TODAY()-D1283&lt;=730,"Inactive","Archived")))))</f>
        <v>Dormant</v>
      </c>
    </row>
    <row r="1284" spans="1:23" x14ac:dyDescent="0.2">
      <c r="A1284">
        <v>619</v>
      </c>
      <c r="B1284" t="s">
        <v>2132</v>
      </c>
      <c r="C1284" t="s">
        <v>2133</v>
      </c>
      <c r="D1284" s="1" t="s">
        <v>498</v>
      </c>
      <c r="E1284" t="s">
        <v>2134</v>
      </c>
      <c r="F1284" t="s">
        <v>1920</v>
      </c>
      <c r="G1284" s="4" t="s">
        <v>5418</v>
      </c>
      <c r="H1284" t="s">
        <v>2135</v>
      </c>
      <c r="I1284" t="s">
        <v>112</v>
      </c>
      <c r="J1284" s="4" t="s">
        <v>74</v>
      </c>
      <c r="K1284" t="s">
        <v>2136</v>
      </c>
      <c r="L1284">
        <v>3</v>
      </c>
      <c r="M1284" t="s">
        <v>240</v>
      </c>
      <c r="N1284" t="s">
        <v>244</v>
      </c>
      <c r="O1284" t="s">
        <v>250</v>
      </c>
      <c r="P1284" s="2" t="str">
        <f t="shared" si="60"/>
        <v>19/08/2025 to 22/08/2025</v>
      </c>
      <c r="Q1284" s="3">
        <v>45889</v>
      </c>
      <c r="R1284" t="str">
        <f t="shared" si="61"/>
        <v>On-Time</v>
      </c>
      <c r="S1284" t="s">
        <v>259</v>
      </c>
      <c r="T1284">
        <v>32.5</v>
      </c>
      <c r="U1284" t="s">
        <v>65</v>
      </c>
      <c r="V1284" t="s">
        <v>72</v>
      </c>
      <c r="W1284" t="str">
        <f t="shared" ca="1" si="62"/>
        <v>Dormant</v>
      </c>
    </row>
    <row r="1285" spans="1:23" x14ac:dyDescent="0.2">
      <c r="A1285">
        <v>620</v>
      </c>
      <c r="B1285" t="s">
        <v>2132</v>
      </c>
      <c r="C1285" t="s">
        <v>2137</v>
      </c>
      <c r="D1285" s="1" t="s">
        <v>498</v>
      </c>
      <c r="E1285" t="s">
        <v>2134</v>
      </c>
      <c r="F1285" t="s">
        <v>1920</v>
      </c>
      <c r="G1285" s="4" t="s">
        <v>5422</v>
      </c>
      <c r="H1285" t="s">
        <v>2135</v>
      </c>
      <c r="I1285" t="s">
        <v>112</v>
      </c>
      <c r="J1285" s="4" t="s">
        <v>68</v>
      </c>
      <c r="K1285" t="s">
        <v>12</v>
      </c>
      <c r="L1285">
        <v>1</v>
      </c>
      <c r="M1285" t="s">
        <v>498</v>
      </c>
      <c r="N1285" t="s">
        <v>499</v>
      </c>
      <c r="O1285" t="s">
        <v>498</v>
      </c>
      <c r="P1285" s="2" t="str">
        <f t="shared" si="60"/>
        <v>19/08/2025 to 22/08/2025</v>
      </c>
      <c r="Q1285" s="3">
        <v>45885</v>
      </c>
      <c r="R1285" t="str">
        <f t="shared" si="61"/>
        <v>Late</v>
      </c>
      <c r="S1285" t="s">
        <v>269</v>
      </c>
      <c r="T1285">
        <v>9.5</v>
      </c>
      <c r="U1285" t="s">
        <v>65</v>
      </c>
      <c r="V1285" t="s">
        <v>80</v>
      </c>
      <c r="W1285" t="str">
        <f t="shared" ca="1" si="62"/>
        <v>Dormant</v>
      </c>
    </row>
    <row r="1286" spans="1:23" x14ac:dyDescent="0.2">
      <c r="A1286">
        <v>881</v>
      </c>
      <c r="B1286" t="s">
        <v>2768</v>
      </c>
      <c r="C1286" t="s">
        <v>2769</v>
      </c>
      <c r="D1286" s="1" t="s">
        <v>498</v>
      </c>
      <c r="E1286" t="s">
        <v>2770</v>
      </c>
      <c r="F1286" t="s">
        <v>1920</v>
      </c>
      <c r="G1286" s="4" t="s">
        <v>5419</v>
      </c>
      <c r="H1286" t="s">
        <v>985</v>
      </c>
      <c r="I1286" t="s">
        <v>136</v>
      </c>
      <c r="J1286" s="4" t="s">
        <v>68</v>
      </c>
      <c r="K1286" t="s">
        <v>2771</v>
      </c>
      <c r="L1286">
        <v>3</v>
      </c>
      <c r="M1286" t="s">
        <v>499</v>
      </c>
      <c r="N1286" t="s">
        <v>499</v>
      </c>
      <c r="O1286" t="s">
        <v>240</v>
      </c>
      <c r="P1286" s="2" t="str">
        <f t="shared" si="60"/>
        <v>19/08/2025 to 22/08/2025</v>
      </c>
      <c r="Q1286" s="3">
        <v>45891</v>
      </c>
      <c r="R1286" t="str">
        <f t="shared" si="61"/>
        <v>On-Time</v>
      </c>
      <c r="S1286" t="s">
        <v>259</v>
      </c>
      <c r="T1286">
        <v>25.5</v>
      </c>
      <c r="U1286" t="s">
        <v>79</v>
      </c>
      <c r="V1286" t="s">
        <v>80</v>
      </c>
      <c r="W1286" t="str">
        <f t="shared" ca="1" si="62"/>
        <v>Dormant</v>
      </c>
    </row>
    <row r="1287" spans="1:23" x14ac:dyDescent="0.2">
      <c r="A1287">
        <v>882</v>
      </c>
      <c r="B1287" t="s">
        <v>2768</v>
      </c>
      <c r="C1287" t="s">
        <v>2772</v>
      </c>
      <c r="D1287" s="1" t="s">
        <v>498</v>
      </c>
      <c r="E1287" t="s">
        <v>2770</v>
      </c>
      <c r="F1287" t="s">
        <v>1920</v>
      </c>
      <c r="G1287" s="4" t="s">
        <v>5420</v>
      </c>
      <c r="H1287" t="s">
        <v>985</v>
      </c>
      <c r="I1287" t="s">
        <v>136</v>
      </c>
      <c r="J1287" s="4" t="s">
        <v>68</v>
      </c>
      <c r="K1287" t="s">
        <v>2773</v>
      </c>
      <c r="L1287">
        <v>3</v>
      </c>
      <c r="M1287" t="s">
        <v>499</v>
      </c>
      <c r="N1287" t="s">
        <v>499</v>
      </c>
      <c r="O1287" t="s">
        <v>240</v>
      </c>
      <c r="P1287" s="2" t="str">
        <f t="shared" si="60"/>
        <v>19/08/2025 to 22/08/2025</v>
      </c>
      <c r="Q1287" s="3">
        <v>45888</v>
      </c>
      <c r="R1287" t="str">
        <f t="shared" si="61"/>
        <v>On-Time</v>
      </c>
      <c r="S1287" t="s">
        <v>251</v>
      </c>
      <c r="T1287">
        <v>29</v>
      </c>
      <c r="U1287" t="s">
        <v>65</v>
      </c>
      <c r="V1287" t="s">
        <v>80</v>
      </c>
      <c r="W1287" t="str">
        <f t="shared" ca="1" si="62"/>
        <v>Dormant</v>
      </c>
    </row>
    <row r="1288" spans="1:23" x14ac:dyDescent="0.2">
      <c r="A1288">
        <v>883</v>
      </c>
      <c r="B1288" t="s">
        <v>2768</v>
      </c>
      <c r="C1288" t="s">
        <v>2774</v>
      </c>
      <c r="D1288" s="1" t="s">
        <v>498</v>
      </c>
      <c r="E1288" t="s">
        <v>2770</v>
      </c>
      <c r="F1288" t="s">
        <v>1920</v>
      </c>
      <c r="G1288" s="4" t="s">
        <v>5418</v>
      </c>
      <c r="H1288" t="s">
        <v>985</v>
      </c>
      <c r="I1288" t="s">
        <v>136</v>
      </c>
      <c r="J1288" s="4" t="s">
        <v>60</v>
      </c>
      <c r="K1288" t="s">
        <v>2751</v>
      </c>
      <c r="L1288">
        <v>2</v>
      </c>
      <c r="M1288" t="s">
        <v>499</v>
      </c>
      <c r="N1288" t="s">
        <v>240</v>
      </c>
      <c r="O1288" t="s">
        <v>250</v>
      </c>
      <c r="P1288" s="2" t="str">
        <f t="shared" si="60"/>
        <v>19/08/2025 to 22/08/2025</v>
      </c>
      <c r="Q1288" s="3">
        <v>45891</v>
      </c>
      <c r="R1288" t="str">
        <f t="shared" si="61"/>
        <v>On-Time</v>
      </c>
      <c r="S1288" t="s">
        <v>252</v>
      </c>
      <c r="T1288">
        <v>22</v>
      </c>
      <c r="U1288" t="s">
        <v>65</v>
      </c>
      <c r="V1288" t="s">
        <v>66</v>
      </c>
      <c r="W1288" t="str">
        <f t="shared" ca="1" si="62"/>
        <v>Dormant</v>
      </c>
    </row>
    <row r="1289" spans="1:23" x14ac:dyDescent="0.2">
      <c r="A1289">
        <v>1048</v>
      </c>
      <c r="B1289" t="s">
        <v>3177</v>
      </c>
      <c r="C1289" t="s">
        <v>3178</v>
      </c>
      <c r="D1289" s="1" t="s">
        <v>498</v>
      </c>
      <c r="E1289" t="s">
        <v>3179</v>
      </c>
      <c r="F1289" t="s">
        <v>536</v>
      </c>
      <c r="G1289" s="4" t="s">
        <v>5421</v>
      </c>
      <c r="H1289" t="s">
        <v>58</v>
      </c>
      <c r="I1289" t="s">
        <v>59</v>
      </c>
      <c r="J1289" s="4" t="s">
        <v>68</v>
      </c>
      <c r="K1289" t="s">
        <v>3180</v>
      </c>
      <c r="L1289">
        <v>3</v>
      </c>
      <c r="M1289" t="s">
        <v>498</v>
      </c>
      <c r="N1289" t="s">
        <v>240</v>
      </c>
      <c r="O1289" t="s">
        <v>240</v>
      </c>
      <c r="P1289" s="2" t="str">
        <f t="shared" si="60"/>
        <v>19/08/2025 to 22/08/2025</v>
      </c>
      <c r="Q1289" s="3">
        <v>45887</v>
      </c>
      <c r="R1289" t="str">
        <f t="shared" si="61"/>
        <v>Late</v>
      </c>
      <c r="S1289" t="s">
        <v>269</v>
      </c>
      <c r="T1289">
        <v>26</v>
      </c>
      <c r="U1289" t="s">
        <v>79</v>
      </c>
      <c r="V1289" t="s">
        <v>80</v>
      </c>
      <c r="W1289" t="str">
        <f t="shared" ca="1" si="62"/>
        <v>Dormant</v>
      </c>
    </row>
    <row r="1290" spans="1:23" x14ac:dyDescent="0.2">
      <c r="A1290">
        <v>1049</v>
      </c>
      <c r="B1290" t="s">
        <v>3177</v>
      </c>
      <c r="C1290" t="s">
        <v>3181</v>
      </c>
      <c r="D1290" s="1" t="s">
        <v>498</v>
      </c>
      <c r="E1290" t="s">
        <v>3179</v>
      </c>
      <c r="F1290" t="s">
        <v>536</v>
      </c>
      <c r="G1290" s="4" t="s">
        <v>5419</v>
      </c>
      <c r="H1290" t="s">
        <v>58</v>
      </c>
      <c r="I1290" t="s">
        <v>59</v>
      </c>
      <c r="J1290" s="4" t="s">
        <v>74</v>
      </c>
      <c r="K1290" t="s">
        <v>3182</v>
      </c>
      <c r="L1290">
        <v>3</v>
      </c>
      <c r="M1290" t="s">
        <v>240</v>
      </c>
      <c r="N1290" t="s">
        <v>244</v>
      </c>
      <c r="O1290" t="s">
        <v>250</v>
      </c>
      <c r="P1290" s="2" t="str">
        <f t="shared" si="60"/>
        <v>19/08/2025 to 22/08/2025</v>
      </c>
      <c r="Q1290" s="3">
        <v>45891</v>
      </c>
      <c r="R1290" t="str">
        <f t="shared" si="61"/>
        <v>On-Time</v>
      </c>
      <c r="S1290" t="s">
        <v>252</v>
      </c>
      <c r="T1290">
        <v>29.5</v>
      </c>
      <c r="U1290" t="s">
        <v>65</v>
      </c>
      <c r="V1290" t="s">
        <v>66</v>
      </c>
      <c r="W1290" t="str">
        <f t="shared" ca="1" si="62"/>
        <v>Dormant</v>
      </c>
    </row>
    <row r="1291" spans="1:23" x14ac:dyDescent="0.2">
      <c r="A1291">
        <v>406</v>
      </c>
      <c r="B1291" t="s">
        <v>1556</v>
      </c>
      <c r="C1291" t="s">
        <v>1557</v>
      </c>
      <c r="D1291" s="1" t="s">
        <v>499</v>
      </c>
      <c r="E1291" t="s">
        <v>1558</v>
      </c>
      <c r="F1291" t="s">
        <v>110</v>
      </c>
      <c r="G1291" s="4" t="s">
        <v>5424</v>
      </c>
      <c r="H1291" t="s">
        <v>1559</v>
      </c>
      <c r="I1291" t="s">
        <v>93</v>
      </c>
      <c r="J1291" s="4" t="s">
        <v>74</v>
      </c>
      <c r="K1291" t="s">
        <v>24</v>
      </c>
      <c r="L1291">
        <v>1</v>
      </c>
      <c r="M1291" t="s">
        <v>499</v>
      </c>
      <c r="N1291" t="s">
        <v>499</v>
      </c>
      <c r="O1291" t="s">
        <v>499</v>
      </c>
      <c r="P1291" s="2" t="str">
        <f t="shared" si="60"/>
        <v>19/08/2025 to 22/08/2025</v>
      </c>
      <c r="Q1291" s="3">
        <v>45889</v>
      </c>
      <c r="R1291" t="str">
        <f t="shared" si="61"/>
        <v>On-Time</v>
      </c>
      <c r="S1291" t="s">
        <v>271</v>
      </c>
      <c r="T1291">
        <v>8</v>
      </c>
      <c r="U1291" t="s">
        <v>79</v>
      </c>
      <c r="V1291" t="s">
        <v>66</v>
      </c>
      <c r="W1291" t="str">
        <f t="shared" ca="1" si="62"/>
        <v>Dormant</v>
      </c>
    </row>
    <row r="1292" spans="1:23" x14ac:dyDescent="0.2">
      <c r="A1292">
        <v>407</v>
      </c>
      <c r="B1292" t="s">
        <v>1556</v>
      </c>
      <c r="C1292" t="s">
        <v>1560</v>
      </c>
      <c r="D1292" s="1" t="s">
        <v>499</v>
      </c>
      <c r="E1292" t="s">
        <v>1558</v>
      </c>
      <c r="F1292" t="s">
        <v>110</v>
      </c>
      <c r="G1292" s="4" t="s">
        <v>5420</v>
      </c>
      <c r="H1292" t="s">
        <v>1559</v>
      </c>
      <c r="I1292" t="s">
        <v>93</v>
      </c>
      <c r="J1292" s="4" t="s">
        <v>74</v>
      </c>
      <c r="K1292" t="s">
        <v>6</v>
      </c>
      <c r="L1292">
        <v>1</v>
      </c>
      <c r="M1292" t="s">
        <v>250</v>
      </c>
      <c r="N1292" t="s">
        <v>244</v>
      </c>
      <c r="O1292" t="s">
        <v>250</v>
      </c>
      <c r="P1292" s="2" t="str">
        <f t="shared" si="60"/>
        <v>20/08/2025 to 25/08/2025</v>
      </c>
      <c r="Q1292" s="3">
        <v>45890</v>
      </c>
      <c r="R1292" t="str">
        <f t="shared" si="61"/>
        <v>On-Time</v>
      </c>
      <c r="S1292" t="s">
        <v>251</v>
      </c>
      <c r="T1292">
        <v>7.5</v>
      </c>
      <c r="U1292" t="s">
        <v>79</v>
      </c>
      <c r="V1292" t="s">
        <v>80</v>
      </c>
      <c r="W1292" t="str">
        <f t="shared" ca="1" si="62"/>
        <v>Dormant</v>
      </c>
    </row>
    <row r="1293" spans="1:23" x14ac:dyDescent="0.2">
      <c r="A1293">
        <v>408</v>
      </c>
      <c r="B1293" t="s">
        <v>1556</v>
      </c>
      <c r="C1293" t="s">
        <v>1561</v>
      </c>
      <c r="D1293" s="1" t="s">
        <v>499</v>
      </c>
      <c r="E1293" t="s">
        <v>1558</v>
      </c>
      <c r="F1293" t="s">
        <v>110</v>
      </c>
      <c r="G1293" s="4" t="s">
        <v>5422</v>
      </c>
      <c r="H1293" t="s">
        <v>1559</v>
      </c>
      <c r="I1293" t="s">
        <v>93</v>
      </c>
      <c r="J1293" s="4" t="s">
        <v>60</v>
      </c>
      <c r="K1293" t="s">
        <v>28</v>
      </c>
      <c r="L1293">
        <v>1</v>
      </c>
      <c r="M1293" t="s">
        <v>250</v>
      </c>
      <c r="N1293" t="s">
        <v>244</v>
      </c>
      <c r="O1293" t="s">
        <v>244</v>
      </c>
      <c r="P1293" s="2" t="str">
        <f t="shared" si="60"/>
        <v>20/08/2025 to 25/08/2025</v>
      </c>
      <c r="Q1293" s="3">
        <v>45891</v>
      </c>
      <c r="R1293" t="str">
        <f t="shared" si="61"/>
        <v>On-Time</v>
      </c>
      <c r="S1293" t="s">
        <v>259</v>
      </c>
      <c r="T1293">
        <v>9</v>
      </c>
      <c r="U1293" t="s">
        <v>65</v>
      </c>
      <c r="V1293" t="s">
        <v>80</v>
      </c>
      <c r="W1293" t="str">
        <f t="shared" ca="1" si="62"/>
        <v>Dormant</v>
      </c>
    </row>
    <row r="1294" spans="1:23" x14ac:dyDescent="0.2">
      <c r="A1294">
        <v>409</v>
      </c>
      <c r="B1294" t="s">
        <v>1556</v>
      </c>
      <c r="C1294" t="s">
        <v>1562</v>
      </c>
      <c r="D1294" s="1" t="s">
        <v>499</v>
      </c>
      <c r="E1294" t="s">
        <v>1558</v>
      </c>
      <c r="F1294" t="s">
        <v>110</v>
      </c>
      <c r="G1294" s="4" t="s">
        <v>5419</v>
      </c>
      <c r="H1294" t="s">
        <v>1559</v>
      </c>
      <c r="I1294" t="s">
        <v>93</v>
      </c>
      <c r="J1294" s="4" t="s">
        <v>60</v>
      </c>
      <c r="K1294" t="s">
        <v>1563</v>
      </c>
      <c r="L1294">
        <v>4</v>
      </c>
      <c r="M1294" t="s">
        <v>499</v>
      </c>
      <c r="N1294" t="s">
        <v>499</v>
      </c>
      <c r="O1294" t="s">
        <v>499</v>
      </c>
      <c r="P1294" s="2" t="str">
        <f t="shared" si="60"/>
        <v>19/08/2025 to 22/08/2025</v>
      </c>
      <c r="Q1294" s="3">
        <v>45886</v>
      </c>
      <c r="R1294" t="str">
        <f t="shared" si="61"/>
        <v>Late</v>
      </c>
      <c r="S1294" t="s">
        <v>270</v>
      </c>
      <c r="T1294">
        <v>37.5</v>
      </c>
      <c r="U1294" t="s">
        <v>79</v>
      </c>
      <c r="V1294" t="s">
        <v>72</v>
      </c>
      <c r="W1294" t="str">
        <f t="shared" ca="1" si="62"/>
        <v>Dormant</v>
      </c>
    </row>
    <row r="1295" spans="1:23" x14ac:dyDescent="0.2">
      <c r="A1295">
        <v>410</v>
      </c>
      <c r="B1295" t="s">
        <v>1556</v>
      </c>
      <c r="C1295" t="s">
        <v>1564</v>
      </c>
      <c r="D1295" s="1" t="s">
        <v>499</v>
      </c>
      <c r="E1295" t="s">
        <v>1558</v>
      </c>
      <c r="F1295" t="s">
        <v>110</v>
      </c>
      <c r="G1295" s="4" t="s">
        <v>5426</v>
      </c>
      <c r="H1295" t="s">
        <v>1559</v>
      </c>
      <c r="I1295" t="s">
        <v>93</v>
      </c>
      <c r="J1295" s="4" t="s">
        <v>68</v>
      </c>
      <c r="K1295" t="s">
        <v>1565</v>
      </c>
      <c r="L1295">
        <v>4</v>
      </c>
      <c r="M1295" t="s">
        <v>240</v>
      </c>
      <c r="N1295" t="s">
        <v>240</v>
      </c>
      <c r="O1295" t="s">
        <v>244</v>
      </c>
      <c r="P1295" s="2" t="str">
        <f t="shared" si="60"/>
        <v>19/08/2025 to 22/08/2025</v>
      </c>
      <c r="Q1295" s="3">
        <v>45890</v>
      </c>
      <c r="R1295" t="str">
        <f t="shared" si="61"/>
        <v>On-Time</v>
      </c>
      <c r="S1295" t="s">
        <v>259</v>
      </c>
      <c r="T1295">
        <v>35.5</v>
      </c>
      <c r="U1295" t="s">
        <v>65</v>
      </c>
      <c r="V1295" t="s">
        <v>72</v>
      </c>
      <c r="W1295" t="str">
        <f t="shared" ca="1" si="62"/>
        <v>Dormant</v>
      </c>
    </row>
    <row r="1296" spans="1:23" x14ac:dyDescent="0.2">
      <c r="A1296">
        <v>975</v>
      </c>
      <c r="B1296" t="s">
        <v>3006</v>
      </c>
      <c r="C1296" t="s">
        <v>3007</v>
      </c>
      <c r="D1296" s="1" t="s">
        <v>499</v>
      </c>
      <c r="E1296" t="s">
        <v>3008</v>
      </c>
      <c r="F1296" t="s">
        <v>1003</v>
      </c>
      <c r="G1296" s="4" t="s">
        <v>38</v>
      </c>
      <c r="H1296" t="s">
        <v>3009</v>
      </c>
      <c r="I1296" t="s">
        <v>112</v>
      </c>
      <c r="J1296" s="4" t="s">
        <v>68</v>
      </c>
      <c r="K1296" t="s">
        <v>3010</v>
      </c>
      <c r="L1296">
        <v>4</v>
      </c>
      <c r="M1296" t="s">
        <v>499</v>
      </c>
      <c r="N1296" t="s">
        <v>240</v>
      </c>
      <c r="O1296" t="s">
        <v>240</v>
      </c>
      <c r="P1296" s="2" t="str">
        <f t="shared" si="60"/>
        <v>19/08/2025 to 22/08/2025</v>
      </c>
      <c r="Q1296" s="3">
        <v>45886</v>
      </c>
      <c r="R1296" t="str">
        <f t="shared" si="61"/>
        <v>Late</v>
      </c>
      <c r="S1296" t="s">
        <v>270</v>
      </c>
      <c r="T1296">
        <v>41.5</v>
      </c>
      <c r="U1296" t="s">
        <v>65</v>
      </c>
      <c r="V1296" t="s">
        <v>80</v>
      </c>
      <c r="W1296" t="str">
        <f t="shared" ca="1" si="62"/>
        <v>Dormant</v>
      </c>
    </row>
    <row r="1297" spans="1:23" x14ac:dyDescent="0.2">
      <c r="A1297">
        <v>976</v>
      </c>
      <c r="B1297" t="s">
        <v>3006</v>
      </c>
      <c r="C1297" t="s">
        <v>3011</v>
      </c>
      <c r="D1297" s="1" t="s">
        <v>499</v>
      </c>
      <c r="E1297" t="s">
        <v>3008</v>
      </c>
      <c r="F1297" t="s">
        <v>1003</v>
      </c>
      <c r="G1297" s="4" t="s">
        <v>5427</v>
      </c>
      <c r="H1297" t="s">
        <v>3009</v>
      </c>
      <c r="I1297" t="s">
        <v>112</v>
      </c>
      <c r="J1297" s="4" t="s">
        <v>60</v>
      </c>
      <c r="K1297" t="s">
        <v>3012</v>
      </c>
      <c r="L1297">
        <v>4</v>
      </c>
      <c r="M1297" t="s">
        <v>499</v>
      </c>
      <c r="N1297" t="s">
        <v>250</v>
      </c>
      <c r="O1297" t="s">
        <v>240</v>
      </c>
      <c r="P1297" s="2" t="str">
        <f t="shared" si="60"/>
        <v>19/08/2025 to 22/08/2025</v>
      </c>
      <c r="Q1297" s="3">
        <v>45888</v>
      </c>
      <c r="R1297" t="str">
        <f t="shared" si="61"/>
        <v>On-Time</v>
      </c>
      <c r="S1297" t="s">
        <v>270</v>
      </c>
      <c r="T1297">
        <v>44</v>
      </c>
      <c r="U1297" t="s">
        <v>79</v>
      </c>
      <c r="V1297" t="s">
        <v>66</v>
      </c>
      <c r="W1297" t="str">
        <f t="shared" ca="1" si="62"/>
        <v>Dormant</v>
      </c>
    </row>
    <row r="1298" spans="1:23" x14ac:dyDescent="0.2">
      <c r="A1298">
        <v>33</v>
      </c>
      <c r="B1298" t="s">
        <v>238</v>
      </c>
      <c r="C1298" t="s">
        <v>239</v>
      </c>
      <c r="D1298" s="1" t="s">
        <v>240</v>
      </c>
      <c r="E1298" t="s">
        <v>241</v>
      </c>
      <c r="F1298" t="s">
        <v>134</v>
      </c>
      <c r="G1298" s="4" t="s">
        <v>5420</v>
      </c>
      <c r="H1298" t="s">
        <v>242</v>
      </c>
      <c r="I1298" t="s">
        <v>59</v>
      </c>
      <c r="J1298" s="4" t="s">
        <v>68</v>
      </c>
      <c r="K1298" t="s">
        <v>243</v>
      </c>
      <c r="L1298">
        <v>2</v>
      </c>
      <c r="M1298" t="s">
        <v>244</v>
      </c>
      <c r="N1298" t="s">
        <v>245</v>
      </c>
      <c r="O1298" t="s">
        <v>245</v>
      </c>
      <c r="P1298" s="2" t="str">
        <f t="shared" si="60"/>
        <v>21/08/2025 to 26/08/2025</v>
      </c>
      <c r="Q1298" s="3">
        <v>45893</v>
      </c>
      <c r="R1298" t="str">
        <f t="shared" si="61"/>
        <v>On-Time</v>
      </c>
      <c r="S1298" t="s">
        <v>247</v>
      </c>
      <c r="T1298">
        <v>19</v>
      </c>
      <c r="U1298" t="s">
        <v>65</v>
      </c>
      <c r="V1298" t="s">
        <v>80</v>
      </c>
      <c r="W1298" t="str">
        <f t="shared" ca="1" si="62"/>
        <v>Dormant</v>
      </c>
    </row>
    <row r="1299" spans="1:23" x14ac:dyDescent="0.2">
      <c r="A1299">
        <v>34</v>
      </c>
      <c r="B1299" t="s">
        <v>238</v>
      </c>
      <c r="C1299" t="s">
        <v>248</v>
      </c>
      <c r="D1299" s="1" t="s">
        <v>240</v>
      </c>
      <c r="E1299" t="s">
        <v>241</v>
      </c>
      <c r="F1299" t="s">
        <v>134</v>
      </c>
      <c r="G1299" s="4" t="s">
        <v>5422</v>
      </c>
      <c r="H1299" t="s">
        <v>242</v>
      </c>
      <c r="I1299" t="s">
        <v>59</v>
      </c>
      <c r="J1299" s="4" t="s">
        <v>60</v>
      </c>
      <c r="K1299" t="s">
        <v>249</v>
      </c>
      <c r="L1299">
        <v>4</v>
      </c>
      <c r="M1299" t="s">
        <v>250</v>
      </c>
      <c r="N1299" t="s">
        <v>250</v>
      </c>
      <c r="O1299" t="s">
        <v>244</v>
      </c>
      <c r="P1299" s="2" t="str">
        <f t="shared" si="60"/>
        <v>20/08/2025 to 25/08/2025</v>
      </c>
      <c r="Q1299" s="3">
        <v>45890</v>
      </c>
      <c r="R1299" t="str">
        <f t="shared" si="61"/>
        <v>On-Time</v>
      </c>
      <c r="S1299" t="s">
        <v>252</v>
      </c>
      <c r="T1299">
        <v>35</v>
      </c>
      <c r="U1299" t="s">
        <v>79</v>
      </c>
      <c r="V1299" t="s">
        <v>66</v>
      </c>
      <c r="W1299" t="str">
        <f t="shared" ca="1" si="62"/>
        <v>Dormant</v>
      </c>
    </row>
    <row r="1300" spans="1:23" x14ac:dyDescent="0.2">
      <c r="A1300">
        <v>35</v>
      </c>
      <c r="B1300" t="s">
        <v>238</v>
      </c>
      <c r="C1300" t="s">
        <v>253</v>
      </c>
      <c r="D1300" s="1" t="s">
        <v>240</v>
      </c>
      <c r="E1300" t="s">
        <v>241</v>
      </c>
      <c r="F1300" t="s">
        <v>134</v>
      </c>
      <c r="G1300" s="4" t="s">
        <v>5426</v>
      </c>
      <c r="H1300" t="s">
        <v>242</v>
      </c>
      <c r="I1300" t="s">
        <v>59</v>
      </c>
      <c r="J1300" s="4" t="s">
        <v>74</v>
      </c>
      <c r="K1300" t="s">
        <v>254</v>
      </c>
      <c r="L1300">
        <v>3</v>
      </c>
      <c r="M1300" t="s">
        <v>244</v>
      </c>
      <c r="N1300" t="s">
        <v>245</v>
      </c>
      <c r="O1300" t="s">
        <v>255</v>
      </c>
      <c r="P1300" s="2" t="str">
        <f t="shared" si="60"/>
        <v>21/08/2025 to 26/08/2025</v>
      </c>
      <c r="Q1300" s="3">
        <v>45893</v>
      </c>
      <c r="R1300" t="str">
        <f t="shared" si="61"/>
        <v>On-Time</v>
      </c>
      <c r="S1300" t="s">
        <v>256</v>
      </c>
      <c r="T1300">
        <v>26</v>
      </c>
      <c r="U1300" t="s">
        <v>65</v>
      </c>
      <c r="V1300" t="s">
        <v>66</v>
      </c>
      <c r="W1300" t="str">
        <f t="shared" ca="1" si="62"/>
        <v>Dormant</v>
      </c>
    </row>
    <row r="1301" spans="1:23" x14ac:dyDescent="0.2">
      <c r="A1301">
        <v>36</v>
      </c>
      <c r="B1301" t="s">
        <v>238</v>
      </c>
      <c r="C1301" t="s">
        <v>257</v>
      </c>
      <c r="D1301" s="1" t="s">
        <v>240</v>
      </c>
      <c r="E1301" t="s">
        <v>241</v>
      </c>
      <c r="F1301" t="s">
        <v>134</v>
      </c>
      <c r="G1301" s="4" t="s">
        <v>5420</v>
      </c>
      <c r="H1301" t="s">
        <v>242</v>
      </c>
      <c r="I1301" t="s">
        <v>59</v>
      </c>
      <c r="J1301" s="4" t="s">
        <v>74</v>
      </c>
      <c r="K1301" t="s">
        <v>258</v>
      </c>
      <c r="L1301">
        <v>2</v>
      </c>
      <c r="M1301" t="s">
        <v>244</v>
      </c>
      <c r="N1301" t="s">
        <v>245</v>
      </c>
      <c r="O1301" t="s">
        <v>244</v>
      </c>
      <c r="P1301" s="2" t="str">
        <f t="shared" si="60"/>
        <v>21/08/2025 to 26/08/2025</v>
      </c>
      <c r="Q1301" s="3">
        <v>45891</v>
      </c>
      <c r="R1301" t="str">
        <f t="shared" si="61"/>
        <v>On-Time</v>
      </c>
      <c r="S1301" t="s">
        <v>246</v>
      </c>
      <c r="T1301">
        <v>23</v>
      </c>
      <c r="U1301" t="s">
        <v>65</v>
      </c>
      <c r="V1301" t="s">
        <v>66</v>
      </c>
      <c r="W1301" t="str">
        <f t="shared" ca="1" si="62"/>
        <v>Dormant</v>
      </c>
    </row>
    <row r="1302" spans="1:23" x14ac:dyDescent="0.2">
      <c r="A1302">
        <v>37</v>
      </c>
      <c r="B1302" t="s">
        <v>238</v>
      </c>
      <c r="C1302" t="s">
        <v>260</v>
      </c>
      <c r="D1302" s="1" t="s">
        <v>240</v>
      </c>
      <c r="E1302" t="s">
        <v>241</v>
      </c>
      <c r="F1302" t="s">
        <v>134</v>
      </c>
      <c r="G1302" s="4" t="s">
        <v>5422</v>
      </c>
      <c r="H1302" t="s">
        <v>242</v>
      </c>
      <c r="I1302" t="s">
        <v>59</v>
      </c>
      <c r="J1302" s="4" t="s">
        <v>5417</v>
      </c>
      <c r="K1302" t="s">
        <v>261</v>
      </c>
      <c r="L1302">
        <v>4</v>
      </c>
      <c r="M1302" t="s">
        <v>250</v>
      </c>
      <c r="N1302" t="s">
        <v>244</v>
      </c>
      <c r="O1302" t="s">
        <v>244</v>
      </c>
      <c r="P1302" s="2" t="str">
        <f t="shared" si="60"/>
        <v>20/08/2025 to 25/08/2025</v>
      </c>
      <c r="Q1302" s="3">
        <v>45893</v>
      </c>
      <c r="R1302" t="str">
        <f t="shared" si="61"/>
        <v>On-Time</v>
      </c>
      <c r="S1302" t="s">
        <v>247</v>
      </c>
      <c r="T1302">
        <v>37.5</v>
      </c>
      <c r="U1302" t="s">
        <v>79</v>
      </c>
      <c r="V1302" t="s">
        <v>66</v>
      </c>
      <c r="W1302" t="str">
        <f t="shared" ca="1" si="62"/>
        <v>Dormant</v>
      </c>
    </row>
    <row r="1303" spans="1:23" x14ac:dyDescent="0.2">
      <c r="A1303">
        <v>1069</v>
      </c>
      <c r="B1303" t="s">
        <v>3231</v>
      </c>
      <c r="C1303" t="s">
        <v>3232</v>
      </c>
      <c r="D1303" s="1" t="s">
        <v>250</v>
      </c>
      <c r="E1303" t="s">
        <v>3233</v>
      </c>
      <c r="F1303" t="s">
        <v>536</v>
      </c>
      <c r="G1303" s="4" t="s">
        <v>5419</v>
      </c>
      <c r="H1303" t="s">
        <v>3234</v>
      </c>
      <c r="I1303" t="s">
        <v>112</v>
      </c>
      <c r="J1303" s="4" t="s">
        <v>60</v>
      </c>
      <c r="K1303" t="s">
        <v>20</v>
      </c>
      <c r="L1303">
        <v>1</v>
      </c>
      <c r="M1303" t="s">
        <v>250</v>
      </c>
      <c r="N1303" t="s">
        <v>250</v>
      </c>
      <c r="O1303" t="s">
        <v>244</v>
      </c>
      <c r="P1303" s="2" t="str">
        <f t="shared" si="60"/>
        <v>20/08/2025 to 25/08/2025</v>
      </c>
      <c r="Q1303" s="3">
        <v>45888</v>
      </c>
      <c r="R1303" t="str">
        <f t="shared" si="61"/>
        <v>Late</v>
      </c>
      <c r="S1303" t="s">
        <v>251</v>
      </c>
      <c r="T1303">
        <v>10.5</v>
      </c>
      <c r="U1303" t="s">
        <v>79</v>
      </c>
      <c r="V1303" t="s">
        <v>66</v>
      </c>
      <c r="W1303" t="str">
        <f t="shared" ca="1" si="62"/>
        <v>Dormant</v>
      </c>
    </row>
    <row r="1304" spans="1:23" x14ac:dyDescent="0.2">
      <c r="A1304">
        <v>1070</v>
      </c>
      <c r="B1304" t="s">
        <v>3231</v>
      </c>
      <c r="C1304" t="s">
        <v>3235</v>
      </c>
      <c r="D1304" s="1" t="s">
        <v>250</v>
      </c>
      <c r="E1304" t="s">
        <v>3233</v>
      </c>
      <c r="F1304" t="s">
        <v>536</v>
      </c>
      <c r="G1304" s="4" t="s">
        <v>5422</v>
      </c>
      <c r="H1304" t="s">
        <v>3234</v>
      </c>
      <c r="I1304" t="s">
        <v>112</v>
      </c>
      <c r="J1304" s="4" t="s">
        <v>68</v>
      </c>
      <c r="K1304" t="s">
        <v>8</v>
      </c>
      <c r="L1304">
        <v>1</v>
      </c>
      <c r="M1304" t="s">
        <v>255</v>
      </c>
      <c r="N1304" t="s">
        <v>255</v>
      </c>
      <c r="O1304" t="s">
        <v>255</v>
      </c>
      <c r="P1304" s="2" t="str">
        <f t="shared" si="60"/>
        <v>22/08/2025 to 27/08/2025</v>
      </c>
      <c r="Q1304" s="3">
        <v>45890</v>
      </c>
      <c r="R1304" t="str">
        <f t="shared" si="61"/>
        <v>Late</v>
      </c>
      <c r="S1304" t="s">
        <v>252</v>
      </c>
      <c r="T1304">
        <v>9</v>
      </c>
      <c r="U1304" t="s">
        <v>79</v>
      </c>
      <c r="V1304" t="s">
        <v>66</v>
      </c>
      <c r="W1304" t="str">
        <f t="shared" ca="1" si="62"/>
        <v>Dormant</v>
      </c>
    </row>
    <row r="1305" spans="1:23" x14ac:dyDescent="0.2">
      <c r="A1305">
        <v>1990</v>
      </c>
      <c r="B1305" t="s">
        <v>5383</v>
      </c>
      <c r="C1305" t="s">
        <v>5384</v>
      </c>
      <c r="D1305" s="1" t="s">
        <v>250</v>
      </c>
      <c r="E1305" t="s">
        <v>5385</v>
      </c>
      <c r="F1305" t="s">
        <v>424</v>
      </c>
      <c r="G1305" s="4" t="s">
        <v>5418</v>
      </c>
      <c r="H1305" t="s">
        <v>1796</v>
      </c>
      <c r="I1305" t="s">
        <v>93</v>
      </c>
      <c r="J1305" s="4" t="s">
        <v>74</v>
      </c>
      <c r="K1305" t="s">
        <v>26</v>
      </c>
      <c r="L1305">
        <v>1</v>
      </c>
      <c r="M1305" t="s">
        <v>244</v>
      </c>
      <c r="N1305" t="s">
        <v>255</v>
      </c>
      <c r="O1305" t="s">
        <v>245</v>
      </c>
      <c r="P1305" s="2" t="str">
        <f t="shared" si="60"/>
        <v>21/08/2025 to 26/08/2025</v>
      </c>
      <c r="Q1305" s="3">
        <v>45890</v>
      </c>
      <c r="R1305" t="str">
        <f t="shared" si="61"/>
        <v>On-Time</v>
      </c>
      <c r="S1305" t="s">
        <v>259</v>
      </c>
      <c r="T1305">
        <v>9</v>
      </c>
      <c r="U1305" t="s">
        <v>65</v>
      </c>
      <c r="V1305" t="s">
        <v>80</v>
      </c>
      <c r="W1305" t="str">
        <f t="shared" ca="1" si="62"/>
        <v>Dormant</v>
      </c>
    </row>
    <row r="1306" spans="1:23" x14ac:dyDescent="0.2">
      <c r="A1306">
        <v>115</v>
      </c>
      <c r="B1306" t="s">
        <v>629</v>
      </c>
      <c r="C1306" t="s">
        <v>630</v>
      </c>
      <c r="D1306" s="1" t="s">
        <v>244</v>
      </c>
      <c r="E1306" t="s">
        <v>631</v>
      </c>
      <c r="F1306" t="s">
        <v>335</v>
      </c>
      <c r="G1306" s="4" t="s">
        <v>5418</v>
      </c>
      <c r="H1306" t="s">
        <v>632</v>
      </c>
      <c r="I1306" t="s">
        <v>112</v>
      </c>
      <c r="J1306" s="4" t="s">
        <v>68</v>
      </c>
      <c r="K1306" t="s">
        <v>24</v>
      </c>
      <c r="L1306">
        <v>1</v>
      </c>
      <c r="M1306" t="s">
        <v>255</v>
      </c>
      <c r="N1306" t="s">
        <v>633</v>
      </c>
      <c r="O1306" t="s">
        <v>633</v>
      </c>
      <c r="P1306" s="2" t="str">
        <f t="shared" si="60"/>
        <v>22/08/2025 to 27/08/2025</v>
      </c>
      <c r="Q1306" s="3">
        <v>45897</v>
      </c>
      <c r="R1306" t="str">
        <f t="shared" si="61"/>
        <v>Late</v>
      </c>
      <c r="S1306" t="s">
        <v>280</v>
      </c>
      <c r="T1306">
        <v>8</v>
      </c>
      <c r="U1306" t="s">
        <v>65</v>
      </c>
      <c r="V1306" t="s">
        <v>80</v>
      </c>
      <c r="W1306" t="str">
        <f t="shared" ca="1" si="62"/>
        <v>Dormant</v>
      </c>
    </row>
    <row r="1307" spans="1:23" x14ac:dyDescent="0.2">
      <c r="A1307">
        <v>116</v>
      </c>
      <c r="B1307" t="s">
        <v>629</v>
      </c>
      <c r="C1307" t="s">
        <v>634</v>
      </c>
      <c r="D1307" s="1" t="s">
        <v>244</v>
      </c>
      <c r="E1307" t="s">
        <v>631</v>
      </c>
      <c r="F1307" t="s">
        <v>335</v>
      </c>
      <c r="G1307" s="4" t="s">
        <v>5423</v>
      </c>
      <c r="H1307" t="s">
        <v>632</v>
      </c>
      <c r="I1307" t="s">
        <v>112</v>
      </c>
      <c r="J1307" s="4" t="s">
        <v>74</v>
      </c>
      <c r="K1307" t="s">
        <v>635</v>
      </c>
      <c r="L1307">
        <v>3</v>
      </c>
      <c r="M1307" t="s">
        <v>255</v>
      </c>
      <c r="N1307" t="s">
        <v>245</v>
      </c>
      <c r="O1307" t="s">
        <v>633</v>
      </c>
      <c r="P1307" s="2" t="str">
        <f t="shared" si="60"/>
        <v>22/08/2025 to 27/08/2025</v>
      </c>
      <c r="Q1307" s="3">
        <v>45892</v>
      </c>
      <c r="R1307" t="str">
        <f t="shared" si="61"/>
        <v>On-Time</v>
      </c>
      <c r="S1307" t="s">
        <v>252</v>
      </c>
      <c r="T1307">
        <v>26</v>
      </c>
      <c r="U1307" t="s">
        <v>65</v>
      </c>
      <c r="V1307" t="s">
        <v>80</v>
      </c>
      <c r="W1307" t="str">
        <f t="shared" ca="1" si="62"/>
        <v>Dormant</v>
      </c>
    </row>
    <row r="1308" spans="1:23" x14ac:dyDescent="0.2">
      <c r="A1308">
        <v>117</v>
      </c>
      <c r="B1308" t="s">
        <v>629</v>
      </c>
      <c r="C1308" t="s">
        <v>636</v>
      </c>
      <c r="D1308" s="1" t="s">
        <v>244</v>
      </c>
      <c r="E1308" t="s">
        <v>631</v>
      </c>
      <c r="F1308" t="s">
        <v>335</v>
      </c>
      <c r="G1308" s="4" t="s">
        <v>5419</v>
      </c>
      <c r="H1308" t="s">
        <v>632</v>
      </c>
      <c r="I1308" t="s">
        <v>112</v>
      </c>
      <c r="J1308" s="4" t="s">
        <v>5417</v>
      </c>
      <c r="K1308" t="s">
        <v>28</v>
      </c>
      <c r="L1308">
        <v>1</v>
      </c>
      <c r="M1308" t="s">
        <v>255</v>
      </c>
      <c r="N1308" t="s">
        <v>633</v>
      </c>
      <c r="O1308" t="s">
        <v>633</v>
      </c>
      <c r="P1308" s="2" t="str">
        <f t="shared" si="60"/>
        <v>22/08/2025 to 27/08/2025</v>
      </c>
      <c r="Q1308" s="3">
        <v>45893</v>
      </c>
      <c r="R1308" t="str">
        <f t="shared" si="61"/>
        <v>On-Time</v>
      </c>
      <c r="S1308" t="s">
        <v>246</v>
      </c>
      <c r="T1308">
        <v>9</v>
      </c>
      <c r="U1308" t="s">
        <v>65</v>
      </c>
      <c r="V1308" t="s">
        <v>80</v>
      </c>
      <c r="W1308" t="str">
        <f t="shared" ca="1" si="62"/>
        <v>Dormant</v>
      </c>
    </row>
    <row r="1309" spans="1:23" x14ac:dyDescent="0.2">
      <c r="A1309">
        <v>118</v>
      </c>
      <c r="B1309" t="s">
        <v>629</v>
      </c>
      <c r="C1309" t="s">
        <v>637</v>
      </c>
      <c r="D1309" s="1" t="s">
        <v>244</v>
      </c>
      <c r="E1309" t="s">
        <v>631</v>
      </c>
      <c r="F1309" t="s">
        <v>335</v>
      </c>
      <c r="G1309" s="4" t="s">
        <v>5420</v>
      </c>
      <c r="H1309" t="s">
        <v>632</v>
      </c>
      <c r="I1309" t="s">
        <v>112</v>
      </c>
      <c r="J1309" s="4" t="s">
        <v>5417</v>
      </c>
      <c r="K1309" t="s">
        <v>22</v>
      </c>
      <c r="L1309">
        <v>1</v>
      </c>
      <c r="M1309" t="s">
        <v>244</v>
      </c>
      <c r="N1309" t="s">
        <v>255</v>
      </c>
      <c r="O1309" t="s">
        <v>245</v>
      </c>
      <c r="P1309" s="2" t="str">
        <f t="shared" si="60"/>
        <v>21/08/2025 to 26/08/2025</v>
      </c>
      <c r="Q1309" s="3">
        <v>45892</v>
      </c>
      <c r="R1309" t="str">
        <f t="shared" si="61"/>
        <v>On-Time</v>
      </c>
      <c r="S1309" t="s">
        <v>246</v>
      </c>
      <c r="T1309">
        <v>8</v>
      </c>
      <c r="U1309" t="s">
        <v>65</v>
      </c>
      <c r="V1309" t="s">
        <v>72</v>
      </c>
      <c r="W1309" t="str">
        <f t="shared" ca="1" si="62"/>
        <v>Dormant</v>
      </c>
    </row>
    <row r="1310" spans="1:23" x14ac:dyDescent="0.2">
      <c r="A1310">
        <v>119</v>
      </c>
      <c r="B1310" t="s">
        <v>629</v>
      </c>
      <c r="C1310" t="s">
        <v>638</v>
      </c>
      <c r="D1310" s="1" t="s">
        <v>244</v>
      </c>
      <c r="E1310" t="s">
        <v>631</v>
      </c>
      <c r="F1310" t="s">
        <v>335</v>
      </c>
      <c r="G1310" s="4" t="s">
        <v>5421</v>
      </c>
      <c r="H1310" t="s">
        <v>632</v>
      </c>
      <c r="I1310" t="s">
        <v>112</v>
      </c>
      <c r="J1310" s="4" t="s">
        <v>60</v>
      </c>
      <c r="K1310" t="s">
        <v>639</v>
      </c>
      <c r="L1310">
        <v>3</v>
      </c>
      <c r="M1310" t="s">
        <v>245</v>
      </c>
      <c r="N1310" t="s">
        <v>633</v>
      </c>
      <c r="O1310" t="s">
        <v>245</v>
      </c>
      <c r="P1310" s="2" t="str">
        <f t="shared" si="60"/>
        <v>25/08/2025 to 28/08/2025</v>
      </c>
      <c r="Q1310" s="3">
        <v>45893</v>
      </c>
      <c r="R1310" t="str">
        <f t="shared" si="61"/>
        <v>Late</v>
      </c>
      <c r="S1310" t="s">
        <v>247</v>
      </c>
      <c r="T1310">
        <v>27.5</v>
      </c>
      <c r="U1310" t="s">
        <v>65</v>
      </c>
      <c r="V1310" t="s">
        <v>80</v>
      </c>
      <c r="W1310" t="str">
        <f t="shared" ca="1" si="62"/>
        <v>Dormant</v>
      </c>
    </row>
    <row r="1311" spans="1:23" x14ac:dyDescent="0.2">
      <c r="A1311">
        <v>463</v>
      </c>
      <c r="B1311" t="s">
        <v>1710</v>
      </c>
      <c r="C1311" t="s">
        <v>1711</v>
      </c>
      <c r="D1311" s="1" t="s">
        <v>244</v>
      </c>
      <c r="E1311" t="s">
        <v>1712</v>
      </c>
      <c r="F1311" t="s">
        <v>159</v>
      </c>
      <c r="G1311" s="4" t="s">
        <v>38</v>
      </c>
      <c r="H1311" t="s">
        <v>1713</v>
      </c>
      <c r="I1311" t="s">
        <v>136</v>
      </c>
      <c r="J1311" s="4" t="s">
        <v>68</v>
      </c>
      <c r="K1311" t="s">
        <v>1714</v>
      </c>
      <c r="L1311">
        <v>3</v>
      </c>
      <c r="M1311" t="s">
        <v>245</v>
      </c>
      <c r="N1311" t="s">
        <v>633</v>
      </c>
      <c r="O1311" t="s">
        <v>633</v>
      </c>
      <c r="P1311" s="2" t="str">
        <f t="shared" si="60"/>
        <v>25/08/2025 to 28/08/2025</v>
      </c>
      <c r="Q1311" s="3">
        <v>45896</v>
      </c>
      <c r="R1311" t="str">
        <f t="shared" si="61"/>
        <v>On-Time</v>
      </c>
      <c r="S1311" t="s">
        <v>280</v>
      </c>
      <c r="T1311">
        <v>28</v>
      </c>
      <c r="U1311" t="s">
        <v>65</v>
      </c>
      <c r="V1311" t="s">
        <v>72</v>
      </c>
      <c r="W1311" t="str">
        <f t="shared" ca="1" si="62"/>
        <v>Dormant</v>
      </c>
    </row>
    <row r="1312" spans="1:23" x14ac:dyDescent="0.2">
      <c r="A1312">
        <v>1851</v>
      </c>
      <c r="B1312" t="s">
        <v>5071</v>
      </c>
      <c r="C1312" t="s">
        <v>5072</v>
      </c>
      <c r="D1312" s="1" t="s">
        <v>244</v>
      </c>
      <c r="E1312" t="s">
        <v>5073</v>
      </c>
      <c r="F1312" t="s">
        <v>1658</v>
      </c>
      <c r="G1312" s="4" t="s">
        <v>5424</v>
      </c>
      <c r="H1312" t="s">
        <v>3657</v>
      </c>
      <c r="I1312" t="s">
        <v>136</v>
      </c>
      <c r="J1312" s="4" t="s">
        <v>74</v>
      </c>
      <c r="K1312" t="s">
        <v>663</v>
      </c>
      <c r="L1312">
        <v>2</v>
      </c>
      <c r="M1312" t="s">
        <v>245</v>
      </c>
      <c r="N1312" t="s">
        <v>633</v>
      </c>
      <c r="O1312" t="s">
        <v>245</v>
      </c>
      <c r="P1312" s="2" t="str">
        <f t="shared" si="60"/>
        <v>25/08/2025 to 28/08/2025</v>
      </c>
      <c r="Q1312" s="3">
        <v>45896</v>
      </c>
      <c r="R1312" t="str">
        <f t="shared" si="61"/>
        <v>On-Time</v>
      </c>
      <c r="S1312" t="s">
        <v>275</v>
      </c>
      <c r="T1312">
        <v>18.5</v>
      </c>
      <c r="U1312" t="s">
        <v>79</v>
      </c>
      <c r="V1312" t="s">
        <v>80</v>
      </c>
      <c r="W1312" t="str">
        <f t="shared" ca="1" si="62"/>
        <v>Dormant</v>
      </c>
    </row>
    <row r="1313" spans="1:23" x14ac:dyDescent="0.2">
      <c r="A1313">
        <v>1852</v>
      </c>
      <c r="B1313" t="s">
        <v>5071</v>
      </c>
      <c r="C1313" t="s">
        <v>5074</v>
      </c>
      <c r="D1313" s="1" t="s">
        <v>244</v>
      </c>
      <c r="E1313" t="s">
        <v>5073</v>
      </c>
      <c r="F1313" t="s">
        <v>1658</v>
      </c>
      <c r="G1313" s="4" t="s">
        <v>5422</v>
      </c>
      <c r="H1313" t="s">
        <v>3657</v>
      </c>
      <c r="I1313" t="s">
        <v>136</v>
      </c>
      <c r="J1313" s="4" t="s">
        <v>68</v>
      </c>
      <c r="K1313" t="s">
        <v>4959</v>
      </c>
      <c r="L1313">
        <v>3</v>
      </c>
      <c r="M1313" t="s">
        <v>255</v>
      </c>
      <c r="N1313" t="s">
        <v>633</v>
      </c>
      <c r="O1313" t="s">
        <v>245</v>
      </c>
      <c r="P1313" s="2" t="str">
        <f t="shared" si="60"/>
        <v>22/08/2025 to 27/08/2025</v>
      </c>
      <c r="Q1313" s="3">
        <v>45894</v>
      </c>
      <c r="R1313" t="str">
        <f t="shared" si="61"/>
        <v>On-Time</v>
      </c>
      <c r="S1313" t="s">
        <v>275</v>
      </c>
      <c r="T1313">
        <v>37</v>
      </c>
      <c r="U1313" t="s">
        <v>65</v>
      </c>
      <c r="V1313" t="s">
        <v>72</v>
      </c>
      <c r="W1313" t="str">
        <f t="shared" ca="1" si="62"/>
        <v>Dormant</v>
      </c>
    </row>
    <row r="1314" spans="1:23" x14ac:dyDescent="0.2">
      <c r="A1314">
        <v>1853</v>
      </c>
      <c r="B1314" t="s">
        <v>5071</v>
      </c>
      <c r="C1314" t="s">
        <v>5075</v>
      </c>
      <c r="D1314" s="1" t="s">
        <v>244</v>
      </c>
      <c r="E1314" t="s">
        <v>5073</v>
      </c>
      <c r="F1314" t="s">
        <v>1658</v>
      </c>
      <c r="G1314" s="4" t="s">
        <v>5424</v>
      </c>
      <c r="H1314" t="s">
        <v>3657</v>
      </c>
      <c r="I1314" t="s">
        <v>136</v>
      </c>
      <c r="J1314" s="4" t="s">
        <v>74</v>
      </c>
      <c r="K1314" t="s">
        <v>20</v>
      </c>
      <c r="L1314">
        <v>1</v>
      </c>
      <c r="M1314" t="s">
        <v>255</v>
      </c>
      <c r="N1314" t="s">
        <v>245</v>
      </c>
      <c r="O1314" t="s">
        <v>245</v>
      </c>
      <c r="P1314" s="2" t="str">
        <f t="shared" si="60"/>
        <v>22/08/2025 to 27/08/2025</v>
      </c>
      <c r="Q1314" s="3">
        <v>45890</v>
      </c>
      <c r="R1314" t="str">
        <f t="shared" si="61"/>
        <v>Late</v>
      </c>
      <c r="S1314" t="s">
        <v>259</v>
      </c>
      <c r="T1314">
        <v>10.5</v>
      </c>
      <c r="U1314" t="s">
        <v>79</v>
      </c>
      <c r="V1314" t="s">
        <v>66</v>
      </c>
      <c r="W1314" t="str">
        <f t="shared" ca="1" si="62"/>
        <v>Dormant</v>
      </c>
    </row>
    <row r="1315" spans="1:23" x14ac:dyDescent="0.2">
      <c r="A1315">
        <v>1854</v>
      </c>
      <c r="B1315" t="s">
        <v>5071</v>
      </c>
      <c r="C1315" t="s">
        <v>5076</v>
      </c>
      <c r="D1315" s="1" t="s">
        <v>244</v>
      </c>
      <c r="E1315" t="s">
        <v>5073</v>
      </c>
      <c r="F1315" t="s">
        <v>1658</v>
      </c>
      <c r="G1315" s="4" t="s">
        <v>38</v>
      </c>
      <c r="H1315" t="s">
        <v>3657</v>
      </c>
      <c r="I1315" t="s">
        <v>136</v>
      </c>
      <c r="J1315" s="4" t="s">
        <v>5417</v>
      </c>
      <c r="K1315" t="s">
        <v>5077</v>
      </c>
      <c r="L1315">
        <v>3</v>
      </c>
      <c r="M1315" t="s">
        <v>255</v>
      </c>
      <c r="N1315" t="s">
        <v>255</v>
      </c>
      <c r="O1315" t="s">
        <v>255</v>
      </c>
      <c r="P1315" s="2" t="str">
        <f t="shared" si="60"/>
        <v>22/08/2025 to 27/08/2025</v>
      </c>
      <c r="Q1315" s="3">
        <v>45889</v>
      </c>
      <c r="R1315" t="str">
        <f t="shared" si="61"/>
        <v>Late</v>
      </c>
      <c r="S1315" t="s">
        <v>271</v>
      </c>
      <c r="T1315">
        <v>28.5</v>
      </c>
      <c r="U1315" t="s">
        <v>65</v>
      </c>
      <c r="V1315" t="s">
        <v>80</v>
      </c>
      <c r="W1315" t="str">
        <f t="shared" ca="1" si="62"/>
        <v>Dormant</v>
      </c>
    </row>
    <row r="1316" spans="1:23" x14ac:dyDescent="0.2">
      <c r="A1316">
        <v>1855</v>
      </c>
      <c r="B1316" t="s">
        <v>5071</v>
      </c>
      <c r="C1316" t="s">
        <v>5078</v>
      </c>
      <c r="D1316" s="1" t="s">
        <v>244</v>
      </c>
      <c r="E1316" t="s">
        <v>5073</v>
      </c>
      <c r="F1316" t="s">
        <v>1658</v>
      </c>
      <c r="G1316" s="4" t="s">
        <v>5428</v>
      </c>
      <c r="H1316" t="s">
        <v>3657</v>
      </c>
      <c r="I1316" t="s">
        <v>136</v>
      </c>
      <c r="J1316" s="4" t="s">
        <v>60</v>
      </c>
      <c r="K1316" t="s">
        <v>5079</v>
      </c>
      <c r="L1316">
        <v>4</v>
      </c>
      <c r="M1316" t="s">
        <v>255</v>
      </c>
      <c r="N1316" t="s">
        <v>245</v>
      </c>
      <c r="O1316" t="s">
        <v>633</v>
      </c>
      <c r="P1316" s="2" t="str">
        <f t="shared" si="60"/>
        <v>22/08/2025 to 27/08/2025</v>
      </c>
      <c r="Q1316" s="3">
        <v>45895</v>
      </c>
      <c r="R1316" t="str">
        <f t="shared" si="61"/>
        <v>On-Time</v>
      </c>
      <c r="S1316" t="s">
        <v>247</v>
      </c>
      <c r="T1316">
        <v>43.5</v>
      </c>
      <c r="U1316" t="s">
        <v>79</v>
      </c>
      <c r="V1316" t="s">
        <v>72</v>
      </c>
      <c r="W1316" t="str">
        <f t="shared" ca="1" si="62"/>
        <v>Dormant</v>
      </c>
    </row>
    <row r="1317" spans="1:23" x14ac:dyDescent="0.2">
      <c r="A1317">
        <v>270</v>
      </c>
      <c r="B1317" t="s">
        <v>1172</v>
      </c>
      <c r="C1317" t="s">
        <v>1173</v>
      </c>
      <c r="D1317" s="1" t="s">
        <v>255</v>
      </c>
      <c r="E1317" t="s">
        <v>1174</v>
      </c>
      <c r="F1317" t="s">
        <v>741</v>
      </c>
      <c r="G1317" s="4" t="s">
        <v>5426</v>
      </c>
      <c r="H1317" t="s">
        <v>111</v>
      </c>
      <c r="I1317" t="s">
        <v>112</v>
      </c>
      <c r="J1317" s="4" t="s">
        <v>68</v>
      </c>
      <c r="K1317" t="s">
        <v>22</v>
      </c>
      <c r="L1317">
        <v>1</v>
      </c>
      <c r="M1317" t="s">
        <v>633</v>
      </c>
      <c r="N1317" t="s">
        <v>633</v>
      </c>
      <c r="O1317" t="s">
        <v>264</v>
      </c>
      <c r="P1317" s="2" t="str">
        <f t="shared" si="60"/>
        <v>26/08/2025 to 29/08/2025</v>
      </c>
      <c r="Q1317" s="3">
        <v>45894</v>
      </c>
      <c r="R1317" t="str">
        <f t="shared" si="61"/>
        <v>Late</v>
      </c>
      <c r="S1317" t="s">
        <v>256</v>
      </c>
      <c r="T1317">
        <v>8</v>
      </c>
      <c r="U1317" t="s">
        <v>79</v>
      </c>
      <c r="V1317" t="s">
        <v>80</v>
      </c>
      <c r="W1317" t="str">
        <f t="shared" ca="1" si="62"/>
        <v>Dormant</v>
      </c>
    </row>
    <row r="1318" spans="1:23" x14ac:dyDescent="0.2">
      <c r="A1318">
        <v>271</v>
      </c>
      <c r="B1318" t="s">
        <v>1172</v>
      </c>
      <c r="C1318" t="s">
        <v>1175</v>
      </c>
      <c r="D1318" s="1" t="s">
        <v>255</v>
      </c>
      <c r="E1318" t="s">
        <v>1174</v>
      </c>
      <c r="F1318" t="s">
        <v>741</v>
      </c>
      <c r="G1318" s="4" t="s">
        <v>5420</v>
      </c>
      <c r="H1318" t="s">
        <v>111</v>
      </c>
      <c r="I1318" t="s">
        <v>112</v>
      </c>
      <c r="J1318" s="4" t="s">
        <v>68</v>
      </c>
      <c r="K1318" t="s">
        <v>1176</v>
      </c>
      <c r="L1318">
        <v>4</v>
      </c>
      <c r="M1318" t="s">
        <v>255</v>
      </c>
      <c r="N1318" t="s">
        <v>255</v>
      </c>
      <c r="O1318" t="s">
        <v>245</v>
      </c>
      <c r="P1318" s="2" t="str">
        <f t="shared" si="60"/>
        <v>22/08/2025 to 27/08/2025</v>
      </c>
      <c r="Q1318" s="3">
        <v>45893</v>
      </c>
      <c r="R1318" t="str">
        <f t="shared" si="61"/>
        <v>On-Time</v>
      </c>
      <c r="S1318" t="s">
        <v>247</v>
      </c>
      <c r="T1318">
        <v>40.5</v>
      </c>
      <c r="U1318" t="s">
        <v>79</v>
      </c>
      <c r="V1318" t="s">
        <v>72</v>
      </c>
      <c r="W1318" t="str">
        <f t="shared" ca="1" si="62"/>
        <v>Dormant</v>
      </c>
    </row>
    <row r="1319" spans="1:23" x14ac:dyDescent="0.2">
      <c r="A1319">
        <v>546</v>
      </c>
      <c r="B1319" t="s">
        <v>1941</v>
      </c>
      <c r="C1319" t="s">
        <v>1942</v>
      </c>
      <c r="D1319" s="1" t="s">
        <v>245</v>
      </c>
      <c r="E1319" t="s">
        <v>1943</v>
      </c>
      <c r="F1319" t="s">
        <v>1204</v>
      </c>
      <c r="G1319" s="4" t="s">
        <v>5419</v>
      </c>
      <c r="H1319" t="s">
        <v>1299</v>
      </c>
      <c r="I1319" t="s">
        <v>136</v>
      </c>
      <c r="J1319" s="4" t="s">
        <v>60</v>
      </c>
      <c r="K1319" t="s">
        <v>628</v>
      </c>
      <c r="L1319">
        <v>2</v>
      </c>
      <c r="M1319" t="s">
        <v>633</v>
      </c>
      <c r="N1319" t="s">
        <v>892</v>
      </c>
      <c r="O1319" t="s">
        <v>264</v>
      </c>
      <c r="P1319" s="2" t="str">
        <f t="shared" si="60"/>
        <v>26/08/2025 to 29/08/2025</v>
      </c>
      <c r="Q1319" s="3">
        <v>45898</v>
      </c>
      <c r="R1319" t="str">
        <f t="shared" si="61"/>
        <v>On-Time</v>
      </c>
      <c r="S1319" t="s">
        <v>273</v>
      </c>
      <c r="T1319">
        <v>16.5</v>
      </c>
      <c r="U1319" t="s">
        <v>79</v>
      </c>
      <c r="V1319" t="s">
        <v>80</v>
      </c>
      <c r="W1319" t="str">
        <f t="shared" ca="1" si="62"/>
        <v>Dormant</v>
      </c>
    </row>
    <row r="1320" spans="1:23" x14ac:dyDescent="0.2">
      <c r="A1320">
        <v>1509</v>
      </c>
      <c r="B1320" t="s">
        <v>4294</v>
      </c>
      <c r="C1320" t="s">
        <v>4295</v>
      </c>
      <c r="D1320" s="1" t="s">
        <v>245</v>
      </c>
      <c r="E1320" t="s">
        <v>4296</v>
      </c>
      <c r="F1320" t="s">
        <v>1267</v>
      </c>
      <c r="G1320" s="4" t="s">
        <v>5421</v>
      </c>
      <c r="H1320" t="s">
        <v>3685</v>
      </c>
      <c r="I1320" t="s">
        <v>112</v>
      </c>
      <c r="J1320" s="4" t="s">
        <v>60</v>
      </c>
      <c r="K1320" t="s">
        <v>4297</v>
      </c>
      <c r="L1320">
        <v>4</v>
      </c>
      <c r="M1320" t="s">
        <v>245</v>
      </c>
      <c r="N1320" t="s">
        <v>245</v>
      </c>
      <c r="O1320" t="s">
        <v>245</v>
      </c>
      <c r="P1320" s="2" t="str">
        <f t="shared" si="60"/>
        <v>25/08/2025 to 28/08/2025</v>
      </c>
      <c r="Q1320" s="3">
        <v>45894</v>
      </c>
      <c r="R1320" t="str">
        <f t="shared" si="61"/>
        <v>On-Time</v>
      </c>
      <c r="S1320" t="s">
        <v>247</v>
      </c>
      <c r="T1320">
        <v>36</v>
      </c>
      <c r="U1320" t="s">
        <v>65</v>
      </c>
      <c r="V1320" t="s">
        <v>72</v>
      </c>
      <c r="W1320" t="str">
        <f t="shared" ca="1" si="62"/>
        <v>Dormant</v>
      </c>
    </row>
    <row r="1321" spans="1:23" x14ac:dyDescent="0.2">
      <c r="A1321">
        <v>1510</v>
      </c>
      <c r="B1321" t="s">
        <v>4294</v>
      </c>
      <c r="C1321" t="s">
        <v>4298</v>
      </c>
      <c r="D1321" s="1" t="s">
        <v>245</v>
      </c>
      <c r="E1321" t="s">
        <v>4296</v>
      </c>
      <c r="F1321" t="s">
        <v>1267</v>
      </c>
      <c r="G1321" s="4" t="s">
        <v>5418</v>
      </c>
      <c r="H1321" t="s">
        <v>3685</v>
      </c>
      <c r="I1321" t="s">
        <v>112</v>
      </c>
      <c r="J1321" s="4" t="s">
        <v>60</v>
      </c>
      <c r="K1321" t="s">
        <v>4299</v>
      </c>
      <c r="L1321">
        <v>4</v>
      </c>
      <c r="M1321" t="s">
        <v>633</v>
      </c>
      <c r="N1321" t="s">
        <v>264</v>
      </c>
      <c r="O1321" t="s">
        <v>633</v>
      </c>
      <c r="P1321" s="2" t="str">
        <f t="shared" si="60"/>
        <v>26/08/2025 to 29/08/2025</v>
      </c>
      <c r="Q1321" s="3">
        <v>45895</v>
      </c>
      <c r="R1321" t="str">
        <f t="shared" si="61"/>
        <v>On-Time</v>
      </c>
      <c r="S1321" t="s">
        <v>247</v>
      </c>
      <c r="T1321">
        <v>37</v>
      </c>
      <c r="U1321" t="s">
        <v>65</v>
      </c>
      <c r="V1321" t="s">
        <v>80</v>
      </c>
      <c r="W1321" t="str">
        <f t="shared" ca="1" si="62"/>
        <v>Dormant</v>
      </c>
    </row>
    <row r="1322" spans="1:23" x14ac:dyDescent="0.2">
      <c r="A1322">
        <v>1511</v>
      </c>
      <c r="B1322" t="s">
        <v>4294</v>
      </c>
      <c r="C1322" t="s">
        <v>4300</v>
      </c>
      <c r="D1322" s="1" t="s">
        <v>245</v>
      </c>
      <c r="E1322" t="s">
        <v>4296</v>
      </c>
      <c r="F1322" t="s">
        <v>1267</v>
      </c>
      <c r="G1322" s="4" t="s">
        <v>5422</v>
      </c>
      <c r="H1322" t="s">
        <v>3685</v>
      </c>
      <c r="I1322" t="s">
        <v>112</v>
      </c>
      <c r="J1322" s="4" t="s">
        <v>60</v>
      </c>
      <c r="K1322" t="s">
        <v>3821</v>
      </c>
      <c r="L1322">
        <v>2</v>
      </c>
      <c r="M1322" t="s">
        <v>633</v>
      </c>
      <c r="N1322" t="s">
        <v>892</v>
      </c>
      <c r="O1322" t="s">
        <v>633</v>
      </c>
      <c r="P1322" s="2" t="str">
        <f t="shared" si="60"/>
        <v>26/08/2025 to 29/08/2025</v>
      </c>
      <c r="Q1322" s="3">
        <v>45891</v>
      </c>
      <c r="R1322" t="str">
        <f t="shared" si="61"/>
        <v>Late</v>
      </c>
      <c r="S1322" t="s">
        <v>246</v>
      </c>
      <c r="T1322">
        <v>22</v>
      </c>
      <c r="U1322" t="s">
        <v>79</v>
      </c>
      <c r="V1322" t="s">
        <v>72</v>
      </c>
      <c r="W1322" t="str">
        <f t="shared" ca="1" si="62"/>
        <v>Dormant</v>
      </c>
    </row>
    <row r="1323" spans="1:23" x14ac:dyDescent="0.2">
      <c r="A1323">
        <v>1512</v>
      </c>
      <c r="B1323" t="s">
        <v>4294</v>
      </c>
      <c r="C1323" t="s">
        <v>4301</v>
      </c>
      <c r="D1323" s="1" t="s">
        <v>245</v>
      </c>
      <c r="E1323" t="s">
        <v>4296</v>
      </c>
      <c r="F1323" t="s">
        <v>1267</v>
      </c>
      <c r="G1323" s="4" t="s">
        <v>5419</v>
      </c>
      <c r="H1323" t="s">
        <v>3685</v>
      </c>
      <c r="I1323" t="s">
        <v>112</v>
      </c>
      <c r="J1323" s="4" t="s">
        <v>68</v>
      </c>
      <c r="K1323" t="s">
        <v>4302</v>
      </c>
      <c r="L1323">
        <v>4</v>
      </c>
      <c r="M1323" t="s">
        <v>264</v>
      </c>
      <c r="N1323" t="s">
        <v>892</v>
      </c>
      <c r="O1323" t="s">
        <v>264</v>
      </c>
      <c r="P1323" s="2" t="str">
        <f t="shared" si="60"/>
        <v>26/08/2025 to 29/08/2025</v>
      </c>
      <c r="Q1323" s="3">
        <v>45898</v>
      </c>
      <c r="R1323" t="str">
        <f t="shared" si="61"/>
        <v>On-Time</v>
      </c>
      <c r="S1323" t="s">
        <v>280</v>
      </c>
      <c r="T1323">
        <v>35.5</v>
      </c>
      <c r="U1323" t="s">
        <v>79</v>
      </c>
      <c r="V1323" t="s">
        <v>66</v>
      </c>
      <c r="W1323" t="str">
        <f t="shared" ca="1" si="62"/>
        <v>Dormant</v>
      </c>
    </row>
    <row r="1324" spans="1:23" x14ac:dyDescent="0.2">
      <c r="A1324">
        <v>805</v>
      </c>
      <c r="B1324" t="s">
        <v>2585</v>
      </c>
      <c r="C1324" t="s">
        <v>2586</v>
      </c>
      <c r="D1324" s="1" t="s">
        <v>633</v>
      </c>
      <c r="E1324" t="s">
        <v>2587</v>
      </c>
      <c r="F1324" t="s">
        <v>1723</v>
      </c>
      <c r="G1324" s="4" t="s">
        <v>5427</v>
      </c>
      <c r="H1324" t="s">
        <v>2588</v>
      </c>
      <c r="I1324" t="s">
        <v>93</v>
      </c>
      <c r="J1324" s="4" t="s">
        <v>60</v>
      </c>
      <c r="K1324" t="s">
        <v>2589</v>
      </c>
      <c r="L1324">
        <v>4</v>
      </c>
      <c r="M1324" t="s">
        <v>892</v>
      </c>
      <c r="N1324" t="s">
        <v>892</v>
      </c>
      <c r="O1324" t="s">
        <v>270</v>
      </c>
      <c r="P1324" s="2" t="str">
        <f t="shared" si="60"/>
        <v>26/08/2025 to 29/08/2025</v>
      </c>
      <c r="Q1324" s="3">
        <v>45898</v>
      </c>
      <c r="R1324" t="str">
        <f t="shared" si="61"/>
        <v>On-Time</v>
      </c>
      <c r="S1324" t="s">
        <v>273</v>
      </c>
      <c r="T1324">
        <v>46.5</v>
      </c>
      <c r="U1324" t="s">
        <v>65</v>
      </c>
      <c r="V1324" t="s">
        <v>72</v>
      </c>
      <c r="W1324" t="str">
        <f t="shared" ca="1" si="62"/>
        <v>Dormant</v>
      </c>
    </row>
    <row r="1325" spans="1:23" x14ac:dyDescent="0.2">
      <c r="A1325">
        <v>806</v>
      </c>
      <c r="B1325" t="s">
        <v>2585</v>
      </c>
      <c r="C1325" t="s">
        <v>2590</v>
      </c>
      <c r="D1325" s="1" t="s">
        <v>633</v>
      </c>
      <c r="E1325" t="s">
        <v>2587</v>
      </c>
      <c r="F1325" t="s">
        <v>1723</v>
      </c>
      <c r="G1325" s="4" t="s">
        <v>5418</v>
      </c>
      <c r="H1325" t="s">
        <v>2588</v>
      </c>
      <c r="I1325" t="s">
        <v>93</v>
      </c>
      <c r="J1325" s="4" t="s">
        <v>60</v>
      </c>
      <c r="K1325" t="s">
        <v>12</v>
      </c>
      <c r="L1325">
        <v>1</v>
      </c>
      <c r="M1325" t="s">
        <v>264</v>
      </c>
      <c r="N1325" t="s">
        <v>892</v>
      </c>
      <c r="O1325" t="s">
        <v>264</v>
      </c>
      <c r="P1325" s="2" t="str">
        <f t="shared" si="60"/>
        <v>26/08/2025 to 29/08/2025</v>
      </c>
      <c r="Q1325" s="3">
        <v>45892</v>
      </c>
      <c r="R1325" t="str">
        <f t="shared" si="61"/>
        <v>Late</v>
      </c>
      <c r="S1325" t="s">
        <v>252</v>
      </c>
      <c r="T1325">
        <v>9.5</v>
      </c>
      <c r="U1325" t="s">
        <v>65</v>
      </c>
      <c r="V1325" t="s">
        <v>80</v>
      </c>
      <c r="W1325" t="str">
        <f t="shared" ca="1" si="62"/>
        <v>Dormant</v>
      </c>
    </row>
    <row r="1326" spans="1:23" x14ac:dyDescent="0.2">
      <c r="A1326">
        <v>807</v>
      </c>
      <c r="B1326" t="s">
        <v>2585</v>
      </c>
      <c r="C1326" t="s">
        <v>2591</v>
      </c>
      <c r="D1326" s="1" t="s">
        <v>633</v>
      </c>
      <c r="E1326" t="s">
        <v>2587</v>
      </c>
      <c r="F1326" t="s">
        <v>1723</v>
      </c>
      <c r="G1326" s="4" t="s">
        <v>5419</v>
      </c>
      <c r="H1326" t="s">
        <v>2588</v>
      </c>
      <c r="I1326" t="s">
        <v>93</v>
      </c>
      <c r="J1326" s="4" t="s">
        <v>5417</v>
      </c>
      <c r="K1326" t="s">
        <v>2592</v>
      </c>
      <c r="L1326">
        <v>3</v>
      </c>
      <c r="M1326" t="s">
        <v>264</v>
      </c>
      <c r="N1326" t="s">
        <v>892</v>
      </c>
      <c r="O1326" t="s">
        <v>269</v>
      </c>
      <c r="P1326" s="2" t="str">
        <f t="shared" si="60"/>
        <v>26/08/2025 to 29/08/2025</v>
      </c>
      <c r="Q1326" s="3">
        <v>45896</v>
      </c>
      <c r="R1326" t="str">
        <f t="shared" si="61"/>
        <v>On-Time</v>
      </c>
      <c r="S1326" t="s">
        <v>272</v>
      </c>
      <c r="T1326">
        <v>27</v>
      </c>
      <c r="U1326" t="s">
        <v>65</v>
      </c>
      <c r="V1326" t="s">
        <v>72</v>
      </c>
      <c r="W1326" t="str">
        <f t="shared" ca="1" si="62"/>
        <v>Dormant</v>
      </c>
    </row>
    <row r="1327" spans="1:23" x14ac:dyDescent="0.2">
      <c r="A1327">
        <v>1300</v>
      </c>
      <c r="B1327" t="s">
        <v>3779</v>
      </c>
      <c r="C1327" t="s">
        <v>3780</v>
      </c>
      <c r="D1327" s="1" t="s">
        <v>633</v>
      </c>
      <c r="E1327" t="s">
        <v>3781</v>
      </c>
      <c r="F1327" t="s">
        <v>579</v>
      </c>
      <c r="G1327" s="4" t="s">
        <v>5418</v>
      </c>
      <c r="H1327" t="s">
        <v>3782</v>
      </c>
      <c r="I1327" t="s">
        <v>201</v>
      </c>
      <c r="J1327" s="4" t="s">
        <v>60</v>
      </c>
      <c r="K1327" t="s">
        <v>18</v>
      </c>
      <c r="L1327">
        <v>1</v>
      </c>
      <c r="M1327" t="s">
        <v>264</v>
      </c>
      <c r="N1327" t="s">
        <v>269</v>
      </c>
      <c r="O1327" t="s">
        <v>264</v>
      </c>
      <c r="P1327" s="2" t="str">
        <f t="shared" si="60"/>
        <v>26/08/2025 to 29/08/2025</v>
      </c>
      <c r="Q1327" s="3">
        <v>45894</v>
      </c>
      <c r="R1327" t="str">
        <f t="shared" si="61"/>
        <v>Late</v>
      </c>
      <c r="S1327" t="s">
        <v>275</v>
      </c>
      <c r="T1327">
        <v>8.5</v>
      </c>
      <c r="U1327" t="s">
        <v>65</v>
      </c>
      <c r="V1327" t="s">
        <v>72</v>
      </c>
      <c r="W1327" t="str">
        <f t="shared" ca="1" si="62"/>
        <v>Dormant</v>
      </c>
    </row>
    <row r="1328" spans="1:23" x14ac:dyDescent="0.2">
      <c r="A1328">
        <v>1301</v>
      </c>
      <c r="B1328" t="s">
        <v>3779</v>
      </c>
      <c r="C1328" t="s">
        <v>3783</v>
      </c>
      <c r="D1328" s="1" t="s">
        <v>633</v>
      </c>
      <c r="E1328" t="s">
        <v>3781</v>
      </c>
      <c r="F1328" t="s">
        <v>579</v>
      </c>
      <c r="G1328" s="4" t="s">
        <v>5424</v>
      </c>
      <c r="H1328" t="s">
        <v>3782</v>
      </c>
      <c r="I1328" t="s">
        <v>201</v>
      </c>
      <c r="J1328" s="4" t="s">
        <v>74</v>
      </c>
      <c r="K1328" t="s">
        <v>1888</v>
      </c>
      <c r="L1328">
        <v>2</v>
      </c>
      <c r="M1328" t="s">
        <v>264</v>
      </c>
      <c r="N1328" t="s">
        <v>264</v>
      </c>
      <c r="O1328" t="s">
        <v>892</v>
      </c>
      <c r="P1328" s="2" t="str">
        <f t="shared" si="60"/>
        <v>26/08/2025 to 29/08/2025</v>
      </c>
      <c r="Q1328" s="3">
        <v>45897</v>
      </c>
      <c r="R1328" t="str">
        <f t="shared" si="61"/>
        <v>On-Time</v>
      </c>
      <c r="S1328" t="s">
        <v>272</v>
      </c>
      <c r="T1328">
        <v>18.5</v>
      </c>
      <c r="U1328" t="s">
        <v>79</v>
      </c>
      <c r="V1328" t="s">
        <v>72</v>
      </c>
      <c r="W1328" t="str">
        <f t="shared" ca="1" si="62"/>
        <v>Dormant</v>
      </c>
    </row>
    <row r="1329" spans="1:23" x14ac:dyDescent="0.2">
      <c r="A1329">
        <v>1412</v>
      </c>
      <c r="B1329" t="s">
        <v>4048</v>
      </c>
      <c r="C1329" t="s">
        <v>4049</v>
      </c>
      <c r="D1329" s="1" t="s">
        <v>633</v>
      </c>
      <c r="E1329" t="s">
        <v>4050</v>
      </c>
      <c r="F1329" t="s">
        <v>1829</v>
      </c>
      <c r="G1329" s="4" t="s">
        <v>5425</v>
      </c>
      <c r="H1329" t="s">
        <v>4051</v>
      </c>
      <c r="I1329" t="s">
        <v>112</v>
      </c>
      <c r="J1329" s="4" t="s">
        <v>5417</v>
      </c>
      <c r="K1329" t="s">
        <v>4052</v>
      </c>
      <c r="L1329">
        <v>4</v>
      </c>
      <c r="M1329" t="s">
        <v>264</v>
      </c>
      <c r="N1329" t="s">
        <v>269</v>
      </c>
      <c r="O1329" t="s">
        <v>269</v>
      </c>
      <c r="P1329" s="2" t="str">
        <f t="shared" si="60"/>
        <v>26/08/2025 to 29/08/2025</v>
      </c>
      <c r="Q1329" s="3">
        <v>45895</v>
      </c>
      <c r="R1329" t="str">
        <f t="shared" si="61"/>
        <v>On-Time</v>
      </c>
      <c r="S1329" t="s">
        <v>272</v>
      </c>
      <c r="T1329">
        <v>36</v>
      </c>
      <c r="U1329" t="s">
        <v>65</v>
      </c>
      <c r="V1329" t="s">
        <v>66</v>
      </c>
      <c r="W1329" t="str">
        <f t="shared" ca="1" si="62"/>
        <v>Dormant</v>
      </c>
    </row>
    <row r="1330" spans="1:23" x14ac:dyDescent="0.2">
      <c r="A1330">
        <v>1571</v>
      </c>
      <c r="B1330" t="s">
        <v>4435</v>
      </c>
      <c r="C1330" t="s">
        <v>4436</v>
      </c>
      <c r="D1330" s="1" t="s">
        <v>633</v>
      </c>
      <c r="E1330" t="s">
        <v>4437</v>
      </c>
      <c r="F1330" t="s">
        <v>910</v>
      </c>
      <c r="G1330" s="4" t="s">
        <v>5428</v>
      </c>
      <c r="H1330" t="s">
        <v>4438</v>
      </c>
      <c r="I1330" t="s">
        <v>112</v>
      </c>
      <c r="J1330" s="4" t="s">
        <v>60</v>
      </c>
      <c r="K1330" t="s">
        <v>32</v>
      </c>
      <c r="L1330">
        <v>1</v>
      </c>
      <c r="M1330" t="s">
        <v>633</v>
      </c>
      <c r="N1330" t="s">
        <v>892</v>
      </c>
      <c r="O1330" t="s">
        <v>892</v>
      </c>
      <c r="P1330" s="2" t="str">
        <f t="shared" si="60"/>
        <v>26/08/2025 to 29/08/2025</v>
      </c>
      <c r="Q1330" s="3">
        <v>45895</v>
      </c>
      <c r="R1330" t="str">
        <f t="shared" si="61"/>
        <v>On-Time</v>
      </c>
      <c r="S1330" t="s">
        <v>275</v>
      </c>
      <c r="T1330">
        <v>14</v>
      </c>
      <c r="U1330" t="s">
        <v>65</v>
      </c>
      <c r="V1330" t="s">
        <v>66</v>
      </c>
      <c r="W1330" t="str">
        <f t="shared" ca="1" si="62"/>
        <v>Dormant</v>
      </c>
    </row>
    <row r="1331" spans="1:23" x14ac:dyDescent="0.2">
      <c r="A1331">
        <v>1572</v>
      </c>
      <c r="B1331" t="s">
        <v>4435</v>
      </c>
      <c r="C1331" t="s">
        <v>4439</v>
      </c>
      <c r="D1331" s="1" t="s">
        <v>633</v>
      </c>
      <c r="E1331" t="s">
        <v>4437</v>
      </c>
      <c r="F1331" t="s">
        <v>910</v>
      </c>
      <c r="G1331" s="4" t="s">
        <v>5419</v>
      </c>
      <c r="H1331" t="s">
        <v>4438</v>
      </c>
      <c r="I1331" t="s">
        <v>112</v>
      </c>
      <c r="J1331" s="4" t="s">
        <v>60</v>
      </c>
      <c r="K1331" t="s">
        <v>4440</v>
      </c>
      <c r="L1331">
        <v>4</v>
      </c>
      <c r="M1331" t="s">
        <v>892</v>
      </c>
      <c r="N1331" t="s">
        <v>269</v>
      </c>
      <c r="O1331" t="s">
        <v>270</v>
      </c>
      <c r="P1331" s="2" t="str">
        <f t="shared" si="60"/>
        <v>26/08/2025 to 29/08/2025</v>
      </c>
      <c r="Q1331" s="3">
        <v>45899</v>
      </c>
      <c r="R1331" t="str">
        <f t="shared" si="61"/>
        <v>Late</v>
      </c>
      <c r="S1331" t="s">
        <v>273</v>
      </c>
      <c r="T1331">
        <v>46</v>
      </c>
      <c r="U1331" t="s">
        <v>79</v>
      </c>
      <c r="V1331" t="s">
        <v>66</v>
      </c>
      <c r="W1331" t="str">
        <f t="shared" ca="1" si="62"/>
        <v>Dormant</v>
      </c>
    </row>
    <row r="1332" spans="1:23" x14ac:dyDescent="0.2">
      <c r="A1332">
        <v>1573</v>
      </c>
      <c r="B1332" t="s">
        <v>4435</v>
      </c>
      <c r="C1332" t="s">
        <v>4441</v>
      </c>
      <c r="D1332" s="1" t="s">
        <v>633</v>
      </c>
      <c r="E1332" t="s">
        <v>4437</v>
      </c>
      <c r="F1332" t="s">
        <v>910</v>
      </c>
      <c r="G1332" s="4" t="s">
        <v>5420</v>
      </c>
      <c r="H1332" t="s">
        <v>4438</v>
      </c>
      <c r="I1332" t="s">
        <v>112</v>
      </c>
      <c r="J1332" s="4" t="s">
        <v>68</v>
      </c>
      <c r="K1332" t="s">
        <v>2182</v>
      </c>
      <c r="L1332">
        <v>2</v>
      </c>
      <c r="M1332" t="s">
        <v>892</v>
      </c>
      <c r="N1332" t="s">
        <v>270</v>
      </c>
      <c r="O1332" t="s">
        <v>892</v>
      </c>
      <c r="P1332" s="2" t="str">
        <f t="shared" si="60"/>
        <v>26/08/2025 to 29/08/2025</v>
      </c>
      <c r="Q1332" s="3">
        <v>45895</v>
      </c>
      <c r="R1332" t="str">
        <f t="shared" si="61"/>
        <v>On-Time</v>
      </c>
      <c r="S1332" t="s">
        <v>275</v>
      </c>
      <c r="T1332">
        <v>23.5</v>
      </c>
      <c r="U1332" t="s">
        <v>65</v>
      </c>
      <c r="V1332" t="s">
        <v>80</v>
      </c>
      <c r="W1332" t="str">
        <f t="shared" ca="1" si="62"/>
        <v>Dormant</v>
      </c>
    </row>
    <row r="1333" spans="1:23" x14ac:dyDescent="0.2">
      <c r="A1333">
        <v>1574</v>
      </c>
      <c r="B1333" t="s">
        <v>4435</v>
      </c>
      <c r="C1333" t="s">
        <v>4442</v>
      </c>
      <c r="D1333" s="1" t="s">
        <v>633</v>
      </c>
      <c r="E1333" t="s">
        <v>4437</v>
      </c>
      <c r="F1333" t="s">
        <v>910</v>
      </c>
      <c r="G1333" s="4" t="s">
        <v>5421</v>
      </c>
      <c r="H1333" t="s">
        <v>4438</v>
      </c>
      <c r="I1333" t="s">
        <v>112</v>
      </c>
      <c r="J1333" s="4" t="s">
        <v>74</v>
      </c>
      <c r="K1333" t="s">
        <v>4443</v>
      </c>
      <c r="L1333">
        <v>3</v>
      </c>
      <c r="M1333" t="s">
        <v>892</v>
      </c>
      <c r="N1333" t="s">
        <v>892</v>
      </c>
      <c r="O1333" t="s">
        <v>269</v>
      </c>
      <c r="P1333" s="2" t="str">
        <f t="shared" si="60"/>
        <v>26/08/2025 to 29/08/2025</v>
      </c>
      <c r="Q1333" s="3">
        <v>45898</v>
      </c>
      <c r="R1333" t="str">
        <f t="shared" si="61"/>
        <v>On-Time</v>
      </c>
      <c r="S1333" t="s">
        <v>280</v>
      </c>
      <c r="T1333">
        <v>32</v>
      </c>
      <c r="U1333" t="s">
        <v>79</v>
      </c>
      <c r="V1333" t="s">
        <v>66</v>
      </c>
      <c r="W1333" t="str">
        <f t="shared" ca="1" si="62"/>
        <v>Dormant</v>
      </c>
    </row>
    <row r="1334" spans="1:23" x14ac:dyDescent="0.2">
      <c r="A1334">
        <v>38</v>
      </c>
      <c r="B1334" t="s">
        <v>262</v>
      </c>
      <c r="C1334" t="s">
        <v>263</v>
      </c>
      <c r="D1334" s="1" t="s">
        <v>264</v>
      </c>
      <c r="E1334" t="s">
        <v>265</v>
      </c>
      <c r="F1334" t="s">
        <v>266</v>
      </c>
      <c r="G1334" s="4" t="s">
        <v>5425</v>
      </c>
      <c r="H1334" t="s">
        <v>267</v>
      </c>
      <c r="I1334" t="s">
        <v>201</v>
      </c>
      <c r="J1334" s="4" t="s">
        <v>5417</v>
      </c>
      <c r="K1334" t="s">
        <v>268</v>
      </c>
      <c r="L1334">
        <v>3</v>
      </c>
      <c r="M1334" t="s">
        <v>269</v>
      </c>
      <c r="N1334" t="s">
        <v>270</v>
      </c>
      <c r="O1334" t="s">
        <v>271</v>
      </c>
      <c r="P1334" s="2" t="str">
        <f t="shared" si="60"/>
        <v>27/08/2025 to 01/09/2025</v>
      </c>
      <c r="Q1334" s="3">
        <v>45897</v>
      </c>
      <c r="R1334" t="str">
        <f t="shared" si="61"/>
        <v>On-Time</v>
      </c>
      <c r="S1334" t="s">
        <v>273</v>
      </c>
      <c r="T1334">
        <v>27.5</v>
      </c>
      <c r="U1334" t="s">
        <v>79</v>
      </c>
      <c r="V1334" t="s">
        <v>72</v>
      </c>
      <c r="W1334" t="str">
        <f t="shared" ca="1" si="62"/>
        <v>Dormant</v>
      </c>
    </row>
    <row r="1335" spans="1:23" x14ac:dyDescent="0.2">
      <c r="A1335">
        <v>39</v>
      </c>
      <c r="B1335" t="s">
        <v>262</v>
      </c>
      <c r="C1335" t="s">
        <v>274</v>
      </c>
      <c r="D1335" s="1" t="s">
        <v>264</v>
      </c>
      <c r="E1335" t="s">
        <v>265</v>
      </c>
      <c r="F1335" t="s">
        <v>266</v>
      </c>
      <c r="G1335" s="4" t="s">
        <v>5425</v>
      </c>
      <c r="H1335" t="s">
        <v>267</v>
      </c>
      <c r="I1335" t="s">
        <v>201</v>
      </c>
      <c r="J1335" s="4" t="s">
        <v>68</v>
      </c>
      <c r="K1335" t="s">
        <v>22</v>
      </c>
      <c r="L1335">
        <v>1</v>
      </c>
      <c r="M1335" t="s">
        <v>269</v>
      </c>
      <c r="N1335" t="s">
        <v>271</v>
      </c>
      <c r="O1335" t="s">
        <v>270</v>
      </c>
      <c r="P1335" s="2" t="str">
        <f t="shared" si="60"/>
        <v>27/08/2025 to 01/09/2025</v>
      </c>
      <c r="Q1335" s="3">
        <v>45896</v>
      </c>
      <c r="R1335" t="str">
        <f t="shared" si="61"/>
        <v>On-Time</v>
      </c>
      <c r="S1335" t="s">
        <v>275</v>
      </c>
      <c r="T1335">
        <v>8</v>
      </c>
      <c r="U1335" t="s">
        <v>79</v>
      </c>
      <c r="V1335" t="s">
        <v>80</v>
      </c>
      <c r="W1335" t="str">
        <f t="shared" ca="1" si="62"/>
        <v>Dormant</v>
      </c>
    </row>
    <row r="1336" spans="1:23" x14ac:dyDescent="0.2">
      <c r="A1336">
        <v>40</v>
      </c>
      <c r="B1336" t="s">
        <v>262</v>
      </c>
      <c r="C1336" t="s">
        <v>276</v>
      </c>
      <c r="D1336" s="1" t="s">
        <v>264</v>
      </c>
      <c r="E1336" t="s">
        <v>265</v>
      </c>
      <c r="F1336" t="s">
        <v>266</v>
      </c>
      <c r="G1336" s="4" t="s">
        <v>5425</v>
      </c>
      <c r="H1336" t="s">
        <v>267</v>
      </c>
      <c r="I1336" t="s">
        <v>201</v>
      </c>
      <c r="J1336" s="4" t="s">
        <v>74</v>
      </c>
      <c r="K1336" t="s">
        <v>4</v>
      </c>
      <c r="L1336">
        <v>1</v>
      </c>
      <c r="M1336" t="s">
        <v>269</v>
      </c>
      <c r="N1336" t="s">
        <v>270</v>
      </c>
      <c r="O1336" t="s">
        <v>271</v>
      </c>
      <c r="P1336" s="2" t="str">
        <f t="shared" si="60"/>
        <v>27/08/2025 to 01/09/2025</v>
      </c>
      <c r="Q1336" s="3">
        <v>45901</v>
      </c>
      <c r="R1336" t="str">
        <f t="shared" si="61"/>
        <v>On-Time</v>
      </c>
      <c r="S1336" t="s">
        <v>277</v>
      </c>
      <c r="T1336">
        <v>8</v>
      </c>
      <c r="U1336" t="s">
        <v>79</v>
      </c>
      <c r="V1336" t="s">
        <v>66</v>
      </c>
      <c r="W1336" t="str">
        <f t="shared" ca="1" si="62"/>
        <v>Dormant</v>
      </c>
    </row>
    <row r="1337" spans="1:23" x14ac:dyDescent="0.2">
      <c r="A1337">
        <v>41</v>
      </c>
      <c r="B1337" t="s">
        <v>262</v>
      </c>
      <c r="C1337" t="s">
        <v>278</v>
      </c>
      <c r="D1337" s="1" t="s">
        <v>264</v>
      </c>
      <c r="E1337" t="s">
        <v>265</v>
      </c>
      <c r="F1337" t="s">
        <v>266</v>
      </c>
      <c r="G1337" s="4" t="s">
        <v>5425</v>
      </c>
      <c r="H1337" t="s">
        <v>267</v>
      </c>
      <c r="I1337" t="s">
        <v>201</v>
      </c>
      <c r="J1337" s="4" t="s">
        <v>60</v>
      </c>
      <c r="K1337" t="s">
        <v>279</v>
      </c>
      <c r="L1337">
        <v>4</v>
      </c>
      <c r="M1337" t="s">
        <v>269</v>
      </c>
      <c r="N1337" t="s">
        <v>270</v>
      </c>
      <c r="O1337" t="s">
        <v>270</v>
      </c>
      <c r="P1337" s="2" t="str">
        <f t="shared" si="60"/>
        <v>27/08/2025 to 01/09/2025</v>
      </c>
      <c r="Q1337" s="3">
        <v>45898</v>
      </c>
      <c r="R1337" t="str">
        <f t="shared" si="61"/>
        <v>On-Time</v>
      </c>
      <c r="S1337" t="s">
        <v>273</v>
      </c>
      <c r="T1337">
        <v>36</v>
      </c>
      <c r="U1337" t="s">
        <v>65</v>
      </c>
      <c r="V1337" t="s">
        <v>66</v>
      </c>
      <c r="W1337" t="str">
        <f t="shared" ca="1" si="62"/>
        <v>Dormant</v>
      </c>
    </row>
    <row r="1338" spans="1:23" x14ac:dyDescent="0.2">
      <c r="A1338">
        <v>42</v>
      </c>
      <c r="B1338" t="s">
        <v>262</v>
      </c>
      <c r="C1338" t="s">
        <v>281</v>
      </c>
      <c r="D1338" s="1" t="s">
        <v>264</v>
      </c>
      <c r="E1338" t="s">
        <v>265</v>
      </c>
      <c r="F1338" t="s">
        <v>266</v>
      </c>
      <c r="G1338" s="4" t="s">
        <v>5426</v>
      </c>
      <c r="H1338" t="s">
        <v>267</v>
      </c>
      <c r="I1338" t="s">
        <v>201</v>
      </c>
      <c r="J1338" s="4" t="s">
        <v>60</v>
      </c>
      <c r="K1338" t="s">
        <v>282</v>
      </c>
      <c r="L1338">
        <v>2</v>
      </c>
      <c r="M1338" t="s">
        <v>269</v>
      </c>
      <c r="N1338" t="s">
        <v>271</v>
      </c>
      <c r="O1338" t="s">
        <v>270</v>
      </c>
      <c r="P1338" s="2" t="str">
        <f t="shared" si="60"/>
        <v>27/08/2025 to 01/09/2025</v>
      </c>
      <c r="Q1338" s="3">
        <v>45901</v>
      </c>
      <c r="R1338" t="str">
        <f t="shared" si="61"/>
        <v>On-Time</v>
      </c>
      <c r="S1338" t="s">
        <v>277</v>
      </c>
      <c r="T1338">
        <v>21</v>
      </c>
      <c r="U1338" t="s">
        <v>65</v>
      </c>
      <c r="V1338" t="s">
        <v>66</v>
      </c>
      <c r="W1338" t="str">
        <f t="shared" ca="1" si="62"/>
        <v>Dormant</v>
      </c>
    </row>
    <row r="1339" spans="1:23" x14ac:dyDescent="0.2">
      <c r="A1339">
        <v>303</v>
      </c>
      <c r="B1339" t="s">
        <v>1264</v>
      </c>
      <c r="C1339" t="s">
        <v>1265</v>
      </c>
      <c r="D1339" s="1" t="s">
        <v>264</v>
      </c>
      <c r="E1339" t="s">
        <v>1266</v>
      </c>
      <c r="F1339" t="s">
        <v>1267</v>
      </c>
      <c r="G1339" s="4" t="s">
        <v>5423</v>
      </c>
      <c r="H1339" t="s">
        <v>1268</v>
      </c>
      <c r="I1339" t="s">
        <v>136</v>
      </c>
      <c r="J1339" s="4" t="s">
        <v>74</v>
      </c>
      <c r="K1339" t="s">
        <v>1269</v>
      </c>
      <c r="L1339">
        <v>2</v>
      </c>
      <c r="M1339" t="s">
        <v>264</v>
      </c>
      <c r="N1339" t="s">
        <v>269</v>
      </c>
      <c r="O1339" t="s">
        <v>269</v>
      </c>
      <c r="P1339" s="2" t="str">
        <f t="shared" si="60"/>
        <v>26/08/2025 to 29/08/2025</v>
      </c>
      <c r="Q1339" s="3">
        <v>45896</v>
      </c>
      <c r="R1339" t="str">
        <f t="shared" si="61"/>
        <v>On-Time</v>
      </c>
      <c r="S1339" t="s">
        <v>272</v>
      </c>
      <c r="T1339">
        <v>17</v>
      </c>
      <c r="U1339" t="s">
        <v>79</v>
      </c>
      <c r="V1339" t="s">
        <v>66</v>
      </c>
      <c r="W1339" t="str">
        <f t="shared" ca="1" si="62"/>
        <v>Dormant</v>
      </c>
    </row>
    <row r="1340" spans="1:23" x14ac:dyDescent="0.2">
      <c r="A1340">
        <v>1986</v>
      </c>
      <c r="B1340" t="s">
        <v>5376</v>
      </c>
      <c r="C1340" t="s">
        <v>5377</v>
      </c>
      <c r="D1340" s="1" t="s">
        <v>264</v>
      </c>
      <c r="E1340" t="s">
        <v>5378</v>
      </c>
      <c r="F1340" t="s">
        <v>303</v>
      </c>
      <c r="G1340" s="4" t="s">
        <v>5423</v>
      </c>
      <c r="H1340" t="s">
        <v>3977</v>
      </c>
      <c r="I1340" t="s">
        <v>93</v>
      </c>
      <c r="J1340" s="4" t="s">
        <v>5417</v>
      </c>
      <c r="K1340" t="s">
        <v>1277</v>
      </c>
      <c r="L1340">
        <v>2</v>
      </c>
      <c r="M1340" t="s">
        <v>264</v>
      </c>
      <c r="N1340" t="s">
        <v>264</v>
      </c>
      <c r="O1340" t="s">
        <v>269</v>
      </c>
      <c r="P1340" s="2" t="str">
        <f t="shared" si="60"/>
        <v>26/08/2025 to 29/08/2025</v>
      </c>
      <c r="Q1340" s="3">
        <v>45896</v>
      </c>
      <c r="R1340" t="str">
        <f t="shared" si="61"/>
        <v>On-Time</v>
      </c>
      <c r="S1340" t="s">
        <v>275</v>
      </c>
      <c r="T1340">
        <v>19</v>
      </c>
      <c r="U1340" t="s">
        <v>79</v>
      </c>
      <c r="V1340" t="s">
        <v>80</v>
      </c>
      <c r="W1340" t="str">
        <f t="shared" ca="1" si="62"/>
        <v>Dormant</v>
      </c>
    </row>
    <row r="1341" spans="1:23" x14ac:dyDescent="0.2">
      <c r="A1341">
        <v>1987</v>
      </c>
      <c r="B1341" t="s">
        <v>5376</v>
      </c>
      <c r="C1341" t="s">
        <v>5379</v>
      </c>
      <c r="D1341" s="1" t="s">
        <v>264</v>
      </c>
      <c r="E1341" t="s">
        <v>5378</v>
      </c>
      <c r="F1341" t="s">
        <v>303</v>
      </c>
      <c r="G1341" s="4" t="s">
        <v>5424</v>
      </c>
      <c r="H1341" t="s">
        <v>3977</v>
      </c>
      <c r="I1341" t="s">
        <v>93</v>
      </c>
      <c r="J1341" s="4" t="s">
        <v>74</v>
      </c>
      <c r="K1341" t="s">
        <v>30</v>
      </c>
      <c r="L1341">
        <v>1</v>
      </c>
      <c r="M1341" t="s">
        <v>264</v>
      </c>
      <c r="N1341" t="s">
        <v>269</v>
      </c>
      <c r="O1341" t="s">
        <v>892</v>
      </c>
      <c r="P1341" s="2" t="str">
        <f t="shared" si="60"/>
        <v>26/08/2025 to 29/08/2025</v>
      </c>
      <c r="Q1341" s="3">
        <v>45897</v>
      </c>
      <c r="R1341" t="str">
        <f t="shared" si="61"/>
        <v>On-Time</v>
      </c>
      <c r="S1341" t="s">
        <v>280</v>
      </c>
      <c r="T1341">
        <v>12</v>
      </c>
      <c r="U1341" t="s">
        <v>65</v>
      </c>
      <c r="V1341" t="s">
        <v>80</v>
      </c>
      <c r="W1341" t="str">
        <f t="shared" ca="1" si="62"/>
        <v>Dormant</v>
      </c>
    </row>
    <row r="1342" spans="1:23" x14ac:dyDescent="0.2">
      <c r="A1342">
        <v>1988</v>
      </c>
      <c r="B1342" t="s">
        <v>5376</v>
      </c>
      <c r="C1342" t="s">
        <v>5380</v>
      </c>
      <c r="D1342" s="1" t="s">
        <v>264</v>
      </c>
      <c r="E1342" t="s">
        <v>5378</v>
      </c>
      <c r="F1342" t="s">
        <v>303</v>
      </c>
      <c r="G1342" s="4" t="s">
        <v>5422</v>
      </c>
      <c r="H1342" t="s">
        <v>3977</v>
      </c>
      <c r="I1342" t="s">
        <v>93</v>
      </c>
      <c r="J1342" s="4" t="s">
        <v>60</v>
      </c>
      <c r="K1342" t="s">
        <v>32</v>
      </c>
      <c r="L1342">
        <v>1</v>
      </c>
      <c r="M1342" t="s">
        <v>264</v>
      </c>
      <c r="N1342" t="s">
        <v>269</v>
      </c>
      <c r="O1342" t="s">
        <v>264</v>
      </c>
      <c r="P1342" s="2" t="str">
        <f t="shared" si="60"/>
        <v>26/08/2025 to 29/08/2025</v>
      </c>
      <c r="Q1342" s="3">
        <v>45895</v>
      </c>
      <c r="R1342" t="str">
        <f t="shared" si="61"/>
        <v>On-Time</v>
      </c>
      <c r="S1342" t="s">
        <v>247</v>
      </c>
      <c r="T1342">
        <v>14</v>
      </c>
      <c r="U1342" t="s">
        <v>79</v>
      </c>
      <c r="V1342" t="s">
        <v>66</v>
      </c>
      <c r="W1342" t="str">
        <f t="shared" ca="1" si="62"/>
        <v>Dormant</v>
      </c>
    </row>
    <row r="1343" spans="1:23" x14ac:dyDescent="0.2">
      <c r="A1343">
        <v>1989</v>
      </c>
      <c r="B1343" t="s">
        <v>5376</v>
      </c>
      <c r="C1343" t="s">
        <v>5381</v>
      </c>
      <c r="D1343" s="1" t="s">
        <v>264</v>
      </c>
      <c r="E1343" t="s">
        <v>5378</v>
      </c>
      <c r="F1343" t="s">
        <v>303</v>
      </c>
      <c r="G1343" s="4" t="s">
        <v>5423</v>
      </c>
      <c r="H1343" t="s">
        <v>3977</v>
      </c>
      <c r="I1343" t="s">
        <v>93</v>
      </c>
      <c r="J1343" s="4" t="s">
        <v>74</v>
      </c>
      <c r="K1343" t="s">
        <v>5382</v>
      </c>
      <c r="L1343">
        <v>3</v>
      </c>
      <c r="M1343" t="s">
        <v>264</v>
      </c>
      <c r="N1343" t="s">
        <v>264</v>
      </c>
      <c r="O1343" t="s">
        <v>269</v>
      </c>
      <c r="P1343" s="2" t="str">
        <f t="shared" si="60"/>
        <v>26/08/2025 to 29/08/2025</v>
      </c>
      <c r="Q1343" s="3">
        <v>45900</v>
      </c>
      <c r="R1343" t="str">
        <f t="shared" si="61"/>
        <v>Late</v>
      </c>
      <c r="S1343" t="s">
        <v>1308</v>
      </c>
      <c r="T1343">
        <v>28.5</v>
      </c>
      <c r="U1343" t="s">
        <v>79</v>
      </c>
      <c r="V1343" t="s">
        <v>80</v>
      </c>
      <c r="W1343" t="str">
        <f t="shared" ca="1" si="62"/>
        <v>Dormant</v>
      </c>
    </row>
    <row r="1344" spans="1:23" x14ac:dyDescent="0.2">
      <c r="A1344">
        <v>1523</v>
      </c>
      <c r="B1344" t="s">
        <v>4329</v>
      </c>
      <c r="C1344" t="s">
        <v>4330</v>
      </c>
      <c r="D1344" s="1" t="s">
        <v>892</v>
      </c>
      <c r="E1344" t="s">
        <v>4331</v>
      </c>
      <c r="F1344" t="s">
        <v>303</v>
      </c>
      <c r="G1344" s="4" t="s">
        <v>5428</v>
      </c>
      <c r="H1344" t="s">
        <v>742</v>
      </c>
      <c r="I1344" t="s">
        <v>136</v>
      </c>
      <c r="J1344" s="4" t="s">
        <v>60</v>
      </c>
      <c r="K1344" t="s">
        <v>4332</v>
      </c>
      <c r="L1344">
        <v>2</v>
      </c>
      <c r="M1344" t="s">
        <v>892</v>
      </c>
      <c r="N1344" t="s">
        <v>892</v>
      </c>
      <c r="O1344" t="s">
        <v>892</v>
      </c>
      <c r="P1344" s="2" t="str">
        <f t="shared" si="60"/>
        <v>26/08/2025 to 29/08/2025</v>
      </c>
      <c r="Q1344" s="3">
        <v>45896</v>
      </c>
      <c r="R1344" t="str">
        <f t="shared" si="61"/>
        <v>On-Time</v>
      </c>
      <c r="S1344" t="s">
        <v>280</v>
      </c>
      <c r="T1344">
        <v>20</v>
      </c>
      <c r="U1344" t="s">
        <v>79</v>
      </c>
      <c r="V1344" t="s">
        <v>66</v>
      </c>
      <c r="W1344" t="str">
        <f t="shared" ca="1" si="62"/>
        <v>Dormant</v>
      </c>
    </row>
    <row r="1345" spans="1:23" x14ac:dyDescent="0.2">
      <c r="A1345">
        <v>1524</v>
      </c>
      <c r="B1345" t="s">
        <v>4329</v>
      </c>
      <c r="C1345" t="s">
        <v>4333</v>
      </c>
      <c r="D1345" s="1" t="s">
        <v>892</v>
      </c>
      <c r="E1345" t="s">
        <v>4331</v>
      </c>
      <c r="F1345" t="s">
        <v>303</v>
      </c>
      <c r="G1345" s="4" t="s">
        <v>5427</v>
      </c>
      <c r="H1345" t="s">
        <v>742</v>
      </c>
      <c r="I1345" t="s">
        <v>136</v>
      </c>
      <c r="J1345" s="4" t="s">
        <v>68</v>
      </c>
      <c r="K1345" t="s">
        <v>10</v>
      </c>
      <c r="L1345">
        <v>1</v>
      </c>
      <c r="M1345" t="s">
        <v>270</v>
      </c>
      <c r="N1345" t="s">
        <v>251</v>
      </c>
      <c r="O1345" t="s">
        <v>271</v>
      </c>
      <c r="P1345" s="2" t="str">
        <f t="shared" si="60"/>
        <v>28/08/2025 to 02/09/2025</v>
      </c>
      <c r="Q1345" s="3">
        <v>45896</v>
      </c>
      <c r="R1345" t="str">
        <f t="shared" si="61"/>
        <v>Late</v>
      </c>
      <c r="S1345" t="s">
        <v>280</v>
      </c>
      <c r="T1345">
        <v>10</v>
      </c>
      <c r="U1345" t="s">
        <v>79</v>
      </c>
      <c r="V1345" t="s">
        <v>66</v>
      </c>
      <c r="W1345" t="str">
        <f t="shared" ca="1" si="62"/>
        <v>Dormant</v>
      </c>
    </row>
    <row r="1346" spans="1:23" x14ac:dyDescent="0.2">
      <c r="A1346">
        <v>1525</v>
      </c>
      <c r="B1346" t="s">
        <v>4329</v>
      </c>
      <c r="C1346" t="s">
        <v>4334</v>
      </c>
      <c r="D1346" s="1" t="s">
        <v>892</v>
      </c>
      <c r="E1346" t="s">
        <v>4331</v>
      </c>
      <c r="F1346" t="s">
        <v>303</v>
      </c>
      <c r="G1346" s="4" t="s">
        <v>5421</v>
      </c>
      <c r="H1346" t="s">
        <v>742</v>
      </c>
      <c r="I1346" t="s">
        <v>136</v>
      </c>
      <c r="J1346" s="4" t="s">
        <v>68</v>
      </c>
      <c r="K1346" t="s">
        <v>4335</v>
      </c>
      <c r="L1346">
        <v>4</v>
      </c>
      <c r="M1346" t="s">
        <v>270</v>
      </c>
      <c r="N1346" t="s">
        <v>270</v>
      </c>
      <c r="O1346" t="s">
        <v>271</v>
      </c>
      <c r="P1346" s="2" t="str">
        <f t="shared" ref="P1346:P1409" si="63">IF(ISBLANK(M1346), "", TEXT(WORKDAY(M1346, 7), "dd/mm/yyyy") &amp; " to " &amp; TEXT(WORKDAY(M1346, 10), "dd/mm/yyyy"))</f>
        <v>28/08/2025 to 02/09/2025</v>
      </c>
      <c r="Q1346" s="3">
        <v>45899</v>
      </c>
      <c r="R1346" t="str">
        <f t="shared" ref="R1346:R1409" si="64">IF(Q1346="","In Progress",
IF(AND(--Q1346&gt;=DATEVALUE(LEFT(P1346,10)),
       --Q1346&lt;=DATEVALUE(TRIM(MID(P1346,FIND("to",P1346)+3,10)))),
   "On-Time","Late"))</f>
        <v>On-Time</v>
      </c>
      <c r="S1346" t="s">
        <v>1578</v>
      </c>
      <c r="T1346">
        <v>37.5</v>
      </c>
      <c r="U1346" t="s">
        <v>79</v>
      </c>
      <c r="V1346" t="s">
        <v>80</v>
      </c>
      <c r="W1346" t="str">
        <f t="shared" ca="1" si="62"/>
        <v>Dormant</v>
      </c>
    </row>
    <row r="1347" spans="1:23" x14ac:dyDescent="0.2">
      <c r="A1347">
        <v>1585</v>
      </c>
      <c r="B1347" t="s">
        <v>4467</v>
      </c>
      <c r="C1347" t="s">
        <v>4468</v>
      </c>
      <c r="D1347" s="1" t="s">
        <v>269</v>
      </c>
      <c r="E1347" t="s">
        <v>4469</v>
      </c>
      <c r="F1347" t="s">
        <v>546</v>
      </c>
      <c r="G1347" s="4" t="s">
        <v>5418</v>
      </c>
      <c r="H1347" t="s">
        <v>4470</v>
      </c>
      <c r="I1347" t="s">
        <v>93</v>
      </c>
      <c r="J1347" s="4" t="s">
        <v>60</v>
      </c>
      <c r="K1347" t="s">
        <v>4471</v>
      </c>
      <c r="L1347">
        <v>4</v>
      </c>
      <c r="M1347" t="s">
        <v>270</v>
      </c>
      <c r="N1347" t="s">
        <v>270</v>
      </c>
      <c r="O1347" t="s">
        <v>251</v>
      </c>
      <c r="P1347" s="2" t="str">
        <f t="shared" si="63"/>
        <v>28/08/2025 to 02/09/2025</v>
      </c>
      <c r="Q1347" s="3">
        <v>45901</v>
      </c>
      <c r="R1347" t="str">
        <f t="shared" si="64"/>
        <v>On-Time</v>
      </c>
      <c r="S1347" t="s">
        <v>277</v>
      </c>
      <c r="T1347">
        <v>39</v>
      </c>
      <c r="U1347" t="s">
        <v>65</v>
      </c>
      <c r="V1347" t="s">
        <v>72</v>
      </c>
      <c r="W1347" t="str">
        <f t="shared" ref="W1347:W1410" ca="1" si="65">IF(D1347="","",
IF(TODAY()-D1347&lt;=120,"Active",
IF(TODAY()-D1347&lt;=210,"At Risk",
IF(TODAY()-D1347&lt;=395,"Dormant",
IF(TODAY()-D1347&lt;=730,"Inactive","Archived")))))</f>
        <v>Dormant</v>
      </c>
    </row>
    <row r="1348" spans="1:23" x14ac:dyDescent="0.2">
      <c r="A1348">
        <v>1586</v>
      </c>
      <c r="B1348" t="s">
        <v>4467</v>
      </c>
      <c r="C1348" t="s">
        <v>4472</v>
      </c>
      <c r="D1348" s="1" t="s">
        <v>269</v>
      </c>
      <c r="E1348" t="s">
        <v>4469</v>
      </c>
      <c r="F1348" t="s">
        <v>546</v>
      </c>
      <c r="G1348" s="4" t="s">
        <v>5424</v>
      </c>
      <c r="H1348" t="s">
        <v>4470</v>
      </c>
      <c r="I1348" t="s">
        <v>93</v>
      </c>
      <c r="J1348" s="4" t="s">
        <v>5417</v>
      </c>
      <c r="K1348" t="s">
        <v>1777</v>
      </c>
      <c r="L1348">
        <v>3</v>
      </c>
      <c r="M1348" t="s">
        <v>269</v>
      </c>
      <c r="N1348" t="s">
        <v>269</v>
      </c>
      <c r="O1348" t="s">
        <v>271</v>
      </c>
      <c r="P1348" s="2" t="str">
        <f t="shared" si="63"/>
        <v>27/08/2025 to 01/09/2025</v>
      </c>
      <c r="Q1348" s="3">
        <v>45900</v>
      </c>
      <c r="R1348" t="str">
        <f t="shared" si="64"/>
        <v>On-Time</v>
      </c>
      <c r="S1348" t="s">
        <v>1578</v>
      </c>
      <c r="T1348">
        <v>29.5</v>
      </c>
      <c r="U1348" t="s">
        <v>65</v>
      </c>
      <c r="V1348" t="s">
        <v>80</v>
      </c>
      <c r="W1348" t="str">
        <f t="shared" ca="1" si="65"/>
        <v>Dormant</v>
      </c>
    </row>
    <row r="1349" spans="1:23" x14ac:dyDescent="0.2">
      <c r="A1349">
        <v>604</v>
      </c>
      <c r="B1349" t="s">
        <v>2086</v>
      </c>
      <c r="C1349" t="s">
        <v>2087</v>
      </c>
      <c r="D1349" s="1" t="s">
        <v>270</v>
      </c>
      <c r="E1349" t="s">
        <v>2088</v>
      </c>
      <c r="F1349" t="s">
        <v>199</v>
      </c>
      <c r="G1349" s="4" t="s">
        <v>5424</v>
      </c>
      <c r="H1349" t="s">
        <v>2089</v>
      </c>
      <c r="I1349" t="s">
        <v>201</v>
      </c>
      <c r="J1349" s="4" t="s">
        <v>5417</v>
      </c>
      <c r="K1349" t="s">
        <v>2090</v>
      </c>
      <c r="L1349">
        <v>4</v>
      </c>
      <c r="M1349" t="s">
        <v>271</v>
      </c>
      <c r="N1349" t="s">
        <v>259</v>
      </c>
      <c r="O1349" t="s">
        <v>251</v>
      </c>
      <c r="P1349" s="2" t="str">
        <f t="shared" si="63"/>
        <v>29/08/2025 to 03/09/2025</v>
      </c>
      <c r="Q1349" s="3">
        <v>45898</v>
      </c>
      <c r="R1349" t="str">
        <f t="shared" si="64"/>
        <v>On-Time</v>
      </c>
      <c r="S1349" t="s">
        <v>280</v>
      </c>
      <c r="T1349">
        <v>39.5</v>
      </c>
      <c r="U1349" t="s">
        <v>79</v>
      </c>
      <c r="V1349" t="s">
        <v>80</v>
      </c>
      <c r="W1349" t="str">
        <f t="shared" ca="1" si="65"/>
        <v>Dormant</v>
      </c>
    </row>
    <row r="1350" spans="1:23" x14ac:dyDescent="0.2">
      <c r="A1350">
        <v>605</v>
      </c>
      <c r="B1350" t="s">
        <v>2086</v>
      </c>
      <c r="C1350" t="s">
        <v>2091</v>
      </c>
      <c r="D1350" s="1" t="s">
        <v>270</v>
      </c>
      <c r="E1350" t="s">
        <v>2088</v>
      </c>
      <c r="F1350" t="s">
        <v>199</v>
      </c>
      <c r="G1350" s="4" t="s">
        <v>5418</v>
      </c>
      <c r="H1350" t="s">
        <v>2089</v>
      </c>
      <c r="I1350" t="s">
        <v>201</v>
      </c>
      <c r="J1350" s="4" t="s">
        <v>68</v>
      </c>
      <c r="K1350" t="s">
        <v>2092</v>
      </c>
      <c r="L1350">
        <v>2</v>
      </c>
      <c r="M1350" t="s">
        <v>270</v>
      </c>
      <c r="N1350" t="s">
        <v>271</v>
      </c>
      <c r="O1350" t="s">
        <v>251</v>
      </c>
      <c r="P1350" s="2" t="str">
        <f t="shared" si="63"/>
        <v>28/08/2025 to 02/09/2025</v>
      </c>
      <c r="Q1350" s="3">
        <v>45900</v>
      </c>
      <c r="R1350" t="str">
        <f t="shared" si="64"/>
        <v>On-Time</v>
      </c>
      <c r="S1350" t="s">
        <v>277</v>
      </c>
      <c r="T1350">
        <v>26</v>
      </c>
      <c r="U1350" t="s">
        <v>65</v>
      </c>
      <c r="V1350" t="s">
        <v>80</v>
      </c>
      <c r="W1350" t="str">
        <f t="shared" ca="1" si="65"/>
        <v>Dormant</v>
      </c>
    </row>
    <row r="1351" spans="1:23" x14ac:dyDescent="0.2">
      <c r="A1351">
        <v>413</v>
      </c>
      <c r="B1351" t="s">
        <v>1571</v>
      </c>
      <c r="C1351" t="s">
        <v>1572</v>
      </c>
      <c r="D1351" s="1" t="s">
        <v>259</v>
      </c>
      <c r="E1351" t="s">
        <v>1573</v>
      </c>
      <c r="F1351" t="s">
        <v>1139</v>
      </c>
      <c r="G1351" s="4" t="s">
        <v>5425</v>
      </c>
      <c r="H1351" t="s">
        <v>1574</v>
      </c>
      <c r="I1351" t="s">
        <v>59</v>
      </c>
      <c r="J1351" s="4" t="s">
        <v>68</v>
      </c>
      <c r="K1351" t="s">
        <v>1575</v>
      </c>
      <c r="L1351">
        <v>4</v>
      </c>
      <c r="M1351" t="s">
        <v>259</v>
      </c>
      <c r="N1351" t="s">
        <v>259</v>
      </c>
      <c r="O1351" t="s">
        <v>252</v>
      </c>
      <c r="P1351" s="2" t="str">
        <f t="shared" si="63"/>
        <v>02/09/2025 to 05/09/2025</v>
      </c>
      <c r="Q1351" s="3">
        <v>45901</v>
      </c>
      <c r="R1351" t="str">
        <f t="shared" si="64"/>
        <v>Late</v>
      </c>
      <c r="S1351" t="s">
        <v>1465</v>
      </c>
      <c r="T1351">
        <v>37</v>
      </c>
      <c r="U1351" t="s">
        <v>65</v>
      </c>
      <c r="V1351" t="s">
        <v>72</v>
      </c>
      <c r="W1351" t="str">
        <f t="shared" ca="1" si="65"/>
        <v>At Risk</v>
      </c>
    </row>
    <row r="1352" spans="1:23" x14ac:dyDescent="0.2">
      <c r="A1352">
        <v>414</v>
      </c>
      <c r="B1352" t="s">
        <v>1571</v>
      </c>
      <c r="C1352" t="s">
        <v>1576</v>
      </c>
      <c r="D1352" s="1" t="s">
        <v>259</v>
      </c>
      <c r="E1352" t="s">
        <v>1573</v>
      </c>
      <c r="F1352" t="s">
        <v>1139</v>
      </c>
      <c r="G1352" s="4" t="s">
        <v>5425</v>
      </c>
      <c r="H1352" t="s">
        <v>1574</v>
      </c>
      <c r="I1352" t="s">
        <v>59</v>
      </c>
      <c r="J1352" s="4" t="s">
        <v>74</v>
      </c>
      <c r="K1352" t="s">
        <v>1577</v>
      </c>
      <c r="L1352">
        <v>4</v>
      </c>
      <c r="M1352" t="s">
        <v>259</v>
      </c>
      <c r="N1352" t="s">
        <v>246</v>
      </c>
      <c r="O1352" t="s">
        <v>259</v>
      </c>
      <c r="P1352" s="2" t="str">
        <f t="shared" si="63"/>
        <v>02/09/2025 to 05/09/2025</v>
      </c>
      <c r="Q1352" s="3">
        <v>45900</v>
      </c>
      <c r="R1352" t="str">
        <f t="shared" si="64"/>
        <v>Late</v>
      </c>
      <c r="S1352" t="s">
        <v>277</v>
      </c>
      <c r="T1352">
        <v>37</v>
      </c>
      <c r="U1352" t="s">
        <v>79</v>
      </c>
      <c r="V1352" t="s">
        <v>80</v>
      </c>
      <c r="W1352" t="str">
        <f t="shared" ca="1" si="65"/>
        <v>At Risk</v>
      </c>
    </row>
    <row r="1353" spans="1:23" x14ac:dyDescent="0.2">
      <c r="A1353">
        <v>415</v>
      </c>
      <c r="B1353" t="s">
        <v>1571</v>
      </c>
      <c r="C1353" t="s">
        <v>1579</v>
      </c>
      <c r="D1353" s="1" t="s">
        <v>259</v>
      </c>
      <c r="E1353" t="s">
        <v>1573</v>
      </c>
      <c r="F1353" t="s">
        <v>1139</v>
      </c>
      <c r="G1353" s="4" t="s">
        <v>5422</v>
      </c>
      <c r="H1353" t="s">
        <v>1574</v>
      </c>
      <c r="I1353" t="s">
        <v>59</v>
      </c>
      <c r="J1353" s="4" t="s">
        <v>60</v>
      </c>
      <c r="K1353" t="s">
        <v>1458</v>
      </c>
      <c r="L1353">
        <v>2</v>
      </c>
      <c r="M1353" t="s">
        <v>246</v>
      </c>
      <c r="N1353" t="s">
        <v>256</v>
      </c>
      <c r="O1353" t="s">
        <v>247</v>
      </c>
      <c r="P1353" s="2" t="str">
        <f t="shared" si="63"/>
        <v>02/09/2025 to 05/09/2025</v>
      </c>
      <c r="Q1353" s="3">
        <v>45906</v>
      </c>
      <c r="R1353" t="str">
        <f t="shared" si="64"/>
        <v>Late</v>
      </c>
      <c r="S1353" t="s">
        <v>573</v>
      </c>
      <c r="T1353">
        <v>22</v>
      </c>
      <c r="U1353" t="s">
        <v>79</v>
      </c>
      <c r="V1353" t="s">
        <v>80</v>
      </c>
      <c r="W1353" t="str">
        <f t="shared" ca="1" si="65"/>
        <v>At Risk</v>
      </c>
    </row>
    <row r="1354" spans="1:23" x14ac:dyDescent="0.2">
      <c r="A1354">
        <v>416</v>
      </c>
      <c r="B1354" t="s">
        <v>1571</v>
      </c>
      <c r="C1354" t="s">
        <v>1580</v>
      </c>
      <c r="D1354" s="1" t="s">
        <v>259</v>
      </c>
      <c r="E1354" t="s">
        <v>1573</v>
      </c>
      <c r="F1354" t="s">
        <v>1139</v>
      </c>
      <c r="G1354" s="4" t="s">
        <v>5423</v>
      </c>
      <c r="H1354" t="s">
        <v>1574</v>
      </c>
      <c r="I1354" t="s">
        <v>59</v>
      </c>
      <c r="J1354" s="4" t="s">
        <v>74</v>
      </c>
      <c r="K1354" t="s">
        <v>1581</v>
      </c>
      <c r="L1354">
        <v>4</v>
      </c>
      <c r="M1354" t="s">
        <v>246</v>
      </c>
      <c r="N1354" t="s">
        <v>246</v>
      </c>
      <c r="O1354" t="s">
        <v>247</v>
      </c>
      <c r="P1354" s="2" t="str">
        <f t="shared" si="63"/>
        <v>02/09/2025 to 05/09/2025</v>
      </c>
      <c r="Q1354" s="3">
        <v>45908</v>
      </c>
      <c r="R1354" t="str">
        <f t="shared" si="64"/>
        <v>Late</v>
      </c>
      <c r="S1354" t="s">
        <v>574</v>
      </c>
      <c r="T1354">
        <v>36.5</v>
      </c>
      <c r="U1354" t="s">
        <v>65</v>
      </c>
      <c r="V1354" t="s">
        <v>80</v>
      </c>
      <c r="W1354" t="str">
        <f t="shared" ca="1" si="65"/>
        <v>At Risk</v>
      </c>
    </row>
    <row r="1355" spans="1:23" x14ac:dyDescent="0.2">
      <c r="A1355">
        <v>466</v>
      </c>
      <c r="B1355" t="s">
        <v>1725</v>
      </c>
      <c r="C1355" t="s">
        <v>1726</v>
      </c>
      <c r="D1355" s="1" t="s">
        <v>252</v>
      </c>
      <c r="E1355" t="s">
        <v>1727</v>
      </c>
      <c r="F1355" t="s">
        <v>1204</v>
      </c>
      <c r="G1355" s="4" t="s">
        <v>38</v>
      </c>
      <c r="H1355" t="s">
        <v>1728</v>
      </c>
      <c r="I1355" t="s">
        <v>93</v>
      </c>
      <c r="J1355" s="4" t="s">
        <v>60</v>
      </c>
      <c r="K1355" t="s">
        <v>1729</v>
      </c>
      <c r="L1355">
        <v>3</v>
      </c>
      <c r="M1355" t="s">
        <v>246</v>
      </c>
      <c r="N1355" t="s">
        <v>247</v>
      </c>
      <c r="O1355" t="s">
        <v>247</v>
      </c>
      <c r="P1355" s="2" t="str">
        <f t="shared" si="63"/>
        <v>02/09/2025 to 05/09/2025</v>
      </c>
      <c r="Q1355" s="3">
        <v>45903</v>
      </c>
      <c r="R1355" t="str">
        <f t="shared" si="64"/>
        <v>On-Time</v>
      </c>
      <c r="S1355" t="s">
        <v>1312</v>
      </c>
      <c r="T1355">
        <v>25</v>
      </c>
      <c r="U1355" t="s">
        <v>79</v>
      </c>
      <c r="V1355" t="s">
        <v>80</v>
      </c>
      <c r="W1355" t="str">
        <f t="shared" ca="1" si="65"/>
        <v>At Risk</v>
      </c>
    </row>
    <row r="1356" spans="1:23" x14ac:dyDescent="0.2">
      <c r="A1356">
        <v>467</v>
      </c>
      <c r="B1356" t="s">
        <v>1725</v>
      </c>
      <c r="C1356" t="s">
        <v>1730</v>
      </c>
      <c r="D1356" s="1" t="s">
        <v>252</v>
      </c>
      <c r="E1356" t="s">
        <v>1727</v>
      </c>
      <c r="F1356" t="s">
        <v>1204</v>
      </c>
      <c r="G1356" s="4" t="s">
        <v>5425</v>
      </c>
      <c r="H1356" t="s">
        <v>1728</v>
      </c>
      <c r="I1356" t="s">
        <v>93</v>
      </c>
      <c r="J1356" s="4" t="s">
        <v>5417</v>
      </c>
      <c r="K1356" t="s">
        <v>12</v>
      </c>
      <c r="L1356">
        <v>1</v>
      </c>
      <c r="M1356" t="s">
        <v>252</v>
      </c>
      <c r="N1356" t="s">
        <v>246</v>
      </c>
      <c r="O1356" t="s">
        <v>246</v>
      </c>
      <c r="P1356" s="2" t="str">
        <f t="shared" si="63"/>
        <v>02/09/2025 to 05/09/2025</v>
      </c>
      <c r="Q1356" s="3">
        <v>45902</v>
      </c>
      <c r="R1356" t="str">
        <f t="shared" si="64"/>
        <v>On-Time</v>
      </c>
      <c r="S1356" t="s">
        <v>1465</v>
      </c>
      <c r="T1356">
        <v>9.5</v>
      </c>
      <c r="U1356" t="s">
        <v>65</v>
      </c>
      <c r="V1356" t="s">
        <v>66</v>
      </c>
      <c r="W1356" t="str">
        <f t="shared" ca="1" si="65"/>
        <v>At Risk</v>
      </c>
    </row>
    <row r="1357" spans="1:23" x14ac:dyDescent="0.2">
      <c r="A1357">
        <v>522</v>
      </c>
      <c r="B1357" t="s">
        <v>1878</v>
      </c>
      <c r="C1357" t="s">
        <v>1879</v>
      </c>
      <c r="D1357" s="1" t="s">
        <v>246</v>
      </c>
      <c r="E1357" t="s">
        <v>1880</v>
      </c>
      <c r="F1357" t="s">
        <v>546</v>
      </c>
      <c r="G1357" s="4" t="s">
        <v>5419</v>
      </c>
      <c r="H1357" t="s">
        <v>1881</v>
      </c>
      <c r="I1357" t="s">
        <v>93</v>
      </c>
      <c r="J1357" s="4" t="s">
        <v>74</v>
      </c>
      <c r="K1357" t="s">
        <v>1882</v>
      </c>
      <c r="L1357">
        <v>3</v>
      </c>
      <c r="M1357" t="s">
        <v>247</v>
      </c>
      <c r="N1357" t="s">
        <v>275</v>
      </c>
      <c r="O1357" t="s">
        <v>275</v>
      </c>
      <c r="P1357" s="2" t="str">
        <f t="shared" si="63"/>
        <v>04/09/2025 to 09/09/2025</v>
      </c>
      <c r="Q1357" s="3">
        <v>45903</v>
      </c>
      <c r="R1357" t="str">
        <f t="shared" si="64"/>
        <v>Late</v>
      </c>
      <c r="S1357" t="s">
        <v>1472</v>
      </c>
      <c r="T1357">
        <v>30</v>
      </c>
      <c r="U1357" t="s">
        <v>65</v>
      </c>
      <c r="V1357" t="s">
        <v>66</v>
      </c>
      <c r="W1357" t="str">
        <f t="shared" ca="1" si="65"/>
        <v>At Risk</v>
      </c>
    </row>
    <row r="1358" spans="1:23" x14ac:dyDescent="0.2">
      <c r="A1358">
        <v>1201</v>
      </c>
      <c r="B1358" t="s">
        <v>3552</v>
      </c>
      <c r="C1358" t="s">
        <v>3553</v>
      </c>
      <c r="D1358" s="1" t="s">
        <v>246</v>
      </c>
      <c r="E1358" t="s">
        <v>3554</v>
      </c>
      <c r="F1358" t="s">
        <v>1003</v>
      </c>
      <c r="G1358" s="4" t="s">
        <v>5428</v>
      </c>
      <c r="H1358" t="s">
        <v>3555</v>
      </c>
      <c r="I1358" t="s">
        <v>201</v>
      </c>
      <c r="J1358" s="4" t="s">
        <v>68</v>
      </c>
      <c r="K1358" t="s">
        <v>20</v>
      </c>
      <c r="L1358">
        <v>1</v>
      </c>
      <c r="M1358" t="s">
        <v>256</v>
      </c>
      <c r="N1358" t="s">
        <v>275</v>
      </c>
      <c r="O1358" t="s">
        <v>256</v>
      </c>
      <c r="P1358" s="2" t="str">
        <f t="shared" si="63"/>
        <v>03/09/2025 to 08/09/2025</v>
      </c>
      <c r="Q1358" s="3">
        <v>45907</v>
      </c>
      <c r="R1358" t="str">
        <f t="shared" si="64"/>
        <v>On-Time</v>
      </c>
      <c r="S1358" t="s">
        <v>574</v>
      </c>
      <c r="T1358">
        <v>10.5</v>
      </c>
      <c r="U1358" t="s">
        <v>65</v>
      </c>
      <c r="V1358" t="s">
        <v>80</v>
      </c>
      <c r="W1358" t="str">
        <f t="shared" ca="1" si="65"/>
        <v>At Risk</v>
      </c>
    </row>
    <row r="1359" spans="1:23" x14ac:dyDescent="0.2">
      <c r="A1359">
        <v>1202</v>
      </c>
      <c r="B1359" t="s">
        <v>3552</v>
      </c>
      <c r="C1359" t="s">
        <v>3556</v>
      </c>
      <c r="D1359" s="1" t="s">
        <v>246</v>
      </c>
      <c r="E1359" t="s">
        <v>3554</v>
      </c>
      <c r="F1359" t="s">
        <v>1003</v>
      </c>
      <c r="G1359" s="4" t="s">
        <v>5422</v>
      </c>
      <c r="H1359" t="s">
        <v>3555</v>
      </c>
      <c r="I1359" t="s">
        <v>201</v>
      </c>
      <c r="J1359" s="4" t="s">
        <v>74</v>
      </c>
      <c r="K1359" t="s">
        <v>2685</v>
      </c>
      <c r="L1359">
        <v>2</v>
      </c>
      <c r="M1359" t="s">
        <v>246</v>
      </c>
      <c r="N1359" t="s">
        <v>247</v>
      </c>
      <c r="O1359" t="s">
        <v>246</v>
      </c>
      <c r="P1359" s="2" t="str">
        <f t="shared" si="63"/>
        <v>02/09/2025 to 05/09/2025</v>
      </c>
      <c r="Q1359" s="3">
        <v>45900</v>
      </c>
      <c r="R1359" t="str">
        <f t="shared" si="64"/>
        <v>Late</v>
      </c>
      <c r="S1359" t="s">
        <v>277</v>
      </c>
      <c r="T1359">
        <v>15.5</v>
      </c>
      <c r="U1359" t="s">
        <v>79</v>
      </c>
      <c r="V1359" t="s">
        <v>66</v>
      </c>
      <c r="W1359" t="str">
        <f t="shared" ca="1" si="65"/>
        <v>At Risk</v>
      </c>
    </row>
    <row r="1360" spans="1:23" x14ac:dyDescent="0.2">
      <c r="A1360">
        <v>1203</v>
      </c>
      <c r="B1360" t="s">
        <v>3552</v>
      </c>
      <c r="C1360" t="s">
        <v>3557</v>
      </c>
      <c r="D1360" s="1" t="s">
        <v>246</v>
      </c>
      <c r="E1360" t="s">
        <v>3554</v>
      </c>
      <c r="F1360" t="s">
        <v>1003</v>
      </c>
      <c r="G1360" s="4" t="s">
        <v>38</v>
      </c>
      <c r="H1360" t="s">
        <v>3555</v>
      </c>
      <c r="I1360" t="s">
        <v>201</v>
      </c>
      <c r="J1360" s="4" t="s">
        <v>74</v>
      </c>
      <c r="K1360" t="s">
        <v>3558</v>
      </c>
      <c r="L1360">
        <v>4</v>
      </c>
      <c r="M1360" t="s">
        <v>247</v>
      </c>
      <c r="N1360" t="s">
        <v>272</v>
      </c>
      <c r="O1360" t="s">
        <v>272</v>
      </c>
      <c r="P1360" s="2" t="str">
        <f t="shared" si="63"/>
        <v>04/09/2025 to 09/09/2025</v>
      </c>
      <c r="Q1360" s="3">
        <v>45908</v>
      </c>
      <c r="R1360" t="str">
        <f t="shared" si="64"/>
        <v>On-Time</v>
      </c>
      <c r="S1360" t="s">
        <v>574</v>
      </c>
      <c r="T1360">
        <v>34</v>
      </c>
      <c r="U1360" t="s">
        <v>65</v>
      </c>
      <c r="V1360" t="s">
        <v>66</v>
      </c>
      <c r="W1360" t="str">
        <f t="shared" ca="1" si="65"/>
        <v>At Risk</v>
      </c>
    </row>
    <row r="1361" spans="1:23" x14ac:dyDescent="0.2">
      <c r="A1361">
        <v>1204</v>
      </c>
      <c r="B1361" t="s">
        <v>3552</v>
      </c>
      <c r="C1361" t="s">
        <v>3559</v>
      </c>
      <c r="D1361" s="1" t="s">
        <v>246</v>
      </c>
      <c r="E1361" t="s">
        <v>3554</v>
      </c>
      <c r="F1361" t="s">
        <v>1003</v>
      </c>
      <c r="G1361" s="4" t="s">
        <v>5419</v>
      </c>
      <c r="H1361" t="s">
        <v>3555</v>
      </c>
      <c r="I1361" t="s">
        <v>201</v>
      </c>
      <c r="J1361" s="4" t="s">
        <v>68</v>
      </c>
      <c r="K1361" t="s">
        <v>3092</v>
      </c>
      <c r="L1361">
        <v>4</v>
      </c>
      <c r="M1361" t="s">
        <v>246</v>
      </c>
      <c r="N1361" t="s">
        <v>246</v>
      </c>
      <c r="O1361" t="s">
        <v>256</v>
      </c>
      <c r="P1361" s="2" t="str">
        <f t="shared" si="63"/>
        <v>02/09/2025 to 05/09/2025</v>
      </c>
      <c r="Q1361" s="3">
        <v>45904</v>
      </c>
      <c r="R1361" t="str">
        <f t="shared" si="64"/>
        <v>On-Time</v>
      </c>
      <c r="S1361" t="s">
        <v>1472</v>
      </c>
      <c r="T1361">
        <v>37.5</v>
      </c>
      <c r="U1361" t="s">
        <v>79</v>
      </c>
      <c r="V1361" t="s">
        <v>66</v>
      </c>
      <c r="W1361" t="str">
        <f t="shared" ca="1" si="65"/>
        <v>At Risk</v>
      </c>
    </row>
    <row r="1362" spans="1:23" x14ac:dyDescent="0.2">
      <c r="A1362">
        <v>1205</v>
      </c>
      <c r="B1362" t="s">
        <v>3552</v>
      </c>
      <c r="C1362" t="s">
        <v>3560</v>
      </c>
      <c r="D1362" s="1" t="s">
        <v>246</v>
      </c>
      <c r="E1362" t="s">
        <v>3554</v>
      </c>
      <c r="F1362" t="s">
        <v>1003</v>
      </c>
      <c r="G1362" s="4" t="s">
        <v>5424</v>
      </c>
      <c r="H1362" t="s">
        <v>3555</v>
      </c>
      <c r="I1362" t="s">
        <v>201</v>
      </c>
      <c r="J1362" s="4" t="s">
        <v>60</v>
      </c>
      <c r="K1362" t="s">
        <v>3561</v>
      </c>
      <c r="L1362">
        <v>4</v>
      </c>
      <c r="M1362" t="s">
        <v>256</v>
      </c>
      <c r="N1362" t="s">
        <v>275</v>
      </c>
      <c r="O1362" t="s">
        <v>247</v>
      </c>
      <c r="P1362" s="2" t="str">
        <f t="shared" si="63"/>
        <v>03/09/2025 to 08/09/2025</v>
      </c>
      <c r="Q1362" s="3">
        <v>45903</v>
      </c>
      <c r="R1362" t="str">
        <f t="shared" si="64"/>
        <v>On-Time</v>
      </c>
      <c r="S1362" t="s">
        <v>1472</v>
      </c>
      <c r="T1362">
        <v>34.5</v>
      </c>
      <c r="U1362" t="s">
        <v>65</v>
      </c>
      <c r="V1362" t="s">
        <v>80</v>
      </c>
      <c r="W1362" t="str">
        <f t="shared" ca="1" si="65"/>
        <v>At Risk</v>
      </c>
    </row>
    <row r="1363" spans="1:23" x14ac:dyDescent="0.2">
      <c r="A1363">
        <v>316</v>
      </c>
      <c r="B1363" t="s">
        <v>1304</v>
      </c>
      <c r="C1363" t="s">
        <v>1305</v>
      </c>
      <c r="D1363" s="1" t="s">
        <v>256</v>
      </c>
      <c r="E1363" t="s">
        <v>1306</v>
      </c>
      <c r="F1363" t="s">
        <v>209</v>
      </c>
      <c r="G1363" s="4" t="s">
        <v>5420</v>
      </c>
      <c r="H1363" t="s">
        <v>1307</v>
      </c>
      <c r="I1363" t="s">
        <v>59</v>
      </c>
      <c r="J1363" s="4" t="s">
        <v>74</v>
      </c>
      <c r="K1363" t="s">
        <v>10</v>
      </c>
      <c r="L1363">
        <v>1</v>
      </c>
      <c r="M1363" t="s">
        <v>256</v>
      </c>
      <c r="N1363" t="s">
        <v>247</v>
      </c>
      <c r="O1363" t="s">
        <v>247</v>
      </c>
      <c r="P1363" s="2" t="str">
        <f t="shared" si="63"/>
        <v>03/09/2025 to 08/09/2025</v>
      </c>
      <c r="Q1363" s="3">
        <v>45902</v>
      </c>
      <c r="R1363" t="str">
        <f t="shared" si="64"/>
        <v>Late</v>
      </c>
      <c r="S1363" t="s">
        <v>1308</v>
      </c>
      <c r="T1363">
        <v>10</v>
      </c>
      <c r="U1363" t="s">
        <v>79</v>
      </c>
      <c r="V1363" t="s">
        <v>72</v>
      </c>
      <c r="W1363" t="str">
        <f t="shared" ca="1" si="65"/>
        <v>At Risk</v>
      </c>
    </row>
    <row r="1364" spans="1:23" x14ac:dyDescent="0.2">
      <c r="A1364">
        <v>317</v>
      </c>
      <c r="B1364" t="s">
        <v>1304</v>
      </c>
      <c r="C1364" t="s">
        <v>1309</v>
      </c>
      <c r="D1364" s="1" t="s">
        <v>256</v>
      </c>
      <c r="E1364" t="s">
        <v>1306</v>
      </c>
      <c r="F1364" t="s">
        <v>209</v>
      </c>
      <c r="G1364" s="4" t="s">
        <v>5427</v>
      </c>
      <c r="H1364" t="s">
        <v>1307</v>
      </c>
      <c r="I1364" t="s">
        <v>59</v>
      </c>
      <c r="J1364" s="4" t="s">
        <v>68</v>
      </c>
      <c r="K1364" t="s">
        <v>1310</v>
      </c>
      <c r="L1364">
        <v>4</v>
      </c>
      <c r="M1364" t="s">
        <v>256</v>
      </c>
      <c r="N1364" t="s">
        <v>275</v>
      </c>
      <c r="O1364" t="s">
        <v>275</v>
      </c>
      <c r="P1364" s="2" t="str">
        <f t="shared" si="63"/>
        <v>03/09/2025 to 08/09/2025</v>
      </c>
      <c r="Q1364" s="3">
        <v>45909</v>
      </c>
      <c r="R1364" t="str">
        <f t="shared" si="64"/>
        <v>Late</v>
      </c>
      <c r="S1364" t="s">
        <v>649</v>
      </c>
      <c r="T1364">
        <v>36</v>
      </c>
      <c r="U1364" t="s">
        <v>79</v>
      </c>
      <c r="V1364" t="s">
        <v>66</v>
      </c>
      <c r="W1364" t="str">
        <f t="shared" ca="1" si="65"/>
        <v>At Risk</v>
      </c>
    </row>
    <row r="1365" spans="1:23" x14ac:dyDescent="0.2">
      <c r="A1365">
        <v>318</v>
      </c>
      <c r="B1365" t="s">
        <v>1304</v>
      </c>
      <c r="C1365" t="s">
        <v>1311</v>
      </c>
      <c r="D1365" s="1" t="s">
        <v>256</v>
      </c>
      <c r="E1365" t="s">
        <v>1306</v>
      </c>
      <c r="F1365" t="s">
        <v>209</v>
      </c>
      <c r="G1365" s="4" t="s">
        <v>5422</v>
      </c>
      <c r="H1365" t="s">
        <v>1307</v>
      </c>
      <c r="I1365" t="s">
        <v>59</v>
      </c>
      <c r="J1365" s="4" t="s">
        <v>60</v>
      </c>
      <c r="K1365" t="s">
        <v>308</v>
      </c>
      <c r="L1365">
        <v>2</v>
      </c>
      <c r="M1365" t="s">
        <v>275</v>
      </c>
      <c r="N1365" t="s">
        <v>272</v>
      </c>
      <c r="O1365" t="s">
        <v>272</v>
      </c>
      <c r="P1365" s="2" t="str">
        <f t="shared" si="63"/>
        <v>05/09/2025 to 10/09/2025</v>
      </c>
      <c r="Q1365" s="3">
        <v>45905</v>
      </c>
      <c r="R1365" t="str">
        <f t="shared" si="64"/>
        <v>On-Time</v>
      </c>
      <c r="S1365" t="s">
        <v>1312</v>
      </c>
      <c r="T1365">
        <v>18.5</v>
      </c>
      <c r="U1365" t="s">
        <v>79</v>
      </c>
      <c r="V1365" t="s">
        <v>66</v>
      </c>
      <c r="W1365" t="str">
        <f t="shared" ca="1" si="65"/>
        <v>At Risk</v>
      </c>
    </row>
    <row r="1366" spans="1:23" x14ac:dyDescent="0.2">
      <c r="A1366">
        <v>1059</v>
      </c>
      <c r="B1366" t="s">
        <v>3203</v>
      </c>
      <c r="C1366" t="s">
        <v>3204</v>
      </c>
      <c r="D1366" s="1" t="s">
        <v>256</v>
      </c>
      <c r="E1366" t="s">
        <v>3205</v>
      </c>
      <c r="F1366" t="s">
        <v>110</v>
      </c>
      <c r="G1366" s="4" t="s">
        <v>5423</v>
      </c>
      <c r="H1366" t="s">
        <v>3206</v>
      </c>
      <c r="I1366" t="s">
        <v>112</v>
      </c>
      <c r="J1366" s="4" t="s">
        <v>5417</v>
      </c>
      <c r="K1366" t="s">
        <v>3207</v>
      </c>
      <c r="L1366">
        <v>2</v>
      </c>
      <c r="M1366" t="s">
        <v>275</v>
      </c>
      <c r="N1366" t="s">
        <v>280</v>
      </c>
      <c r="O1366" t="s">
        <v>280</v>
      </c>
      <c r="P1366" s="2" t="str">
        <f t="shared" si="63"/>
        <v>05/09/2025 to 10/09/2025</v>
      </c>
      <c r="Q1366" s="3">
        <v>45909</v>
      </c>
      <c r="R1366" t="str">
        <f t="shared" si="64"/>
        <v>On-Time</v>
      </c>
      <c r="S1366" t="s">
        <v>574</v>
      </c>
      <c r="T1366">
        <v>18.5</v>
      </c>
      <c r="U1366" t="s">
        <v>79</v>
      </c>
      <c r="V1366" t="s">
        <v>72</v>
      </c>
      <c r="W1366" t="str">
        <f t="shared" ca="1" si="65"/>
        <v>At Risk</v>
      </c>
    </row>
    <row r="1367" spans="1:23" x14ac:dyDescent="0.2">
      <c r="A1367">
        <v>136</v>
      </c>
      <c r="B1367" t="s">
        <v>700</v>
      </c>
      <c r="C1367" t="s">
        <v>701</v>
      </c>
      <c r="D1367" s="1" t="s">
        <v>247</v>
      </c>
      <c r="E1367" t="s">
        <v>702</v>
      </c>
      <c r="F1367" t="s">
        <v>490</v>
      </c>
      <c r="G1367" s="4" t="s">
        <v>38</v>
      </c>
      <c r="H1367" t="s">
        <v>703</v>
      </c>
      <c r="I1367" t="s">
        <v>112</v>
      </c>
      <c r="J1367" s="4" t="s">
        <v>60</v>
      </c>
      <c r="K1367" t="s">
        <v>16</v>
      </c>
      <c r="L1367">
        <v>1</v>
      </c>
      <c r="M1367" t="s">
        <v>272</v>
      </c>
      <c r="N1367" t="s">
        <v>280</v>
      </c>
      <c r="O1367" t="s">
        <v>273</v>
      </c>
      <c r="P1367" s="2" t="str">
        <f t="shared" si="63"/>
        <v>08/09/2025 to 11/09/2025</v>
      </c>
      <c r="Q1367" s="3">
        <v>45912</v>
      </c>
      <c r="R1367" t="str">
        <f t="shared" si="64"/>
        <v>Late</v>
      </c>
      <c r="S1367" t="s">
        <v>705</v>
      </c>
      <c r="T1367">
        <v>11</v>
      </c>
      <c r="U1367" t="s">
        <v>65</v>
      </c>
      <c r="V1367" t="s">
        <v>80</v>
      </c>
      <c r="W1367" t="str">
        <f t="shared" ca="1" si="65"/>
        <v>At Risk</v>
      </c>
    </row>
    <row r="1368" spans="1:23" x14ac:dyDescent="0.2">
      <c r="A1368">
        <v>183</v>
      </c>
      <c r="B1368" t="s">
        <v>878</v>
      </c>
      <c r="C1368" t="s">
        <v>879</v>
      </c>
      <c r="D1368" s="1" t="s">
        <v>247</v>
      </c>
      <c r="E1368" t="s">
        <v>880</v>
      </c>
      <c r="F1368" t="s">
        <v>881</v>
      </c>
      <c r="G1368" s="4" t="s">
        <v>5427</v>
      </c>
      <c r="H1368" t="s">
        <v>882</v>
      </c>
      <c r="I1368" t="s">
        <v>201</v>
      </c>
      <c r="J1368" s="4" t="s">
        <v>68</v>
      </c>
      <c r="K1368" t="s">
        <v>883</v>
      </c>
      <c r="L1368">
        <v>3</v>
      </c>
      <c r="M1368" t="s">
        <v>247</v>
      </c>
      <c r="N1368" t="s">
        <v>247</v>
      </c>
      <c r="O1368" t="s">
        <v>272</v>
      </c>
      <c r="P1368" s="2" t="str">
        <f t="shared" si="63"/>
        <v>04/09/2025 to 09/09/2025</v>
      </c>
      <c r="Q1368" s="3">
        <v>45907</v>
      </c>
      <c r="R1368" t="str">
        <f t="shared" si="64"/>
        <v>On-Time</v>
      </c>
      <c r="S1368" t="s">
        <v>573</v>
      </c>
      <c r="T1368">
        <v>28.5</v>
      </c>
      <c r="U1368" t="s">
        <v>79</v>
      </c>
      <c r="V1368" t="s">
        <v>80</v>
      </c>
      <c r="W1368" t="str">
        <f t="shared" ca="1" si="65"/>
        <v>At Risk</v>
      </c>
    </row>
    <row r="1369" spans="1:23" x14ac:dyDescent="0.2">
      <c r="A1369">
        <v>184</v>
      </c>
      <c r="B1369" t="s">
        <v>878</v>
      </c>
      <c r="C1369" t="s">
        <v>884</v>
      </c>
      <c r="D1369" s="1" t="s">
        <v>247</v>
      </c>
      <c r="E1369" t="s">
        <v>880</v>
      </c>
      <c r="F1369" t="s">
        <v>881</v>
      </c>
      <c r="G1369" s="4" t="s">
        <v>5418</v>
      </c>
      <c r="H1369" t="s">
        <v>882</v>
      </c>
      <c r="I1369" t="s">
        <v>201</v>
      </c>
      <c r="J1369" s="4" t="s">
        <v>74</v>
      </c>
      <c r="K1369" t="s">
        <v>12</v>
      </c>
      <c r="L1369">
        <v>1</v>
      </c>
      <c r="M1369" t="s">
        <v>272</v>
      </c>
      <c r="N1369" t="s">
        <v>273</v>
      </c>
      <c r="O1369" t="s">
        <v>280</v>
      </c>
      <c r="P1369" s="2" t="str">
        <f t="shared" si="63"/>
        <v>08/09/2025 to 11/09/2025</v>
      </c>
      <c r="Q1369" s="3">
        <v>45910</v>
      </c>
      <c r="R1369" t="str">
        <f t="shared" si="64"/>
        <v>On-Time</v>
      </c>
      <c r="S1369" t="s">
        <v>704</v>
      </c>
      <c r="T1369">
        <v>9.5</v>
      </c>
      <c r="U1369" t="s">
        <v>79</v>
      </c>
      <c r="V1369" t="s">
        <v>80</v>
      </c>
      <c r="W1369" t="str">
        <f t="shared" ca="1" si="65"/>
        <v>At Risk</v>
      </c>
    </row>
    <row r="1370" spans="1:23" x14ac:dyDescent="0.2">
      <c r="A1370">
        <v>1192</v>
      </c>
      <c r="B1370" t="s">
        <v>3523</v>
      </c>
      <c r="C1370" t="s">
        <v>3524</v>
      </c>
      <c r="D1370" s="1" t="s">
        <v>247</v>
      </c>
      <c r="E1370" t="s">
        <v>3525</v>
      </c>
      <c r="F1370" t="s">
        <v>303</v>
      </c>
      <c r="G1370" s="4" t="s">
        <v>5428</v>
      </c>
      <c r="H1370" t="s">
        <v>3526</v>
      </c>
      <c r="I1370" t="s">
        <v>201</v>
      </c>
      <c r="J1370" s="4" t="s">
        <v>5417</v>
      </c>
      <c r="K1370" t="s">
        <v>3527</v>
      </c>
      <c r="L1370">
        <v>4</v>
      </c>
      <c r="M1370" t="s">
        <v>275</v>
      </c>
      <c r="N1370" t="s">
        <v>275</v>
      </c>
      <c r="O1370" t="s">
        <v>272</v>
      </c>
      <c r="P1370" s="2" t="str">
        <f t="shared" si="63"/>
        <v>05/09/2025 to 10/09/2025</v>
      </c>
      <c r="Q1370" s="3">
        <v>45905</v>
      </c>
      <c r="R1370" t="str">
        <f t="shared" si="64"/>
        <v>On-Time</v>
      </c>
      <c r="S1370" t="s">
        <v>1312</v>
      </c>
      <c r="T1370">
        <v>40.5</v>
      </c>
      <c r="U1370" t="s">
        <v>79</v>
      </c>
      <c r="V1370" t="s">
        <v>80</v>
      </c>
      <c r="W1370" t="str">
        <f t="shared" ca="1" si="65"/>
        <v>At Risk</v>
      </c>
    </row>
    <row r="1371" spans="1:23" x14ac:dyDescent="0.2">
      <c r="A1371">
        <v>1193</v>
      </c>
      <c r="B1371" t="s">
        <v>3523</v>
      </c>
      <c r="C1371" t="s">
        <v>3528</v>
      </c>
      <c r="D1371" s="1" t="s">
        <v>247</v>
      </c>
      <c r="E1371" t="s">
        <v>3525</v>
      </c>
      <c r="F1371" t="s">
        <v>303</v>
      </c>
      <c r="G1371" s="4" t="s">
        <v>5424</v>
      </c>
      <c r="H1371" t="s">
        <v>3526</v>
      </c>
      <c r="I1371" t="s">
        <v>201</v>
      </c>
      <c r="J1371" s="4" t="s">
        <v>5417</v>
      </c>
      <c r="K1371" t="s">
        <v>24</v>
      </c>
      <c r="L1371">
        <v>1</v>
      </c>
      <c r="M1371" t="s">
        <v>247</v>
      </c>
      <c r="N1371" t="s">
        <v>275</v>
      </c>
      <c r="O1371" t="s">
        <v>272</v>
      </c>
      <c r="P1371" s="2" t="str">
        <f t="shared" si="63"/>
        <v>04/09/2025 to 09/09/2025</v>
      </c>
      <c r="Q1371" s="3">
        <v>45906</v>
      </c>
      <c r="R1371" t="str">
        <f t="shared" si="64"/>
        <v>On-Time</v>
      </c>
      <c r="S1371" t="s">
        <v>573</v>
      </c>
      <c r="T1371">
        <v>8</v>
      </c>
      <c r="U1371" t="s">
        <v>79</v>
      </c>
      <c r="V1371" t="s">
        <v>66</v>
      </c>
      <c r="W1371" t="str">
        <f t="shared" ca="1" si="65"/>
        <v>At Risk</v>
      </c>
    </row>
    <row r="1372" spans="1:23" x14ac:dyDescent="0.2">
      <c r="A1372">
        <v>1194</v>
      </c>
      <c r="B1372" t="s">
        <v>3523</v>
      </c>
      <c r="C1372" t="s">
        <v>3529</v>
      </c>
      <c r="D1372" s="1" t="s">
        <v>247</v>
      </c>
      <c r="E1372" t="s">
        <v>3525</v>
      </c>
      <c r="F1372" t="s">
        <v>303</v>
      </c>
      <c r="G1372" s="4" t="s">
        <v>38</v>
      </c>
      <c r="H1372" t="s">
        <v>3526</v>
      </c>
      <c r="I1372" t="s">
        <v>201</v>
      </c>
      <c r="J1372" s="4" t="s">
        <v>5417</v>
      </c>
      <c r="K1372" t="s">
        <v>254</v>
      </c>
      <c r="L1372">
        <v>3</v>
      </c>
      <c r="M1372" t="s">
        <v>247</v>
      </c>
      <c r="N1372" t="s">
        <v>275</v>
      </c>
      <c r="O1372" t="s">
        <v>272</v>
      </c>
      <c r="P1372" s="2" t="str">
        <f t="shared" si="63"/>
        <v>04/09/2025 to 09/09/2025</v>
      </c>
      <c r="Q1372" s="3">
        <v>45908</v>
      </c>
      <c r="R1372" t="str">
        <f t="shared" si="64"/>
        <v>On-Time</v>
      </c>
      <c r="S1372" t="s">
        <v>649</v>
      </c>
      <c r="T1372">
        <v>26</v>
      </c>
      <c r="U1372" t="s">
        <v>65</v>
      </c>
      <c r="V1372" t="s">
        <v>80</v>
      </c>
      <c r="W1372" t="str">
        <f t="shared" ca="1" si="65"/>
        <v>At Risk</v>
      </c>
    </row>
    <row r="1373" spans="1:23" x14ac:dyDescent="0.2">
      <c r="A1373">
        <v>1195</v>
      </c>
      <c r="B1373" t="s">
        <v>3523</v>
      </c>
      <c r="C1373" t="s">
        <v>3530</v>
      </c>
      <c r="D1373" s="1" t="s">
        <v>247</v>
      </c>
      <c r="E1373" t="s">
        <v>3525</v>
      </c>
      <c r="F1373" t="s">
        <v>303</v>
      </c>
      <c r="G1373" s="4" t="s">
        <v>5422</v>
      </c>
      <c r="H1373" t="s">
        <v>3526</v>
      </c>
      <c r="I1373" t="s">
        <v>201</v>
      </c>
      <c r="J1373" s="4" t="s">
        <v>74</v>
      </c>
      <c r="K1373" t="s">
        <v>3531</v>
      </c>
      <c r="L1373">
        <v>2</v>
      </c>
      <c r="M1373" t="s">
        <v>247</v>
      </c>
      <c r="N1373" t="s">
        <v>247</v>
      </c>
      <c r="O1373" t="s">
        <v>275</v>
      </c>
      <c r="P1373" s="2" t="str">
        <f t="shared" si="63"/>
        <v>04/09/2025 to 09/09/2025</v>
      </c>
      <c r="Q1373" s="3">
        <v>45909</v>
      </c>
      <c r="R1373" t="str">
        <f t="shared" si="64"/>
        <v>On-Time</v>
      </c>
      <c r="S1373" t="s">
        <v>649</v>
      </c>
      <c r="T1373">
        <v>17.5</v>
      </c>
      <c r="U1373" t="s">
        <v>65</v>
      </c>
      <c r="V1373" t="s">
        <v>66</v>
      </c>
      <c r="W1373" t="str">
        <f t="shared" ca="1" si="65"/>
        <v>At Risk</v>
      </c>
    </row>
    <row r="1374" spans="1:23" x14ac:dyDescent="0.2">
      <c r="A1374">
        <v>417</v>
      </c>
      <c r="B1374" t="s">
        <v>1582</v>
      </c>
      <c r="C1374" t="s">
        <v>1583</v>
      </c>
      <c r="D1374" s="1" t="s">
        <v>275</v>
      </c>
      <c r="E1374" t="s">
        <v>1584</v>
      </c>
      <c r="F1374" t="s">
        <v>1139</v>
      </c>
      <c r="G1374" s="4" t="s">
        <v>5427</v>
      </c>
      <c r="H1374" t="s">
        <v>1585</v>
      </c>
      <c r="I1374" t="s">
        <v>201</v>
      </c>
      <c r="J1374" s="4" t="s">
        <v>5417</v>
      </c>
      <c r="K1374" t="s">
        <v>1586</v>
      </c>
      <c r="L1374">
        <v>3</v>
      </c>
      <c r="M1374" t="s">
        <v>275</v>
      </c>
      <c r="N1374" t="s">
        <v>275</v>
      </c>
      <c r="O1374" t="s">
        <v>272</v>
      </c>
      <c r="P1374" s="2" t="str">
        <f t="shared" si="63"/>
        <v>05/09/2025 to 10/09/2025</v>
      </c>
      <c r="Q1374" s="3">
        <v>45907</v>
      </c>
      <c r="R1374" t="str">
        <f t="shared" si="64"/>
        <v>On-Time</v>
      </c>
      <c r="S1374" t="s">
        <v>642</v>
      </c>
      <c r="T1374">
        <v>31</v>
      </c>
      <c r="U1374" t="s">
        <v>79</v>
      </c>
      <c r="V1374" t="s">
        <v>72</v>
      </c>
      <c r="W1374" t="str">
        <f t="shared" ca="1" si="65"/>
        <v>At Risk</v>
      </c>
    </row>
    <row r="1375" spans="1:23" x14ac:dyDescent="0.2">
      <c r="A1375">
        <v>104</v>
      </c>
      <c r="B1375" t="s">
        <v>568</v>
      </c>
      <c r="C1375" t="s">
        <v>569</v>
      </c>
      <c r="D1375" s="1" t="s">
        <v>272</v>
      </c>
      <c r="E1375" t="s">
        <v>570</v>
      </c>
      <c r="F1375" t="s">
        <v>424</v>
      </c>
      <c r="G1375" s="4" t="s">
        <v>38</v>
      </c>
      <c r="H1375" t="s">
        <v>571</v>
      </c>
      <c r="I1375" t="s">
        <v>136</v>
      </c>
      <c r="J1375" s="4" t="s">
        <v>60</v>
      </c>
      <c r="K1375" t="s">
        <v>572</v>
      </c>
      <c r="L1375">
        <v>3</v>
      </c>
      <c r="M1375" t="s">
        <v>272</v>
      </c>
      <c r="N1375" t="s">
        <v>272</v>
      </c>
      <c r="O1375" t="s">
        <v>280</v>
      </c>
      <c r="P1375" s="2" t="str">
        <f t="shared" si="63"/>
        <v>08/09/2025 to 11/09/2025</v>
      </c>
      <c r="Q1375" s="3">
        <v>45908</v>
      </c>
      <c r="R1375" t="str">
        <f t="shared" si="64"/>
        <v>On-Time</v>
      </c>
      <c r="S1375" t="s">
        <v>574</v>
      </c>
      <c r="T1375">
        <v>27</v>
      </c>
      <c r="U1375" t="s">
        <v>65</v>
      </c>
      <c r="V1375" t="s">
        <v>66</v>
      </c>
      <c r="W1375" t="str">
        <f t="shared" ca="1" si="65"/>
        <v>At Risk</v>
      </c>
    </row>
    <row r="1376" spans="1:23" x14ac:dyDescent="0.2">
      <c r="A1376">
        <v>1962</v>
      </c>
      <c r="B1376" t="s">
        <v>5318</v>
      </c>
      <c r="C1376" t="s">
        <v>5319</v>
      </c>
      <c r="D1376" s="1" t="s">
        <v>272</v>
      </c>
      <c r="E1376" t="s">
        <v>5320</v>
      </c>
      <c r="F1376" t="s">
        <v>91</v>
      </c>
      <c r="G1376" s="4" t="s">
        <v>5426</v>
      </c>
      <c r="H1376" t="s">
        <v>5321</v>
      </c>
      <c r="I1376" t="s">
        <v>136</v>
      </c>
      <c r="J1376" s="4" t="s">
        <v>74</v>
      </c>
      <c r="K1376" t="s">
        <v>28</v>
      </c>
      <c r="L1376">
        <v>1</v>
      </c>
      <c r="M1376" t="s">
        <v>273</v>
      </c>
      <c r="N1376" t="s">
        <v>277</v>
      </c>
      <c r="O1376" t="s">
        <v>273</v>
      </c>
      <c r="P1376" s="2" t="str">
        <f t="shared" si="63"/>
        <v>09/09/2025 to 12/09/2025</v>
      </c>
      <c r="Q1376" s="3">
        <v>45909</v>
      </c>
      <c r="R1376" t="str">
        <f t="shared" si="64"/>
        <v>On-Time</v>
      </c>
      <c r="S1376" t="s">
        <v>649</v>
      </c>
      <c r="T1376">
        <v>9</v>
      </c>
      <c r="U1376" t="s">
        <v>79</v>
      </c>
      <c r="V1376" t="s">
        <v>72</v>
      </c>
      <c r="W1376" t="str">
        <f t="shared" ca="1" si="65"/>
        <v>At Risk</v>
      </c>
    </row>
    <row r="1377" spans="1:23" x14ac:dyDescent="0.2">
      <c r="A1377">
        <v>1963</v>
      </c>
      <c r="B1377" t="s">
        <v>5318</v>
      </c>
      <c r="C1377" t="s">
        <v>5322</v>
      </c>
      <c r="D1377" s="1" t="s">
        <v>272</v>
      </c>
      <c r="E1377" t="s">
        <v>5320</v>
      </c>
      <c r="F1377" t="s">
        <v>91</v>
      </c>
      <c r="G1377" s="4" t="s">
        <v>5425</v>
      </c>
      <c r="H1377" t="s">
        <v>5321</v>
      </c>
      <c r="I1377" t="s">
        <v>136</v>
      </c>
      <c r="J1377" s="4" t="s">
        <v>60</v>
      </c>
      <c r="K1377" t="s">
        <v>26</v>
      </c>
      <c r="L1377">
        <v>1</v>
      </c>
      <c r="M1377" t="s">
        <v>273</v>
      </c>
      <c r="N1377" t="s">
        <v>277</v>
      </c>
      <c r="O1377" t="s">
        <v>277</v>
      </c>
      <c r="P1377" s="2" t="str">
        <f t="shared" si="63"/>
        <v>09/09/2025 to 12/09/2025</v>
      </c>
      <c r="Q1377" s="3">
        <v>45909</v>
      </c>
      <c r="R1377" t="str">
        <f t="shared" si="64"/>
        <v>On-Time</v>
      </c>
      <c r="S1377" t="s">
        <v>574</v>
      </c>
      <c r="T1377">
        <v>9</v>
      </c>
      <c r="U1377" t="s">
        <v>65</v>
      </c>
      <c r="V1377" t="s">
        <v>66</v>
      </c>
      <c r="W1377" t="str">
        <f t="shared" ca="1" si="65"/>
        <v>At Risk</v>
      </c>
    </row>
    <row r="1378" spans="1:23" x14ac:dyDescent="0.2">
      <c r="A1378">
        <v>1561</v>
      </c>
      <c r="B1378" t="s">
        <v>4414</v>
      </c>
      <c r="C1378" t="s">
        <v>4415</v>
      </c>
      <c r="D1378" s="1" t="s">
        <v>280</v>
      </c>
      <c r="E1378" t="s">
        <v>4416</v>
      </c>
      <c r="F1378" t="s">
        <v>286</v>
      </c>
      <c r="G1378" s="4" t="s">
        <v>5426</v>
      </c>
      <c r="H1378" t="s">
        <v>4403</v>
      </c>
      <c r="I1378" t="s">
        <v>93</v>
      </c>
      <c r="J1378" s="4" t="s">
        <v>5417</v>
      </c>
      <c r="K1378" t="s">
        <v>4417</v>
      </c>
      <c r="L1378">
        <v>2</v>
      </c>
      <c r="M1378" t="s">
        <v>273</v>
      </c>
      <c r="N1378" t="s">
        <v>277</v>
      </c>
      <c r="O1378" t="s">
        <v>277</v>
      </c>
      <c r="P1378" s="2" t="str">
        <f t="shared" si="63"/>
        <v>09/09/2025 to 12/09/2025</v>
      </c>
      <c r="Q1378" s="3">
        <v>45913</v>
      </c>
      <c r="R1378" t="str">
        <f t="shared" si="64"/>
        <v>Late</v>
      </c>
      <c r="S1378" t="s">
        <v>705</v>
      </c>
      <c r="T1378">
        <v>18</v>
      </c>
      <c r="U1378" t="s">
        <v>65</v>
      </c>
      <c r="V1378" t="s">
        <v>72</v>
      </c>
      <c r="W1378" t="str">
        <f t="shared" ca="1" si="65"/>
        <v>At Risk</v>
      </c>
    </row>
    <row r="1379" spans="1:23" x14ac:dyDescent="0.2">
      <c r="A1379">
        <v>1562</v>
      </c>
      <c r="B1379" t="s">
        <v>4414</v>
      </c>
      <c r="C1379" t="s">
        <v>4418</v>
      </c>
      <c r="D1379" s="1" t="s">
        <v>280</v>
      </c>
      <c r="E1379" t="s">
        <v>4416</v>
      </c>
      <c r="F1379" t="s">
        <v>286</v>
      </c>
      <c r="G1379" s="4" t="s">
        <v>5427</v>
      </c>
      <c r="H1379" t="s">
        <v>4403</v>
      </c>
      <c r="I1379" t="s">
        <v>93</v>
      </c>
      <c r="J1379" s="4" t="s">
        <v>5417</v>
      </c>
      <c r="K1379" t="s">
        <v>4419</v>
      </c>
      <c r="L1379">
        <v>3</v>
      </c>
      <c r="M1379" t="s">
        <v>280</v>
      </c>
      <c r="N1379" t="s">
        <v>280</v>
      </c>
      <c r="O1379" t="s">
        <v>273</v>
      </c>
      <c r="P1379" s="2" t="str">
        <f t="shared" si="63"/>
        <v>09/09/2025 to 12/09/2025</v>
      </c>
      <c r="Q1379" s="3">
        <v>45907</v>
      </c>
      <c r="R1379" t="str">
        <f t="shared" si="64"/>
        <v>Late</v>
      </c>
      <c r="S1379" t="s">
        <v>573</v>
      </c>
      <c r="T1379">
        <v>28.5</v>
      </c>
      <c r="U1379" t="s">
        <v>65</v>
      </c>
      <c r="V1379" t="s">
        <v>80</v>
      </c>
      <c r="W1379" t="str">
        <f t="shared" ca="1" si="65"/>
        <v>At Risk</v>
      </c>
    </row>
    <row r="1380" spans="1:23" x14ac:dyDescent="0.2">
      <c r="A1380">
        <v>1563</v>
      </c>
      <c r="B1380" t="s">
        <v>4414</v>
      </c>
      <c r="C1380" t="s">
        <v>4420</v>
      </c>
      <c r="D1380" s="1" t="s">
        <v>280</v>
      </c>
      <c r="E1380" t="s">
        <v>4416</v>
      </c>
      <c r="F1380" t="s">
        <v>286</v>
      </c>
      <c r="G1380" s="4" t="s">
        <v>5418</v>
      </c>
      <c r="H1380" t="s">
        <v>4403</v>
      </c>
      <c r="I1380" t="s">
        <v>93</v>
      </c>
      <c r="J1380" s="4" t="s">
        <v>5417</v>
      </c>
      <c r="K1380" t="s">
        <v>1845</v>
      </c>
      <c r="L1380">
        <v>2</v>
      </c>
      <c r="M1380" t="s">
        <v>273</v>
      </c>
      <c r="N1380" t="s">
        <v>1578</v>
      </c>
      <c r="O1380" t="s">
        <v>1578</v>
      </c>
      <c r="P1380" s="2" t="str">
        <f t="shared" si="63"/>
        <v>09/09/2025 to 12/09/2025</v>
      </c>
      <c r="Q1380" s="3">
        <v>45911</v>
      </c>
      <c r="R1380" t="str">
        <f t="shared" si="64"/>
        <v>On-Time</v>
      </c>
      <c r="S1380" t="s">
        <v>902</v>
      </c>
      <c r="T1380">
        <v>25</v>
      </c>
      <c r="U1380" t="s">
        <v>79</v>
      </c>
      <c r="V1380" t="s">
        <v>72</v>
      </c>
      <c r="W1380" t="str">
        <f t="shared" ca="1" si="65"/>
        <v>At Risk</v>
      </c>
    </row>
    <row r="1381" spans="1:23" x14ac:dyDescent="0.2">
      <c r="A1381">
        <v>1564</v>
      </c>
      <c r="B1381" t="s">
        <v>4414</v>
      </c>
      <c r="C1381" t="s">
        <v>4421</v>
      </c>
      <c r="D1381" s="1" t="s">
        <v>280</v>
      </c>
      <c r="E1381" t="s">
        <v>4416</v>
      </c>
      <c r="F1381" t="s">
        <v>286</v>
      </c>
      <c r="G1381" s="4" t="s">
        <v>5419</v>
      </c>
      <c r="H1381" t="s">
        <v>4403</v>
      </c>
      <c r="I1381" t="s">
        <v>93</v>
      </c>
      <c r="J1381" s="4" t="s">
        <v>74</v>
      </c>
      <c r="K1381" t="s">
        <v>4422</v>
      </c>
      <c r="L1381">
        <v>4</v>
      </c>
      <c r="M1381" t="s">
        <v>280</v>
      </c>
      <c r="N1381" t="s">
        <v>280</v>
      </c>
      <c r="O1381" t="s">
        <v>1578</v>
      </c>
      <c r="P1381" s="2" t="str">
        <f t="shared" si="63"/>
        <v>09/09/2025 to 12/09/2025</v>
      </c>
      <c r="Q1381" s="3">
        <v>45912</v>
      </c>
      <c r="R1381" t="str">
        <f t="shared" si="64"/>
        <v>On-Time</v>
      </c>
      <c r="S1381" t="s">
        <v>814</v>
      </c>
      <c r="T1381">
        <v>37.5</v>
      </c>
      <c r="U1381" t="s">
        <v>79</v>
      </c>
      <c r="V1381" t="s">
        <v>80</v>
      </c>
      <c r="W1381" t="str">
        <f t="shared" ca="1" si="65"/>
        <v>At Risk</v>
      </c>
    </row>
    <row r="1382" spans="1:23" x14ac:dyDescent="0.2">
      <c r="A1382">
        <v>1565</v>
      </c>
      <c r="B1382" t="s">
        <v>4414</v>
      </c>
      <c r="C1382" t="s">
        <v>4423</v>
      </c>
      <c r="D1382" s="1" t="s">
        <v>280</v>
      </c>
      <c r="E1382" t="s">
        <v>4416</v>
      </c>
      <c r="F1382" t="s">
        <v>286</v>
      </c>
      <c r="G1382" s="4" t="s">
        <v>5427</v>
      </c>
      <c r="H1382" t="s">
        <v>4403</v>
      </c>
      <c r="I1382" t="s">
        <v>93</v>
      </c>
      <c r="J1382" s="4" t="s">
        <v>74</v>
      </c>
      <c r="K1382" t="s">
        <v>2943</v>
      </c>
      <c r="L1382">
        <v>4</v>
      </c>
      <c r="M1382" t="s">
        <v>280</v>
      </c>
      <c r="N1382" t="s">
        <v>280</v>
      </c>
      <c r="O1382" t="s">
        <v>273</v>
      </c>
      <c r="P1382" s="2" t="str">
        <f t="shared" si="63"/>
        <v>09/09/2025 to 12/09/2025</v>
      </c>
      <c r="Q1382" s="3">
        <v>45909</v>
      </c>
      <c r="R1382" t="str">
        <f t="shared" si="64"/>
        <v>On-Time</v>
      </c>
      <c r="S1382" t="s">
        <v>902</v>
      </c>
      <c r="T1382">
        <v>39.5</v>
      </c>
      <c r="U1382" t="s">
        <v>79</v>
      </c>
      <c r="V1382" t="s">
        <v>72</v>
      </c>
      <c r="W1382" t="str">
        <f t="shared" ca="1" si="65"/>
        <v>At Risk</v>
      </c>
    </row>
    <row r="1383" spans="1:23" x14ac:dyDescent="0.2">
      <c r="A1383">
        <v>1891</v>
      </c>
      <c r="B1383" t="s">
        <v>5158</v>
      </c>
      <c r="C1383" t="s">
        <v>5159</v>
      </c>
      <c r="D1383" s="1" t="s">
        <v>273</v>
      </c>
      <c r="E1383" t="s">
        <v>5160</v>
      </c>
      <c r="F1383" t="s">
        <v>1204</v>
      </c>
      <c r="G1383" s="4" t="s">
        <v>5427</v>
      </c>
      <c r="H1383" t="s">
        <v>3494</v>
      </c>
      <c r="I1383" t="s">
        <v>136</v>
      </c>
      <c r="J1383" s="4" t="s">
        <v>5417</v>
      </c>
      <c r="K1383" t="s">
        <v>5161</v>
      </c>
      <c r="L1383">
        <v>4</v>
      </c>
      <c r="M1383" t="s">
        <v>277</v>
      </c>
      <c r="N1383" t="s">
        <v>1465</v>
      </c>
      <c r="O1383" t="s">
        <v>277</v>
      </c>
      <c r="P1383" s="2" t="str">
        <f t="shared" si="63"/>
        <v>10/09/2025 to 15/09/2025</v>
      </c>
      <c r="Q1383" s="3">
        <v>45913</v>
      </c>
      <c r="R1383" t="str">
        <f t="shared" si="64"/>
        <v>On-Time</v>
      </c>
      <c r="S1383" t="s">
        <v>705</v>
      </c>
      <c r="T1383">
        <v>36</v>
      </c>
      <c r="U1383" t="s">
        <v>79</v>
      </c>
      <c r="V1383" t="s">
        <v>80</v>
      </c>
      <c r="W1383" t="str">
        <f t="shared" ca="1" si="65"/>
        <v>At Risk</v>
      </c>
    </row>
    <row r="1384" spans="1:23" x14ac:dyDescent="0.2">
      <c r="A1384">
        <v>1892</v>
      </c>
      <c r="B1384" t="s">
        <v>5158</v>
      </c>
      <c r="C1384" t="s">
        <v>5162</v>
      </c>
      <c r="D1384" s="1" t="s">
        <v>273</v>
      </c>
      <c r="E1384" t="s">
        <v>5160</v>
      </c>
      <c r="F1384" t="s">
        <v>1204</v>
      </c>
      <c r="G1384" s="4" t="s">
        <v>5420</v>
      </c>
      <c r="H1384" t="s">
        <v>3494</v>
      </c>
      <c r="I1384" t="s">
        <v>136</v>
      </c>
      <c r="J1384" s="4" t="s">
        <v>5417</v>
      </c>
      <c r="K1384" t="s">
        <v>1366</v>
      </c>
      <c r="L1384">
        <v>2</v>
      </c>
      <c r="M1384" t="s">
        <v>1578</v>
      </c>
      <c r="N1384" t="s">
        <v>1578</v>
      </c>
      <c r="O1384" t="s">
        <v>277</v>
      </c>
      <c r="P1384" s="2" t="str">
        <f t="shared" si="63"/>
        <v>09/09/2025 to 12/09/2025</v>
      </c>
      <c r="Q1384" s="3">
        <v>45914</v>
      </c>
      <c r="R1384" t="str">
        <f t="shared" si="64"/>
        <v>Late</v>
      </c>
      <c r="S1384" t="s">
        <v>814</v>
      </c>
      <c r="T1384">
        <v>22</v>
      </c>
      <c r="U1384" t="s">
        <v>65</v>
      </c>
      <c r="V1384" t="s">
        <v>66</v>
      </c>
      <c r="W1384" t="str">
        <f t="shared" ca="1" si="65"/>
        <v>At Risk</v>
      </c>
    </row>
    <row r="1385" spans="1:23" x14ac:dyDescent="0.2">
      <c r="A1385">
        <v>1893</v>
      </c>
      <c r="B1385" t="s">
        <v>5158</v>
      </c>
      <c r="C1385" t="s">
        <v>5163</v>
      </c>
      <c r="D1385" s="1" t="s">
        <v>273</v>
      </c>
      <c r="E1385" t="s">
        <v>5160</v>
      </c>
      <c r="F1385" t="s">
        <v>1204</v>
      </c>
      <c r="G1385" s="4" t="s">
        <v>5423</v>
      </c>
      <c r="H1385" t="s">
        <v>3494</v>
      </c>
      <c r="I1385" t="s">
        <v>136</v>
      </c>
      <c r="J1385" s="4" t="s">
        <v>68</v>
      </c>
      <c r="K1385" t="s">
        <v>204</v>
      </c>
      <c r="L1385">
        <v>2</v>
      </c>
      <c r="M1385" t="s">
        <v>273</v>
      </c>
      <c r="N1385" t="s">
        <v>1578</v>
      </c>
      <c r="O1385" t="s">
        <v>273</v>
      </c>
      <c r="P1385" s="2" t="str">
        <f t="shared" si="63"/>
        <v>09/09/2025 to 12/09/2025</v>
      </c>
      <c r="Q1385" s="3">
        <v>45910</v>
      </c>
      <c r="R1385" t="str">
        <f t="shared" si="64"/>
        <v>On-Time</v>
      </c>
      <c r="S1385" t="s">
        <v>902</v>
      </c>
      <c r="T1385">
        <v>20</v>
      </c>
      <c r="U1385" t="s">
        <v>65</v>
      </c>
      <c r="V1385" t="s">
        <v>72</v>
      </c>
      <c r="W1385" t="str">
        <f t="shared" ca="1" si="65"/>
        <v>At Risk</v>
      </c>
    </row>
    <row r="1386" spans="1:23" x14ac:dyDescent="0.2">
      <c r="A1386">
        <v>1894</v>
      </c>
      <c r="B1386" t="s">
        <v>5158</v>
      </c>
      <c r="C1386" t="s">
        <v>5164</v>
      </c>
      <c r="D1386" s="1" t="s">
        <v>273</v>
      </c>
      <c r="E1386" t="s">
        <v>5160</v>
      </c>
      <c r="F1386" t="s">
        <v>1204</v>
      </c>
      <c r="G1386" s="4" t="s">
        <v>5418</v>
      </c>
      <c r="H1386" t="s">
        <v>3494</v>
      </c>
      <c r="I1386" t="s">
        <v>136</v>
      </c>
      <c r="J1386" s="4" t="s">
        <v>68</v>
      </c>
      <c r="K1386" t="s">
        <v>5165</v>
      </c>
      <c r="L1386">
        <v>3</v>
      </c>
      <c r="M1386" t="s">
        <v>273</v>
      </c>
      <c r="N1386" t="s">
        <v>1578</v>
      </c>
      <c r="O1386" t="s">
        <v>1578</v>
      </c>
      <c r="P1386" s="2" t="str">
        <f t="shared" si="63"/>
        <v>09/09/2025 to 12/09/2025</v>
      </c>
      <c r="Q1386" s="3">
        <v>45908</v>
      </c>
      <c r="R1386" t="str">
        <f t="shared" si="64"/>
        <v>Late</v>
      </c>
      <c r="S1386" t="s">
        <v>573</v>
      </c>
      <c r="T1386">
        <v>24.5</v>
      </c>
      <c r="U1386" t="s">
        <v>65</v>
      </c>
      <c r="V1386" t="s">
        <v>80</v>
      </c>
      <c r="W1386" t="str">
        <f t="shared" ca="1" si="65"/>
        <v>At Risk</v>
      </c>
    </row>
    <row r="1387" spans="1:23" x14ac:dyDescent="0.2">
      <c r="A1387">
        <v>1965</v>
      </c>
      <c r="B1387" t="s">
        <v>5327</v>
      </c>
      <c r="C1387" t="s">
        <v>5328</v>
      </c>
      <c r="D1387" s="1" t="s">
        <v>273</v>
      </c>
      <c r="E1387" t="s">
        <v>5329</v>
      </c>
      <c r="F1387" t="s">
        <v>266</v>
      </c>
      <c r="G1387" s="4" t="s">
        <v>38</v>
      </c>
      <c r="H1387" t="s">
        <v>608</v>
      </c>
      <c r="I1387" t="s">
        <v>59</v>
      </c>
      <c r="J1387" s="4" t="s">
        <v>60</v>
      </c>
      <c r="K1387" t="s">
        <v>5330</v>
      </c>
      <c r="L1387">
        <v>4</v>
      </c>
      <c r="M1387" t="s">
        <v>1578</v>
      </c>
      <c r="N1387" t="s">
        <v>1308</v>
      </c>
      <c r="O1387" t="s">
        <v>277</v>
      </c>
      <c r="P1387" s="2" t="str">
        <f t="shared" si="63"/>
        <v>09/09/2025 to 12/09/2025</v>
      </c>
      <c r="Q1387" s="3">
        <v>45911</v>
      </c>
      <c r="R1387" t="str">
        <f t="shared" si="64"/>
        <v>On-Time</v>
      </c>
      <c r="S1387" t="s">
        <v>705</v>
      </c>
      <c r="T1387">
        <v>39.5</v>
      </c>
      <c r="U1387" t="s">
        <v>65</v>
      </c>
      <c r="V1387" t="s">
        <v>66</v>
      </c>
      <c r="W1387" t="str">
        <f t="shared" ca="1" si="65"/>
        <v>At Risk</v>
      </c>
    </row>
    <row r="1388" spans="1:23" x14ac:dyDescent="0.2">
      <c r="A1388">
        <v>970</v>
      </c>
      <c r="B1388" t="s">
        <v>2991</v>
      </c>
      <c r="C1388" t="s">
        <v>2992</v>
      </c>
      <c r="D1388" s="1" t="s">
        <v>1578</v>
      </c>
      <c r="E1388" t="s">
        <v>2993</v>
      </c>
      <c r="F1388" t="s">
        <v>406</v>
      </c>
      <c r="G1388" s="4" t="s">
        <v>5423</v>
      </c>
      <c r="H1388" t="s">
        <v>2994</v>
      </c>
      <c r="I1388" t="s">
        <v>93</v>
      </c>
      <c r="J1388" s="4" t="s">
        <v>68</v>
      </c>
      <c r="K1388" t="s">
        <v>2995</v>
      </c>
      <c r="L1388">
        <v>2</v>
      </c>
      <c r="M1388" t="s">
        <v>277</v>
      </c>
      <c r="N1388" t="s">
        <v>1308</v>
      </c>
      <c r="O1388" t="s">
        <v>1308</v>
      </c>
      <c r="P1388" s="2" t="str">
        <f t="shared" si="63"/>
        <v>10/09/2025 to 15/09/2025</v>
      </c>
      <c r="Q1388" s="3">
        <v>45911</v>
      </c>
      <c r="R1388" t="str">
        <f t="shared" si="64"/>
        <v>On-Time</v>
      </c>
      <c r="S1388" t="s">
        <v>705</v>
      </c>
      <c r="T1388">
        <v>17.5</v>
      </c>
      <c r="U1388" t="s">
        <v>79</v>
      </c>
      <c r="V1388" t="s">
        <v>66</v>
      </c>
      <c r="W1388" t="str">
        <f t="shared" ca="1" si="65"/>
        <v>At Risk</v>
      </c>
    </row>
    <row r="1389" spans="1:23" x14ac:dyDescent="0.2">
      <c r="A1389">
        <v>971</v>
      </c>
      <c r="B1389" t="s">
        <v>2991</v>
      </c>
      <c r="C1389" t="s">
        <v>2996</v>
      </c>
      <c r="D1389" s="1" t="s">
        <v>1578</v>
      </c>
      <c r="E1389" t="s">
        <v>2993</v>
      </c>
      <c r="F1389" t="s">
        <v>406</v>
      </c>
      <c r="G1389" s="4" t="s">
        <v>5423</v>
      </c>
      <c r="H1389" t="s">
        <v>2994</v>
      </c>
      <c r="I1389" t="s">
        <v>93</v>
      </c>
      <c r="J1389" s="4" t="s">
        <v>60</v>
      </c>
      <c r="K1389" t="s">
        <v>2997</v>
      </c>
      <c r="L1389">
        <v>4</v>
      </c>
      <c r="M1389" t="s">
        <v>1578</v>
      </c>
      <c r="N1389" t="s">
        <v>277</v>
      </c>
      <c r="O1389" t="s">
        <v>1308</v>
      </c>
      <c r="P1389" s="2" t="str">
        <f t="shared" si="63"/>
        <v>09/09/2025 to 12/09/2025</v>
      </c>
      <c r="Q1389" s="3">
        <v>45914</v>
      </c>
      <c r="R1389" t="str">
        <f t="shared" si="64"/>
        <v>Late</v>
      </c>
      <c r="S1389" t="s">
        <v>814</v>
      </c>
      <c r="T1389">
        <v>36.5</v>
      </c>
      <c r="U1389" t="s">
        <v>79</v>
      </c>
      <c r="V1389" t="s">
        <v>72</v>
      </c>
      <c r="W1389" t="str">
        <f t="shared" ca="1" si="65"/>
        <v>At Risk</v>
      </c>
    </row>
    <row r="1390" spans="1:23" x14ac:dyDescent="0.2">
      <c r="A1390">
        <v>1234</v>
      </c>
      <c r="B1390" t="s">
        <v>3623</v>
      </c>
      <c r="C1390" t="s">
        <v>3624</v>
      </c>
      <c r="D1390" s="1" t="s">
        <v>1578</v>
      </c>
      <c r="E1390" t="s">
        <v>3625</v>
      </c>
      <c r="F1390" t="s">
        <v>1829</v>
      </c>
      <c r="G1390" s="4" t="s">
        <v>5419</v>
      </c>
      <c r="H1390" t="s">
        <v>3626</v>
      </c>
      <c r="I1390" t="s">
        <v>59</v>
      </c>
      <c r="J1390" s="4" t="s">
        <v>74</v>
      </c>
      <c r="K1390" t="s">
        <v>3627</v>
      </c>
      <c r="L1390">
        <v>3</v>
      </c>
      <c r="M1390" t="s">
        <v>1308</v>
      </c>
      <c r="N1390" t="s">
        <v>1308</v>
      </c>
      <c r="O1390" t="s">
        <v>1308</v>
      </c>
      <c r="P1390" s="2" t="str">
        <f t="shared" si="63"/>
        <v>11/09/2025 to 16/09/2025</v>
      </c>
      <c r="Q1390" s="3">
        <v>45909</v>
      </c>
      <c r="R1390" t="str">
        <f t="shared" si="64"/>
        <v>Late</v>
      </c>
      <c r="S1390" t="s">
        <v>649</v>
      </c>
      <c r="T1390">
        <v>27.5</v>
      </c>
      <c r="U1390" t="s">
        <v>65</v>
      </c>
      <c r="V1390" t="s">
        <v>72</v>
      </c>
      <c r="W1390" t="str">
        <f t="shared" ca="1" si="65"/>
        <v>At Risk</v>
      </c>
    </row>
    <row r="1391" spans="1:23" x14ac:dyDescent="0.2">
      <c r="A1391">
        <v>1235</v>
      </c>
      <c r="B1391" t="s">
        <v>3623</v>
      </c>
      <c r="C1391" t="s">
        <v>3628</v>
      </c>
      <c r="D1391" s="1" t="s">
        <v>1578</v>
      </c>
      <c r="E1391" t="s">
        <v>3625</v>
      </c>
      <c r="F1391" t="s">
        <v>1829</v>
      </c>
      <c r="G1391" s="4" t="s">
        <v>5426</v>
      </c>
      <c r="H1391" t="s">
        <v>3626</v>
      </c>
      <c r="I1391" t="s">
        <v>59</v>
      </c>
      <c r="J1391" s="4" t="s">
        <v>5417</v>
      </c>
      <c r="K1391" t="s">
        <v>1709</v>
      </c>
      <c r="L1391">
        <v>2</v>
      </c>
      <c r="M1391" t="s">
        <v>277</v>
      </c>
      <c r="N1391" t="s">
        <v>1465</v>
      </c>
      <c r="O1391" t="s">
        <v>277</v>
      </c>
      <c r="P1391" s="2" t="str">
        <f t="shared" si="63"/>
        <v>10/09/2025 to 15/09/2025</v>
      </c>
      <c r="Q1391" s="3">
        <v>45908</v>
      </c>
      <c r="R1391" t="str">
        <f t="shared" si="64"/>
        <v>Late</v>
      </c>
      <c r="S1391" t="s">
        <v>649</v>
      </c>
      <c r="T1391">
        <v>22</v>
      </c>
      <c r="U1391" t="s">
        <v>65</v>
      </c>
      <c r="V1391" t="s">
        <v>66</v>
      </c>
      <c r="W1391" t="str">
        <f t="shared" ca="1" si="65"/>
        <v>At Risk</v>
      </c>
    </row>
    <row r="1392" spans="1:23" x14ac:dyDescent="0.2">
      <c r="A1392">
        <v>1872</v>
      </c>
      <c r="B1392" t="s">
        <v>5119</v>
      </c>
      <c r="C1392" t="s">
        <v>5120</v>
      </c>
      <c r="D1392" s="1" t="s">
        <v>1578</v>
      </c>
      <c r="E1392" t="s">
        <v>5121</v>
      </c>
      <c r="F1392" t="s">
        <v>1077</v>
      </c>
      <c r="G1392" s="4" t="s">
        <v>5422</v>
      </c>
      <c r="H1392" t="s">
        <v>5122</v>
      </c>
      <c r="I1392" t="s">
        <v>59</v>
      </c>
      <c r="J1392" s="4" t="s">
        <v>68</v>
      </c>
      <c r="K1392" t="s">
        <v>32</v>
      </c>
      <c r="L1392">
        <v>1</v>
      </c>
      <c r="M1392" t="s">
        <v>1578</v>
      </c>
      <c r="N1392" t="s">
        <v>277</v>
      </c>
      <c r="O1392" t="s">
        <v>277</v>
      </c>
      <c r="P1392" s="2" t="str">
        <f t="shared" si="63"/>
        <v>09/09/2025 to 12/09/2025</v>
      </c>
      <c r="Q1392" s="3">
        <v>45908</v>
      </c>
      <c r="R1392" t="str">
        <f t="shared" si="64"/>
        <v>Late</v>
      </c>
      <c r="S1392" t="s">
        <v>574</v>
      </c>
      <c r="T1392">
        <v>14</v>
      </c>
      <c r="U1392" t="s">
        <v>79</v>
      </c>
      <c r="V1392" t="s">
        <v>66</v>
      </c>
      <c r="W1392" t="str">
        <f t="shared" ca="1" si="65"/>
        <v>At Risk</v>
      </c>
    </row>
    <row r="1393" spans="1:23" x14ac:dyDescent="0.2">
      <c r="A1393">
        <v>1873</v>
      </c>
      <c r="B1393" t="s">
        <v>5119</v>
      </c>
      <c r="C1393" t="s">
        <v>5123</v>
      </c>
      <c r="D1393" s="1" t="s">
        <v>1578</v>
      </c>
      <c r="E1393" t="s">
        <v>5121</v>
      </c>
      <c r="F1393" t="s">
        <v>1077</v>
      </c>
      <c r="G1393" s="4" t="s">
        <v>5427</v>
      </c>
      <c r="H1393" t="s">
        <v>5122</v>
      </c>
      <c r="I1393" t="s">
        <v>59</v>
      </c>
      <c r="J1393" s="4" t="s">
        <v>74</v>
      </c>
      <c r="K1393" t="s">
        <v>2953</v>
      </c>
      <c r="L1393">
        <v>2</v>
      </c>
      <c r="M1393" t="s">
        <v>277</v>
      </c>
      <c r="N1393" t="s">
        <v>277</v>
      </c>
      <c r="O1393" t="s">
        <v>277</v>
      </c>
      <c r="P1393" s="2" t="str">
        <f t="shared" si="63"/>
        <v>10/09/2025 to 15/09/2025</v>
      </c>
      <c r="Q1393" s="3">
        <v>45908</v>
      </c>
      <c r="R1393" t="str">
        <f t="shared" si="64"/>
        <v>Late</v>
      </c>
      <c r="S1393" t="s">
        <v>574</v>
      </c>
      <c r="T1393">
        <v>17.5</v>
      </c>
      <c r="U1393" t="s">
        <v>65</v>
      </c>
      <c r="V1393" t="s">
        <v>72</v>
      </c>
      <c r="W1393" t="str">
        <f t="shared" ca="1" si="65"/>
        <v>At Risk</v>
      </c>
    </row>
    <row r="1394" spans="1:23" x14ac:dyDescent="0.2">
      <c r="A1394">
        <v>1874</v>
      </c>
      <c r="B1394" t="s">
        <v>5119</v>
      </c>
      <c r="C1394" t="s">
        <v>5124</v>
      </c>
      <c r="D1394" s="1" t="s">
        <v>1578</v>
      </c>
      <c r="E1394" t="s">
        <v>5121</v>
      </c>
      <c r="F1394" t="s">
        <v>1077</v>
      </c>
      <c r="G1394" s="4" t="s">
        <v>5418</v>
      </c>
      <c r="H1394" t="s">
        <v>5122</v>
      </c>
      <c r="I1394" t="s">
        <v>59</v>
      </c>
      <c r="J1394" s="4" t="s">
        <v>60</v>
      </c>
      <c r="K1394" t="s">
        <v>5125</v>
      </c>
      <c r="L1394">
        <v>4</v>
      </c>
      <c r="M1394" t="s">
        <v>1308</v>
      </c>
      <c r="N1394" t="s">
        <v>1465</v>
      </c>
      <c r="O1394" t="s">
        <v>1308</v>
      </c>
      <c r="P1394" s="2" t="str">
        <f t="shared" si="63"/>
        <v>11/09/2025 to 16/09/2025</v>
      </c>
      <c r="Q1394" s="3">
        <v>45910</v>
      </c>
      <c r="R1394" t="str">
        <f t="shared" si="64"/>
        <v>Late</v>
      </c>
      <c r="S1394" t="s">
        <v>902</v>
      </c>
      <c r="T1394">
        <v>40</v>
      </c>
      <c r="U1394" t="s">
        <v>79</v>
      </c>
      <c r="V1394" t="s">
        <v>66</v>
      </c>
      <c r="W1394" t="str">
        <f t="shared" ca="1" si="65"/>
        <v>At Risk</v>
      </c>
    </row>
    <row r="1395" spans="1:23" x14ac:dyDescent="0.2">
      <c r="A1395">
        <v>1875</v>
      </c>
      <c r="B1395" t="s">
        <v>5119</v>
      </c>
      <c r="C1395" t="s">
        <v>5126</v>
      </c>
      <c r="D1395" s="1" t="s">
        <v>1578</v>
      </c>
      <c r="E1395" t="s">
        <v>5121</v>
      </c>
      <c r="F1395" t="s">
        <v>1077</v>
      </c>
      <c r="G1395" s="4" t="s">
        <v>5428</v>
      </c>
      <c r="H1395" t="s">
        <v>5122</v>
      </c>
      <c r="I1395" t="s">
        <v>59</v>
      </c>
      <c r="J1395" s="4" t="s">
        <v>68</v>
      </c>
      <c r="K1395" t="s">
        <v>5127</v>
      </c>
      <c r="L1395">
        <v>4</v>
      </c>
      <c r="M1395" t="s">
        <v>1308</v>
      </c>
      <c r="N1395" t="s">
        <v>1465</v>
      </c>
      <c r="O1395" t="s">
        <v>1472</v>
      </c>
      <c r="P1395" s="2" t="str">
        <f t="shared" si="63"/>
        <v>11/09/2025 to 16/09/2025</v>
      </c>
      <c r="Q1395" s="3">
        <v>45917</v>
      </c>
      <c r="R1395" t="str">
        <f t="shared" si="64"/>
        <v>Late</v>
      </c>
      <c r="S1395" t="s">
        <v>838</v>
      </c>
      <c r="T1395">
        <v>40</v>
      </c>
      <c r="U1395" t="s">
        <v>65</v>
      </c>
      <c r="V1395" t="s">
        <v>66</v>
      </c>
      <c r="W1395" t="str">
        <f t="shared" ca="1" si="65"/>
        <v>At Risk</v>
      </c>
    </row>
    <row r="1396" spans="1:23" x14ac:dyDescent="0.2">
      <c r="A1396">
        <v>1876</v>
      </c>
      <c r="B1396" t="s">
        <v>5119</v>
      </c>
      <c r="C1396" t="s">
        <v>5128</v>
      </c>
      <c r="D1396" s="1" t="s">
        <v>1578</v>
      </c>
      <c r="E1396" t="s">
        <v>5121</v>
      </c>
      <c r="F1396" t="s">
        <v>1077</v>
      </c>
      <c r="G1396" s="4" t="s">
        <v>38</v>
      </c>
      <c r="H1396" t="s">
        <v>5122</v>
      </c>
      <c r="I1396" t="s">
        <v>59</v>
      </c>
      <c r="J1396" s="4" t="s">
        <v>74</v>
      </c>
      <c r="K1396" t="s">
        <v>16</v>
      </c>
      <c r="L1396">
        <v>1</v>
      </c>
      <c r="M1396" t="s">
        <v>1308</v>
      </c>
      <c r="N1396" t="s">
        <v>1472</v>
      </c>
      <c r="O1396" t="s">
        <v>1465</v>
      </c>
      <c r="P1396" s="2" t="str">
        <f t="shared" si="63"/>
        <v>11/09/2025 to 16/09/2025</v>
      </c>
      <c r="Q1396" s="3">
        <v>45916</v>
      </c>
      <c r="R1396" t="str">
        <f t="shared" si="64"/>
        <v>On-Time</v>
      </c>
      <c r="S1396" t="s">
        <v>647</v>
      </c>
      <c r="T1396">
        <v>11</v>
      </c>
      <c r="U1396" t="s">
        <v>79</v>
      </c>
      <c r="V1396" t="s">
        <v>66</v>
      </c>
      <c r="W1396" t="str">
        <f t="shared" ca="1" si="65"/>
        <v>At Risk</v>
      </c>
    </row>
    <row r="1397" spans="1:23" x14ac:dyDescent="0.2">
      <c r="A1397">
        <v>491</v>
      </c>
      <c r="B1397" t="s">
        <v>1793</v>
      </c>
      <c r="C1397" t="s">
        <v>1794</v>
      </c>
      <c r="D1397" s="1" t="s">
        <v>277</v>
      </c>
      <c r="E1397" t="s">
        <v>1795</v>
      </c>
      <c r="F1397" t="s">
        <v>668</v>
      </c>
      <c r="G1397" s="4" t="s">
        <v>5424</v>
      </c>
      <c r="H1397" t="s">
        <v>1796</v>
      </c>
      <c r="I1397" t="s">
        <v>201</v>
      </c>
      <c r="J1397" s="4" t="s">
        <v>74</v>
      </c>
      <c r="K1397" t="s">
        <v>28</v>
      </c>
      <c r="L1397">
        <v>1</v>
      </c>
      <c r="M1397" t="s">
        <v>277</v>
      </c>
      <c r="N1397" t="s">
        <v>277</v>
      </c>
      <c r="O1397" t="s">
        <v>277</v>
      </c>
      <c r="P1397" s="2" t="str">
        <f t="shared" si="63"/>
        <v>10/09/2025 to 15/09/2025</v>
      </c>
      <c r="Q1397" s="3">
        <v>45908</v>
      </c>
      <c r="R1397" t="str">
        <f t="shared" si="64"/>
        <v>Late</v>
      </c>
      <c r="S1397" t="s">
        <v>574</v>
      </c>
      <c r="T1397">
        <v>9</v>
      </c>
      <c r="U1397" t="s">
        <v>79</v>
      </c>
      <c r="V1397" t="s">
        <v>66</v>
      </c>
      <c r="W1397" t="str">
        <f t="shared" ca="1" si="65"/>
        <v>At Risk</v>
      </c>
    </row>
    <row r="1398" spans="1:23" x14ac:dyDescent="0.2">
      <c r="A1398">
        <v>1414</v>
      </c>
      <c r="B1398" t="s">
        <v>4056</v>
      </c>
      <c r="C1398" t="s">
        <v>4057</v>
      </c>
      <c r="D1398" s="1" t="s">
        <v>277</v>
      </c>
      <c r="E1398" t="s">
        <v>4058</v>
      </c>
      <c r="F1398" t="s">
        <v>159</v>
      </c>
      <c r="G1398" s="4" t="s">
        <v>5420</v>
      </c>
      <c r="H1398" t="s">
        <v>3315</v>
      </c>
      <c r="I1398" t="s">
        <v>201</v>
      </c>
      <c r="J1398" s="4" t="s">
        <v>74</v>
      </c>
      <c r="K1398" t="s">
        <v>4059</v>
      </c>
      <c r="L1398">
        <v>4</v>
      </c>
      <c r="M1398" t="s">
        <v>1308</v>
      </c>
      <c r="N1398" t="s">
        <v>1308</v>
      </c>
      <c r="O1398" t="s">
        <v>1308</v>
      </c>
      <c r="P1398" s="2" t="str">
        <f t="shared" si="63"/>
        <v>11/09/2025 to 16/09/2025</v>
      </c>
      <c r="Q1398" s="3">
        <v>45913</v>
      </c>
      <c r="R1398" t="str">
        <f t="shared" si="64"/>
        <v>On-Time</v>
      </c>
      <c r="S1398" t="s">
        <v>815</v>
      </c>
      <c r="T1398">
        <v>40</v>
      </c>
      <c r="U1398" t="s">
        <v>65</v>
      </c>
      <c r="V1398" t="s">
        <v>66</v>
      </c>
      <c r="W1398" t="str">
        <f t="shared" ca="1" si="65"/>
        <v>At Risk</v>
      </c>
    </row>
    <row r="1399" spans="1:23" x14ac:dyDescent="0.2">
      <c r="A1399">
        <v>1415</v>
      </c>
      <c r="B1399" t="s">
        <v>4056</v>
      </c>
      <c r="C1399" t="s">
        <v>4060</v>
      </c>
      <c r="D1399" s="1" t="s">
        <v>277</v>
      </c>
      <c r="E1399" t="s">
        <v>4058</v>
      </c>
      <c r="F1399" t="s">
        <v>159</v>
      </c>
      <c r="G1399" s="4" t="s">
        <v>5424</v>
      </c>
      <c r="H1399" t="s">
        <v>3315</v>
      </c>
      <c r="I1399" t="s">
        <v>201</v>
      </c>
      <c r="J1399" s="4" t="s">
        <v>5417</v>
      </c>
      <c r="K1399" t="s">
        <v>715</v>
      </c>
      <c r="L1399">
        <v>2</v>
      </c>
      <c r="M1399" t="s">
        <v>1465</v>
      </c>
      <c r="N1399" t="s">
        <v>1472</v>
      </c>
      <c r="O1399" t="s">
        <v>1465</v>
      </c>
      <c r="P1399" s="2" t="str">
        <f t="shared" si="63"/>
        <v>12/09/2025 to 17/09/2025</v>
      </c>
      <c r="Q1399" s="3">
        <v>45912</v>
      </c>
      <c r="R1399" t="str">
        <f t="shared" si="64"/>
        <v>On-Time</v>
      </c>
      <c r="S1399" t="s">
        <v>705</v>
      </c>
      <c r="T1399">
        <v>21.5</v>
      </c>
      <c r="U1399" t="s">
        <v>79</v>
      </c>
      <c r="V1399" t="s">
        <v>80</v>
      </c>
      <c r="W1399" t="str">
        <f t="shared" ca="1" si="65"/>
        <v>At Risk</v>
      </c>
    </row>
    <row r="1400" spans="1:23" x14ac:dyDescent="0.2">
      <c r="A1400">
        <v>1416</v>
      </c>
      <c r="B1400" t="s">
        <v>4056</v>
      </c>
      <c r="C1400" t="s">
        <v>4061</v>
      </c>
      <c r="D1400" s="1" t="s">
        <v>277</v>
      </c>
      <c r="E1400" t="s">
        <v>4058</v>
      </c>
      <c r="F1400" t="s">
        <v>159</v>
      </c>
      <c r="G1400" s="4" t="s">
        <v>5428</v>
      </c>
      <c r="H1400" t="s">
        <v>3315</v>
      </c>
      <c r="I1400" t="s">
        <v>201</v>
      </c>
      <c r="J1400" s="4" t="s">
        <v>60</v>
      </c>
      <c r="K1400" t="s">
        <v>10</v>
      </c>
      <c r="L1400">
        <v>1</v>
      </c>
      <c r="M1400" t="s">
        <v>1465</v>
      </c>
      <c r="N1400" t="s">
        <v>1465</v>
      </c>
      <c r="O1400" t="s">
        <v>1472</v>
      </c>
      <c r="P1400" s="2" t="str">
        <f t="shared" si="63"/>
        <v>12/09/2025 to 17/09/2025</v>
      </c>
      <c r="Q1400" s="3">
        <v>45912</v>
      </c>
      <c r="R1400" t="str">
        <f t="shared" si="64"/>
        <v>On-Time</v>
      </c>
      <c r="S1400" t="s">
        <v>814</v>
      </c>
      <c r="T1400">
        <v>10</v>
      </c>
      <c r="U1400" t="s">
        <v>79</v>
      </c>
      <c r="V1400" t="s">
        <v>72</v>
      </c>
      <c r="W1400" t="str">
        <f t="shared" ca="1" si="65"/>
        <v>At Risk</v>
      </c>
    </row>
    <row r="1401" spans="1:23" x14ac:dyDescent="0.2">
      <c r="A1401">
        <v>1417</v>
      </c>
      <c r="B1401" t="s">
        <v>4056</v>
      </c>
      <c r="C1401" t="s">
        <v>4062</v>
      </c>
      <c r="D1401" s="1" t="s">
        <v>277</v>
      </c>
      <c r="E1401" t="s">
        <v>4058</v>
      </c>
      <c r="F1401" t="s">
        <v>159</v>
      </c>
      <c r="G1401" s="4" t="s">
        <v>5423</v>
      </c>
      <c r="H1401" t="s">
        <v>3315</v>
      </c>
      <c r="I1401" t="s">
        <v>201</v>
      </c>
      <c r="J1401" s="4" t="s">
        <v>5417</v>
      </c>
      <c r="K1401" t="s">
        <v>4063</v>
      </c>
      <c r="L1401">
        <v>4</v>
      </c>
      <c r="M1401" t="s">
        <v>1465</v>
      </c>
      <c r="N1401" t="s">
        <v>1312</v>
      </c>
      <c r="O1401" t="s">
        <v>1312</v>
      </c>
      <c r="P1401" s="2" t="str">
        <f t="shared" si="63"/>
        <v>12/09/2025 to 17/09/2025</v>
      </c>
      <c r="Q1401" s="3">
        <v>45914</v>
      </c>
      <c r="R1401" t="str">
        <f t="shared" si="64"/>
        <v>On-Time</v>
      </c>
      <c r="S1401" t="s">
        <v>814</v>
      </c>
      <c r="T1401">
        <v>37</v>
      </c>
      <c r="U1401" t="s">
        <v>79</v>
      </c>
      <c r="V1401" t="s">
        <v>72</v>
      </c>
      <c r="W1401" t="str">
        <f t="shared" ca="1" si="65"/>
        <v>At Risk</v>
      </c>
    </row>
    <row r="1402" spans="1:23" x14ac:dyDescent="0.2">
      <c r="A1402">
        <v>1418</v>
      </c>
      <c r="B1402" t="s">
        <v>4056</v>
      </c>
      <c r="C1402" t="s">
        <v>4064</v>
      </c>
      <c r="D1402" s="1" t="s">
        <v>277</v>
      </c>
      <c r="E1402" t="s">
        <v>4058</v>
      </c>
      <c r="F1402" t="s">
        <v>159</v>
      </c>
      <c r="G1402" s="4" t="s">
        <v>5420</v>
      </c>
      <c r="H1402" t="s">
        <v>3315</v>
      </c>
      <c r="I1402" t="s">
        <v>201</v>
      </c>
      <c r="J1402" s="4" t="s">
        <v>74</v>
      </c>
      <c r="K1402" t="s">
        <v>4065</v>
      </c>
      <c r="L1402">
        <v>2</v>
      </c>
      <c r="M1402" t="s">
        <v>1465</v>
      </c>
      <c r="N1402" t="s">
        <v>1312</v>
      </c>
      <c r="O1402" t="s">
        <v>1465</v>
      </c>
      <c r="P1402" s="2" t="str">
        <f t="shared" si="63"/>
        <v>12/09/2025 to 17/09/2025</v>
      </c>
      <c r="Q1402" s="3">
        <v>45914</v>
      </c>
      <c r="R1402" t="str">
        <f t="shared" si="64"/>
        <v>On-Time</v>
      </c>
      <c r="S1402" t="s">
        <v>815</v>
      </c>
      <c r="T1402">
        <v>20</v>
      </c>
      <c r="U1402" t="s">
        <v>65</v>
      </c>
      <c r="V1402" t="s">
        <v>66</v>
      </c>
      <c r="W1402" t="str">
        <f t="shared" ca="1" si="65"/>
        <v>At Risk</v>
      </c>
    </row>
    <row r="1403" spans="1:23" x14ac:dyDescent="0.2">
      <c r="A1403">
        <v>374</v>
      </c>
      <c r="B1403" t="s">
        <v>1463</v>
      </c>
      <c r="C1403" t="s">
        <v>1464</v>
      </c>
      <c r="D1403" s="1" t="s">
        <v>1465</v>
      </c>
      <c r="E1403" t="s">
        <v>1466</v>
      </c>
      <c r="F1403" t="s">
        <v>356</v>
      </c>
      <c r="G1403" s="4" t="s">
        <v>5422</v>
      </c>
      <c r="H1403" t="s">
        <v>1467</v>
      </c>
      <c r="I1403" t="s">
        <v>93</v>
      </c>
      <c r="J1403" s="4" t="s">
        <v>74</v>
      </c>
      <c r="K1403" t="s">
        <v>1468</v>
      </c>
      <c r="L1403">
        <v>4</v>
      </c>
      <c r="M1403" t="s">
        <v>1312</v>
      </c>
      <c r="N1403" t="s">
        <v>1469</v>
      </c>
      <c r="O1403" t="s">
        <v>1469</v>
      </c>
      <c r="P1403" s="2" t="str">
        <f t="shared" si="63"/>
        <v>16/09/2025 to 19/09/2025</v>
      </c>
      <c r="Q1403" s="3">
        <v>45918</v>
      </c>
      <c r="R1403" t="str">
        <f t="shared" si="64"/>
        <v>On-Time</v>
      </c>
      <c r="S1403" t="s">
        <v>647</v>
      </c>
      <c r="T1403">
        <v>36</v>
      </c>
      <c r="U1403" t="s">
        <v>65</v>
      </c>
      <c r="V1403" t="s">
        <v>66</v>
      </c>
      <c r="W1403" t="str">
        <f t="shared" ca="1" si="65"/>
        <v>At Risk</v>
      </c>
    </row>
    <row r="1404" spans="1:23" x14ac:dyDescent="0.2">
      <c r="A1404">
        <v>375</v>
      </c>
      <c r="B1404" t="s">
        <v>1463</v>
      </c>
      <c r="C1404" t="s">
        <v>1470</v>
      </c>
      <c r="D1404" s="1" t="s">
        <v>1465</v>
      </c>
      <c r="E1404" t="s">
        <v>1466</v>
      </c>
      <c r="F1404" t="s">
        <v>356</v>
      </c>
      <c r="G1404" s="4" t="s">
        <v>5419</v>
      </c>
      <c r="H1404" t="s">
        <v>1467</v>
      </c>
      <c r="I1404" t="s">
        <v>93</v>
      </c>
      <c r="J1404" s="4" t="s">
        <v>74</v>
      </c>
      <c r="K1404" t="s">
        <v>1471</v>
      </c>
      <c r="L1404">
        <v>3</v>
      </c>
      <c r="M1404" t="s">
        <v>1465</v>
      </c>
      <c r="N1404" t="s">
        <v>1312</v>
      </c>
      <c r="O1404" t="s">
        <v>1472</v>
      </c>
      <c r="P1404" s="2" t="str">
        <f t="shared" si="63"/>
        <v>12/09/2025 to 17/09/2025</v>
      </c>
      <c r="Q1404" s="3">
        <v>45912</v>
      </c>
      <c r="R1404" t="str">
        <f t="shared" si="64"/>
        <v>On-Time</v>
      </c>
      <c r="S1404" t="s">
        <v>705</v>
      </c>
      <c r="T1404">
        <v>29.5</v>
      </c>
      <c r="U1404" t="s">
        <v>79</v>
      </c>
      <c r="V1404" t="s">
        <v>66</v>
      </c>
      <c r="W1404" t="str">
        <f t="shared" ca="1" si="65"/>
        <v>At Risk</v>
      </c>
    </row>
    <row r="1405" spans="1:23" x14ac:dyDescent="0.2">
      <c r="A1405">
        <v>1599</v>
      </c>
      <c r="B1405" t="s">
        <v>4506</v>
      </c>
      <c r="C1405" t="s">
        <v>4507</v>
      </c>
      <c r="D1405" s="1" t="s">
        <v>1465</v>
      </c>
      <c r="E1405" t="s">
        <v>4508</v>
      </c>
      <c r="F1405" t="s">
        <v>121</v>
      </c>
      <c r="G1405" s="4" t="s">
        <v>5421</v>
      </c>
      <c r="H1405" t="s">
        <v>4509</v>
      </c>
      <c r="I1405" t="s">
        <v>59</v>
      </c>
      <c r="J1405" s="4" t="s">
        <v>74</v>
      </c>
      <c r="K1405" t="s">
        <v>4510</v>
      </c>
      <c r="L1405">
        <v>4</v>
      </c>
      <c r="M1405" t="s">
        <v>1312</v>
      </c>
      <c r="N1405" t="s">
        <v>1469</v>
      </c>
      <c r="O1405" t="s">
        <v>1312</v>
      </c>
      <c r="P1405" s="2" t="str">
        <f t="shared" si="63"/>
        <v>16/09/2025 to 19/09/2025</v>
      </c>
      <c r="Q1405" s="3">
        <v>45914</v>
      </c>
      <c r="R1405" t="str">
        <f t="shared" si="64"/>
        <v>Late</v>
      </c>
      <c r="S1405" t="s">
        <v>646</v>
      </c>
      <c r="T1405">
        <v>35</v>
      </c>
      <c r="U1405" t="s">
        <v>65</v>
      </c>
      <c r="V1405" t="s">
        <v>72</v>
      </c>
      <c r="W1405" t="str">
        <f t="shared" ca="1" si="65"/>
        <v>At Risk</v>
      </c>
    </row>
    <row r="1406" spans="1:23" x14ac:dyDescent="0.2">
      <c r="A1406">
        <v>779</v>
      </c>
      <c r="B1406" t="s">
        <v>2523</v>
      </c>
      <c r="C1406" t="s">
        <v>2524</v>
      </c>
      <c r="D1406" s="1" t="s">
        <v>1472</v>
      </c>
      <c r="E1406" t="s">
        <v>2525</v>
      </c>
      <c r="F1406" t="s">
        <v>406</v>
      </c>
      <c r="G1406" s="4" t="s">
        <v>5422</v>
      </c>
      <c r="H1406" t="s">
        <v>2526</v>
      </c>
      <c r="I1406" t="s">
        <v>201</v>
      </c>
      <c r="J1406" s="4" t="s">
        <v>5417</v>
      </c>
      <c r="K1406" t="s">
        <v>2446</v>
      </c>
      <c r="L1406">
        <v>2</v>
      </c>
      <c r="M1406" t="s">
        <v>1469</v>
      </c>
      <c r="N1406" t="s">
        <v>1469</v>
      </c>
      <c r="O1406" t="s">
        <v>642</v>
      </c>
      <c r="P1406" s="2" t="str">
        <f t="shared" si="63"/>
        <v>16/09/2025 to 19/09/2025</v>
      </c>
      <c r="Q1406" s="3">
        <v>45918</v>
      </c>
      <c r="R1406" t="str">
        <f t="shared" si="64"/>
        <v>On-Time</v>
      </c>
      <c r="S1406" t="s">
        <v>650</v>
      </c>
      <c r="T1406">
        <v>16.5</v>
      </c>
      <c r="U1406" t="s">
        <v>79</v>
      </c>
      <c r="V1406" t="s">
        <v>72</v>
      </c>
      <c r="W1406" t="str">
        <f t="shared" ca="1" si="65"/>
        <v>At Risk</v>
      </c>
    </row>
    <row r="1407" spans="1:23" x14ac:dyDescent="0.2">
      <c r="A1407">
        <v>780</v>
      </c>
      <c r="B1407" t="s">
        <v>2523</v>
      </c>
      <c r="C1407" t="s">
        <v>2527</v>
      </c>
      <c r="D1407" s="1" t="s">
        <v>1472</v>
      </c>
      <c r="E1407" t="s">
        <v>2525</v>
      </c>
      <c r="F1407" t="s">
        <v>406</v>
      </c>
      <c r="G1407" s="4" t="s">
        <v>5423</v>
      </c>
      <c r="H1407" t="s">
        <v>2526</v>
      </c>
      <c r="I1407" t="s">
        <v>201</v>
      </c>
      <c r="J1407" s="4" t="s">
        <v>68</v>
      </c>
      <c r="K1407" t="s">
        <v>2528</v>
      </c>
      <c r="L1407">
        <v>2</v>
      </c>
      <c r="M1407" t="s">
        <v>1469</v>
      </c>
      <c r="N1407" t="s">
        <v>642</v>
      </c>
      <c r="O1407" t="s">
        <v>642</v>
      </c>
      <c r="P1407" s="2" t="str">
        <f t="shared" si="63"/>
        <v>16/09/2025 to 19/09/2025</v>
      </c>
      <c r="Q1407" s="3">
        <v>45916</v>
      </c>
      <c r="R1407" t="str">
        <f t="shared" si="64"/>
        <v>On-Time</v>
      </c>
      <c r="S1407" t="s">
        <v>646</v>
      </c>
      <c r="T1407">
        <v>18.5</v>
      </c>
      <c r="U1407" t="s">
        <v>65</v>
      </c>
      <c r="V1407" t="s">
        <v>80</v>
      </c>
      <c r="W1407" t="str">
        <f t="shared" ca="1" si="65"/>
        <v>At Risk</v>
      </c>
    </row>
    <row r="1408" spans="1:23" x14ac:dyDescent="0.2">
      <c r="A1408">
        <v>781</v>
      </c>
      <c r="B1408" t="s">
        <v>2523</v>
      </c>
      <c r="C1408" t="s">
        <v>2529</v>
      </c>
      <c r="D1408" s="1" t="s">
        <v>1472</v>
      </c>
      <c r="E1408" t="s">
        <v>2525</v>
      </c>
      <c r="F1408" t="s">
        <v>406</v>
      </c>
      <c r="G1408" s="4" t="s">
        <v>38</v>
      </c>
      <c r="H1408" t="s">
        <v>2526</v>
      </c>
      <c r="I1408" t="s">
        <v>201</v>
      </c>
      <c r="J1408" s="4" t="s">
        <v>74</v>
      </c>
      <c r="K1408" t="s">
        <v>2530</v>
      </c>
      <c r="L1408">
        <v>3</v>
      </c>
      <c r="M1408" t="s">
        <v>1312</v>
      </c>
      <c r="N1408" t="s">
        <v>642</v>
      </c>
      <c r="O1408" t="s">
        <v>1469</v>
      </c>
      <c r="P1408" s="2" t="str">
        <f t="shared" si="63"/>
        <v>16/09/2025 to 19/09/2025</v>
      </c>
      <c r="Q1408" s="3">
        <v>45916</v>
      </c>
      <c r="R1408" t="str">
        <f t="shared" si="64"/>
        <v>On-Time</v>
      </c>
      <c r="S1408" t="s">
        <v>647</v>
      </c>
      <c r="T1408">
        <v>27</v>
      </c>
      <c r="U1408" t="s">
        <v>65</v>
      </c>
      <c r="V1408" t="s">
        <v>72</v>
      </c>
      <c r="W1408" t="str">
        <f t="shared" ca="1" si="65"/>
        <v>At Risk</v>
      </c>
    </row>
    <row r="1409" spans="1:23" x14ac:dyDescent="0.2">
      <c r="A1409">
        <v>1711</v>
      </c>
      <c r="B1409" t="s">
        <v>4760</v>
      </c>
      <c r="C1409" t="s">
        <v>4761</v>
      </c>
      <c r="D1409" s="1" t="s">
        <v>1472</v>
      </c>
      <c r="E1409" t="s">
        <v>4762</v>
      </c>
      <c r="F1409" t="s">
        <v>159</v>
      </c>
      <c r="G1409" s="4" t="s">
        <v>5418</v>
      </c>
      <c r="H1409" t="s">
        <v>4763</v>
      </c>
      <c r="I1409" t="s">
        <v>112</v>
      </c>
      <c r="J1409" s="4" t="s">
        <v>60</v>
      </c>
      <c r="K1409" t="s">
        <v>204</v>
      </c>
      <c r="L1409">
        <v>2</v>
      </c>
      <c r="M1409" t="s">
        <v>1472</v>
      </c>
      <c r="N1409" t="s">
        <v>1312</v>
      </c>
      <c r="O1409" t="s">
        <v>1472</v>
      </c>
      <c r="P1409" s="2" t="str">
        <f t="shared" si="63"/>
        <v>15/09/2025 to 18/09/2025</v>
      </c>
      <c r="Q1409" s="3">
        <v>45911</v>
      </c>
      <c r="R1409" t="str">
        <f t="shared" si="64"/>
        <v>Late</v>
      </c>
      <c r="S1409" t="s">
        <v>705</v>
      </c>
      <c r="T1409">
        <v>20</v>
      </c>
      <c r="U1409" t="s">
        <v>65</v>
      </c>
      <c r="V1409" t="s">
        <v>66</v>
      </c>
      <c r="W1409" t="str">
        <f t="shared" ca="1" si="65"/>
        <v>At Risk</v>
      </c>
    </row>
    <row r="1410" spans="1:23" x14ac:dyDescent="0.2">
      <c r="A1410">
        <v>1839</v>
      </c>
      <c r="B1410" t="s">
        <v>5041</v>
      </c>
      <c r="C1410" t="s">
        <v>5042</v>
      </c>
      <c r="D1410" s="1" t="s">
        <v>1472</v>
      </c>
      <c r="E1410" t="s">
        <v>5043</v>
      </c>
      <c r="F1410" t="s">
        <v>110</v>
      </c>
      <c r="G1410" s="4" t="s">
        <v>5422</v>
      </c>
      <c r="H1410" t="s">
        <v>2063</v>
      </c>
      <c r="I1410" t="s">
        <v>59</v>
      </c>
      <c r="J1410" s="4" t="s">
        <v>5417</v>
      </c>
      <c r="K1410" t="s">
        <v>5044</v>
      </c>
      <c r="L1410">
        <v>3</v>
      </c>
      <c r="M1410" t="s">
        <v>1469</v>
      </c>
      <c r="N1410" t="s">
        <v>573</v>
      </c>
      <c r="O1410" t="s">
        <v>642</v>
      </c>
      <c r="P1410" s="2" t="str">
        <f t="shared" ref="P1410:P1473" si="66">IF(ISBLANK(M1410), "", TEXT(WORKDAY(M1410, 7), "dd/mm/yyyy") &amp; " to " &amp; TEXT(WORKDAY(M1410, 10), "dd/mm/yyyy"))</f>
        <v>16/09/2025 to 19/09/2025</v>
      </c>
      <c r="Q1410" s="3">
        <v>45915</v>
      </c>
      <c r="R1410" t="str">
        <f t="shared" ref="R1410:R1473" si="67">IF(Q1410="","In Progress",
IF(AND(--Q1410&gt;=DATEVALUE(LEFT(P1410,10)),
       --Q1410&lt;=DATEVALUE(TRIM(MID(P1410,FIND("to",P1410)+3,10)))),
   "On-Time","Late"))</f>
        <v>Late</v>
      </c>
      <c r="S1410" t="s">
        <v>646</v>
      </c>
      <c r="T1410">
        <v>29</v>
      </c>
      <c r="U1410" t="s">
        <v>65</v>
      </c>
      <c r="V1410" t="s">
        <v>72</v>
      </c>
      <c r="W1410" t="str">
        <f t="shared" ca="1" si="65"/>
        <v>At Risk</v>
      </c>
    </row>
    <row r="1411" spans="1:23" x14ac:dyDescent="0.2">
      <c r="A1411">
        <v>1840</v>
      </c>
      <c r="B1411" t="s">
        <v>5041</v>
      </c>
      <c r="C1411" t="s">
        <v>5045</v>
      </c>
      <c r="D1411" s="1" t="s">
        <v>1472</v>
      </c>
      <c r="E1411" t="s">
        <v>5043</v>
      </c>
      <c r="F1411" t="s">
        <v>110</v>
      </c>
      <c r="G1411" s="4" t="s">
        <v>5418</v>
      </c>
      <c r="H1411" t="s">
        <v>2063</v>
      </c>
      <c r="I1411" t="s">
        <v>59</v>
      </c>
      <c r="J1411" s="4" t="s">
        <v>60</v>
      </c>
      <c r="K1411" t="s">
        <v>24</v>
      </c>
      <c r="L1411">
        <v>1</v>
      </c>
      <c r="M1411" t="s">
        <v>1312</v>
      </c>
      <c r="N1411" t="s">
        <v>1469</v>
      </c>
      <c r="O1411" t="s">
        <v>1312</v>
      </c>
      <c r="P1411" s="2" t="str">
        <f t="shared" si="66"/>
        <v>16/09/2025 to 19/09/2025</v>
      </c>
      <c r="Q1411" s="3">
        <v>45916</v>
      </c>
      <c r="R1411" t="str">
        <f t="shared" si="67"/>
        <v>On-Time</v>
      </c>
      <c r="S1411" t="s">
        <v>646</v>
      </c>
      <c r="T1411">
        <v>8</v>
      </c>
      <c r="U1411" t="s">
        <v>65</v>
      </c>
      <c r="V1411" t="s">
        <v>66</v>
      </c>
      <c r="W1411" t="str">
        <f t="shared" ref="W1411:W1474" ca="1" si="68">IF(D1411="","",
IF(TODAY()-D1411&lt;=120,"Active",
IF(TODAY()-D1411&lt;=210,"At Risk",
IF(TODAY()-D1411&lt;=395,"Dormant",
IF(TODAY()-D1411&lt;=730,"Inactive","Archived")))))</f>
        <v>At Risk</v>
      </c>
    </row>
    <row r="1412" spans="1:23" x14ac:dyDescent="0.2">
      <c r="A1412">
        <v>1061</v>
      </c>
      <c r="B1412" t="s">
        <v>3212</v>
      </c>
      <c r="C1412" t="s">
        <v>3213</v>
      </c>
      <c r="D1412" s="1" t="s">
        <v>1312</v>
      </c>
      <c r="E1412" t="s">
        <v>3214</v>
      </c>
      <c r="F1412" t="s">
        <v>57</v>
      </c>
      <c r="G1412" s="4" t="s">
        <v>5423</v>
      </c>
      <c r="H1412" t="s">
        <v>3215</v>
      </c>
      <c r="I1412" t="s">
        <v>59</v>
      </c>
      <c r="J1412" s="4" t="s">
        <v>5417</v>
      </c>
      <c r="K1412" t="s">
        <v>2092</v>
      </c>
      <c r="L1412">
        <v>2</v>
      </c>
      <c r="M1412" t="s">
        <v>642</v>
      </c>
      <c r="N1412" t="s">
        <v>573</v>
      </c>
      <c r="O1412" t="s">
        <v>573</v>
      </c>
      <c r="P1412" s="2" t="str">
        <f t="shared" si="66"/>
        <v>16/09/2025 to 19/09/2025</v>
      </c>
      <c r="Q1412" s="3">
        <v>45917</v>
      </c>
      <c r="R1412" t="str">
        <f t="shared" si="67"/>
        <v>On-Time</v>
      </c>
      <c r="S1412" t="s">
        <v>838</v>
      </c>
      <c r="T1412">
        <v>26</v>
      </c>
      <c r="U1412" t="s">
        <v>79</v>
      </c>
      <c r="V1412" t="s">
        <v>80</v>
      </c>
      <c r="W1412" t="str">
        <f t="shared" ca="1" si="68"/>
        <v>At Risk</v>
      </c>
    </row>
    <row r="1413" spans="1:23" x14ac:dyDescent="0.2">
      <c r="A1413">
        <v>1062</v>
      </c>
      <c r="B1413" t="s">
        <v>3212</v>
      </c>
      <c r="C1413" t="s">
        <v>3216</v>
      </c>
      <c r="D1413" s="1" t="s">
        <v>1312</v>
      </c>
      <c r="E1413" t="s">
        <v>3214</v>
      </c>
      <c r="F1413" t="s">
        <v>57</v>
      </c>
      <c r="G1413" s="4" t="s">
        <v>5427</v>
      </c>
      <c r="H1413" t="s">
        <v>3215</v>
      </c>
      <c r="I1413" t="s">
        <v>59</v>
      </c>
      <c r="J1413" s="4" t="s">
        <v>68</v>
      </c>
      <c r="K1413" t="s">
        <v>3217</v>
      </c>
      <c r="L1413">
        <v>2</v>
      </c>
      <c r="M1413" t="s">
        <v>1469</v>
      </c>
      <c r="N1413" t="s">
        <v>642</v>
      </c>
      <c r="O1413" t="s">
        <v>573</v>
      </c>
      <c r="P1413" s="2" t="str">
        <f t="shared" si="66"/>
        <v>16/09/2025 to 19/09/2025</v>
      </c>
      <c r="Q1413" s="3">
        <v>45920</v>
      </c>
      <c r="R1413" t="str">
        <f t="shared" si="67"/>
        <v>Late</v>
      </c>
      <c r="S1413" t="s">
        <v>651</v>
      </c>
      <c r="T1413">
        <v>17.5</v>
      </c>
      <c r="U1413" t="s">
        <v>79</v>
      </c>
      <c r="V1413" t="s">
        <v>72</v>
      </c>
      <c r="W1413" t="str">
        <f t="shared" ca="1" si="68"/>
        <v>At Risk</v>
      </c>
    </row>
    <row r="1414" spans="1:23" x14ac:dyDescent="0.2">
      <c r="A1414">
        <v>1063</v>
      </c>
      <c r="B1414" t="s">
        <v>3212</v>
      </c>
      <c r="C1414" t="s">
        <v>3218</v>
      </c>
      <c r="D1414" s="1" t="s">
        <v>1312</v>
      </c>
      <c r="E1414" t="s">
        <v>3214</v>
      </c>
      <c r="F1414" t="s">
        <v>57</v>
      </c>
      <c r="G1414" s="4" t="s">
        <v>5422</v>
      </c>
      <c r="H1414" t="s">
        <v>3215</v>
      </c>
      <c r="I1414" t="s">
        <v>59</v>
      </c>
      <c r="J1414" s="4" t="s">
        <v>60</v>
      </c>
      <c r="K1414" t="s">
        <v>3219</v>
      </c>
      <c r="L1414">
        <v>4</v>
      </c>
      <c r="M1414" t="s">
        <v>1312</v>
      </c>
      <c r="N1414" t="s">
        <v>642</v>
      </c>
      <c r="O1414" t="s">
        <v>1469</v>
      </c>
      <c r="P1414" s="2" t="str">
        <f t="shared" si="66"/>
        <v>16/09/2025 to 19/09/2025</v>
      </c>
      <c r="Q1414" s="3">
        <v>45913</v>
      </c>
      <c r="R1414" t="str">
        <f t="shared" si="67"/>
        <v>Late</v>
      </c>
      <c r="S1414" t="s">
        <v>814</v>
      </c>
      <c r="T1414">
        <v>44.5</v>
      </c>
      <c r="U1414" t="s">
        <v>79</v>
      </c>
      <c r="V1414" t="s">
        <v>80</v>
      </c>
      <c r="W1414" t="str">
        <f t="shared" ca="1" si="68"/>
        <v>At Risk</v>
      </c>
    </row>
    <row r="1415" spans="1:23" x14ac:dyDescent="0.2">
      <c r="A1415">
        <v>1064</v>
      </c>
      <c r="B1415" t="s">
        <v>3212</v>
      </c>
      <c r="C1415" t="s">
        <v>3220</v>
      </c>
      <c r="D1415" s="1" t="s">
        <v>1312</v>
      </c>
      <c r="E1415" t="s">
        <v>3214</v>
      </c>
      <c r="F1415" t="s">
        <v>57</v>
      </c>
      <c r="G1415" s="4" t="s">
        <v>5421</v>
      </c>
      <c r="H1415" t="s">
        <v>3215</v>
      </c>
      <c r="I1415" t="s">
        <v>59</v>
      </c>
      <c r="J1415" s="4" t="s">
        <v>68</v>
      </c>
      <c r="K1415" t="s">
        <v>3221</v>
      </c>
      <c r="L1415">
        <v>4</v>
      </c>
      <c r="M1415" t="s">
        <v>1469</v>
      </c>
      <c r="N1415" t="s">
        <v>573</v>
      </c>
      <c r="O1415" t="s">
        <v>573</v>
      </c>
      <c r="P1415" s="2" t="str">
        <f t="shared" si="66"/>
        <v>16/09/2025 to 19/09/2025</v>
      </c>
      <c r="Q1415" s="3">
        <v>45919</v>
      </c>
      <c r="R1415" t="str">
        <f t="shared" si="67"/>
        <v>On-Time</v>
      </c>
      <c r="S1415" t="s">
        <v>650</v>
      </c>
      <c r="T1415">
        <v>42</v>
      </c>
      <c r="U1415" t="s">
        <v>79</v>
      </c>
      <c r="V1415" t="s">
        <v>72</v>
      </c>
      <c r="W1415" t="str">
        <f t="shared" ca="1" si="68"/>
        <v>At Risk</v>
      </c>
    </row>
    <row r="1416" spans="1:23" x14ac:dyDescent="0.2">
      <c r="A1416">
        <v>1086</v>
      </c>
      <c r="B1416" t="s">
        <v>3273</v>
      </c>
      <c r="C1416" t="s">
        <v>3274</v>
      </c>
      <c r="D1416" s="1" t="s">
        <v>1312</v>
      </c>
      <c r="E1416" t="s">
        <v>3275</v>
      </c>
      <c r="F1416" t="s">
        <v>286</v>
      </c>
      <c r="G1416" s="4" t="s">
        <v>5420</v>
      </c>
      <c r="H1416" t="s">
        <v>2366</v>
      </c>
      <c r="I1416" t="s">
        <v>112</v>
      </c>
      <c r="J1416" s="4" t="s">
        <v>68</v>
      </c>
      <c r="K1416" t="s">
        <v>223</v>
      </c>
      <c r="L1416">
        <v>2</v>
      </c>
      <c r="M1416" t="s">
        <v>1312</v>
      </c>
      <c r="N1416" t="s">
        <v>642</v>
      </c>
      <c r="O1416" t="s">
        <v>642</v>
      </c>
      <c r="P1416" s="2" t="str">
        <f t="shared" si="66"/>
        <v>16/09/2025 to 19/09/2025</v>
      </c>
      <c r="Q1416" s="3">
        <v>45920</v>
      </c>
      <c r="R1416" t="str">
        <f t="shared" si="67"/>
        <v>Late</v>
      </c>
      <c r="S1416" t="s">
        <v>653</v>
      </c>
      <c r="T1416">
        <v>20</v>
      </c>
      <c r="U1416" t="s">
        <v>65</v>
      </c>
      <c r="V1416" t="s">
        <v>72</v>
      </c>
      <c r="W1416" t="str">
        <f t="shared" ca="1" si="68"/>
        <v>At Risk</v>
      </c>
    </row>
    <row r="1417" spans="1:23" x14ac:dyDescent="0.2">
      <c r="A1417">
        <v>1087</v>
      </c>
      <c r="B1417" t="s">
        <v>3273</v>
      </c>
      <c r="C1417" t="s">
        <v>3276</v>
      </c>
      <c r="D1417" s="1" t="s">
        <v>1312</v>
      </c>
      <c r="E1417" t="s">
        <v>3275</v>
      </c>
      <c r="F1417" t="s">
        <v>286</v>
      </c>
      <c r="G1417" s="4" t="s">
        <v>5418</v>
      </c>
      <c r="H1417" t="s">
        <v>2366</v>
      </c>
      <c r="I1417" t="s">
        <v>112</v>
      </c>
      <c r="J1417" s="4" t="s">
        <v>68</v>
      </c>
      <c r="K1417" t="s">
        <v>3277</v>
      </c>
      <c r="L1417">
        <v>4</v>
      </c>
      <c r="M1417" t="s">
        <v>1312</v>
      </c>
      <c r="N1417" t="s">
        <v>642</v>
      </c>
      <c r="O1417" t="s">
        <v>1469</v>
      </c>
      <c r="P1417" s="2" t="str">
        <f t="shared" si="66"/>
        <v>16/09/2025 to 19/09/2025</v>
      </c>
      <c r="Q1417" s="3">
        <v>45919</v>
      </c>
      <c r="R1417" t="str">
        <f t="shared" si="67"/>
        <v>On-Time</v>
      </c>
      <c r="S1417" t="s">
        <v>651</v>
      </c>
      <c r="T1417">
        <v>36.5</v>
      </c>
      <c r="U1417" t="s">
        <v>79</v>
      </c>
      <c r="V1417" t="s">
        <v>72</v>
      </c>
      <c r="W1417" t="str">
        <f t="shared" ca="1" si="68"/>
        <v>At Risk</v>
      </c>
    </row>
    <row r="1418" spans="1:23" x14ac:dyDescent="0.2">
      <c r="A1418">
        <v>1088</v>
      </c>
      <c r="B1418" t="s">
        <v>3273</v>
      </c>
      <c r="C1418" t="s">
        <v>3278</v>
      </c>
      <c r="D1418" s="1" t="s">
        <v>1312</v>
      </c>
      <c r="E1418" t="s">
        <v>3275</v>
      </c>
      <c r="F1418" t="s">
        <v>286</v>
      </c>
      <c r="G1418" s="4" t="s">
        <v>38</v>
      </c>
      <c r="H1418" t="s">
        <v>2366</v>
      </c>
      <c r="I1418" t="s">
        <v>112</v>
      </c>
      <c r="J1418" s="4" t="s">
        <v>68</v>
      </c>
      <c r="K1418" t="s">
        <v>4</v>
      </c>
      <c r="L1418">
        <v>1</v>
      </c>
      <c r="M1418" t="s">
        <v>1469</v>
      </c>
      <c r="N1418" t="s">
        <v>642</v>
      </c>
      <c r="O1418" t="s">
        <v>642</v>
      </c>
      <c r="P1418" s="2" t="str">
        <f t="shared" si="66"/>
        <v>16/09/2025 to 19/09/2025</v>
      </c>
      <c r="Q1418" s="3">
        <v>45918</v>
      </c>
      <c r="R1418" t="str">
        <f t="shared" si="67"/>
        <v>On-Time</v>
      </c>
      <c r="S1418" t="s">
        <v>647</v>
      </c>
      <c r="T1418">
        <v>8</v>
      </c>
      <c r="U1418" t="s">
        <v>79</v>
      </c>
      <c r="V1418" t="s">
        <v>66</v>
      </c>
      <c r="W1418" t="str">
        <f t="shared" ca="1" si="68"/>
        <v>At Risk</v>
      </c>
    </row>
    <row r="1419" spans="1:23" x14ac:dyDescent="0.2">
      <c r="A1419">
        <v>1089</v>
      </c>
      <c r="B1419" t="s">
        <v>3273</v>
      </c>
      <c r="C1419" t="s">
        <v>3279</v>
      </c>
      <c r="D1419" s="1" t="s">
        <v>1312</v>
      </c>
      <c r="E1419" t="s">
        <v>3275</v>
      </c>
      <c r="F1419" t="s">
        <v>286</v>
      </c>
      <c r="G1419" s="4" t="s">
        <v>5420</v>
      </c>
      <c r="H1419" t="s">
        <v>2366</v>
      </c>
      <c r="I1419" t="s">
        <v>112</v>
      </c>
      <c r="J1419" s="4" t="s">
        <v>68</v>
      </c>
      <c r="K1419" t="s">
        <v>3280</v>
      </c>
      <c r="L1419">
        <v>3</v>
      </c>
      <c r="M1419" t="s">
        <v>1312</v>
      </c>
      <c r="N1419" t="s">
        <v>642</v>
      </c>
      <c r="O1419" t="s">
        <v>642</v>
      </c>
      <c r="P1419" s="2" t="str">
        <f t="shared" si="66"/>
        <v>16/09/2025 to 19/09/2025</v>
      </c>
      <c r="Q1419" s="3">
        <v>45917</v>
      </c>
      <c r="R1419" t="str">
        <f t="shared" si="67"/>
        <v>On-Time</v>
      </c>
      <c r="S1419" t="s">
        <v>647</v>
      </c>
      <c r="T1419">
        <v>28</v>
      </c>
      <c r="U1419" t="s">
        <v>65</v>
      </c>
      <c r="V1419" t="s">
        <v>72</v>
      </c>
      <c r="W1419" t="str">
        <f t="shared" ca="1" si="68"/>
        <v>At Risk</v>
      </c>
    </row>
    <row r="1420" spans="1:23" x14ac:dyDescent="0.2">
      <c r="A1420">
        <v>1090</v>
      </c>
      <c r="B1420" t="s">
        <v>3273</v>
      </c>
      <c r="C1420" t="s">
        <v>3281</v>
      </c>
      <c r="D1420" s="1" t="s">
        <v>1312</v>
      </c>
      <c r="E1420" t="s">
        <v>3275</v>
      </c>
      <c r="F1420" t="s">
        <v>286</v>
      </c>
      <c r="G1420" s="4" t="s">
        <v>5427</v>
      </c>
      <c r="H1420" t="s">
        <v>2366</v>
      </c>
      <c r="I1420" t="s">
        <v>112</v>
      </c>
      <c r="J1420" s="4" t="s">
        <v>5417</v>
      </c>
      <c r="K1420" t="s">
        <v>4</v>
      </c>
      <c r="L1420">
        <v>1</v>
      </c>
      <c r="M1420" t="s">
        <v>1312</v>
      </c>
      <c r="N1420" t="s">
        <v>1312</v>
      </c>
      <c r="O1420" t="s">
        <v>1312</v>
      </c>
      <c r="P1420" s="2" t="str">
        <f t="shared" si="66"/>
        <v>16/09/2025 to 19/09/2025</v>
      </c>
      <c r="Q1420" s="3">
        <v>45915</v>
      </c>
      <c r="R1420" t="str">
        <f t="shared" si="67"/>
        <v>Late</v>
      </c>
      <c r="S1420" t="s">
        <v>1280</v>
      </c>
      <c r="T1420">
        <v>8</v>
      </c>
      <c r="U1420" t="s">
        <v>79</v>
      </c>
      <c r="V1420" t="s">
        <v>66</v>
      </c>
      <c r="W1420" t="str">
        <f t="shared" ca="1" si="68"/>
        <v>At Risk</v>
      </c>
    </row>
    <row r="1421" spans="1:23" x14ac:dyDescent="0.2">
      <c r="A1421">
        <v>1210</v>
      </c>
      <c r="B1421" t="s">
        <v>3576</v>
      </c>
      <c r="C1421" t="s">
        <v>3577</v>
      </c>
      <c r="D1421" s="1" t="s">
        <v>1469</v>
      </c>
      <c r="E1421" t="s">
        <v>3578</v>
      </c>
      <c r="F1421" t="s">
        <v>303</v>
      </c>
      <c r="G1421" s="4" t="s">
        <v>5428</v>
      </c>
      <c r="H1421" t="s">
        <v>2975</v>
      </c>
      <c r="I1421" t="s">
        <v>136</v>
      </c>
      <c r="J1421" s="4" t="s">
        <v>5417</v>
      </c>
      <c r="K1421" t="s">
        <v>1213</v>
      </c>
      <c r="L1421">
        <v>2</v>
      </c>
      <c r="M1421" t="s">
        <v>1469</v>
      </c>
      <c r="N1421" t="s">
        <v>1469</v>
      </c>
      <c r="O1421" t="s">
        <v>573</v>
      </c>
      <c r="P1421" s="2" t="str">
        <f t="shared" si="66"/>
        <v>16/09/2025 to 19/09/2025</v>
      </c>
      <c r="Q1421" s="3">
        <v>45916</v>
      </c>
      <c r="R1421" t="str">
        <f t="shared" si="67"/>
        <v>On-Time</v>
      </c>
      <c r="S1421" t="s">
        <v>1280</v>
      </c>
      <c r="T1421">
        <v>24</v>
      </c>
      <c r="U1421" t="s">
        <v>65</v>
      </c>
      <c r="V1421" t="s">
        <v>66</v>
      </c>
      <c r="W1421" t="str">
        <f t="shared" ca="1" si="68"/>
        <v>At Risk</v>
      </c>
    </row>
    <row r="1422" spans="1:23" x14ac:dyDescent="0.2">
      <c r="A1422">
        <v>1211</v>
      </c>
      <c r="B1422" t="s">
        <v>3576</v>
      </c>
      <c r="C1422" t="s">
        <v>3579</v>
      </c>
      <c r="D1422" s="1" t="s">
        <v>1469</v>
      </c>
      <c r="E1422" t="s">
        <v>3578</v>
      </c>
      <c r="F1422" t="s">
        <v>303</v>
      </c>
      <c r="G1422" s="4" t="s">
        <v>5422</v>
      </c>
      <c r="H1422" t="s">
        <v>2975</v>
      </c>
      <c r="I1422" t="s">
        <v>136</v>
      </c>
      <c r="J1422" s="4" t="s">
        <v>60</v>
      </c>
      <c r="K1422" t="s">
        <v>2800</v>
      </c>
      <c r="L1422">
        <v>3</v>
      </c>
      <c r="M1422" t="s">
        <v>642</v>
      </c>
      <c r="N1422" t="s">
        <v>573</v>
      </c>
      <c r="O1422" t="s">
        <v>574</v>
      </c>
      <c r="P1422" s="2" t="str">
        <f t="shared" si="66"/>
        <v>16/09/2025 to 19/09/2025</v>
      </c>
      <c r="Q1422" s="3">
        <v>45921</v>
      </c>
      <c r="R1422" t="str">
        <f t="shared" si="67"/>
        <v>Late</v>
      </c>
      <c r="S1422" t="s">
        <v>651</v>
      </c>
      <c r="T1422">
        <v>28.5</v>
      </c>
      <c r="U1422" t="s">
        <v>65</v>
      </c>
      <c r="V1422" t="s">
        <v>72</v>
      </c>
      <c r="W1422" t="str">
        <f t="shared" ca="1" si="68"/>
        <v>At Risk</v>
      </c>
    </row>
    <row r="1423" spans="1:23" x14ac:dyDescent="0.2">
      <c r="A1423">
        <v>1212</v>
      </c>
      <c r="B1423" t="s">
        <v>3576</v>
      </c>
      <c r="C1423" t="s">
        <v>3580</v>
      </c>
      <c r="D1423" s="1" t="s">
        <v>1469</v>
      </c>
      <c r="E1423" t="s">
        <v>3578</v>
      </c>
      <c r="F1423" t="s">
        <v>303</v>
      </c>
      <c r="G1423" s="4" t="s">
        <v>5419</v>
      </c>
      <c r="H1423" t="s">
        <v>2975</v>
      </c>
      <c r="I1423" t="s">
        <v>136</v>
      </c>
      <c r="J1423" s="4" t="s">
        <v>68</v>
      </c>
      <c r="K1423" t="s">
        <v>2030</v>
      </c>
      <c r="L1423">
        <v>2</v>
      </c>
      <c r="M1423" t="s">
        <v>573</v>
      </c>
      <c r="N1423" t="s">
        <v>573</v>
      </c>
      <c r="O1423" t="s">
        <v>573</v>
      </c>
      <c r="P1423" s="2" t="str">
        <f t="shared" si="66"/>
        <v>17/09/2025 to 22/09/2025</v>
      </c>
      <c r="Q1423" s="3">
        <v>45920</v>
      </c>
      <c r="R1423" t="str">
        <f t="shared" si="67"/>
        <v>On-Time</v>
      </c>
      <c r="S1423" t="s">
        <v>653</v>
      </c>
      <c r="T1423">
        <v>16.5</v>
      </c>
      <c r="U1423" t="s">
        <v>65</v>
      </c>
      <c r="V1423" t="s">
        <v>72</v>
      </c>
      <c r="W1423" t="str">
        <f t="shared" ca="1" si="68"/>
        <v>At Risk</v>
      </c>
    </row>
    <row r="1424" spans="1:23" x14ac:dyDescent="0.2">
      <c r="A1424">
        <v>1213</v>
      </c>
      <c r="B1424" t="s">
        <v>3576</v>
      </c>
      <c r="C1424" t="s">
        <v>3581</v>
      </c>
      <c r="D1424" s="1" t="s">
        <v>1469</v>
      </c>
      <c r="E1424" t="s">
        <v>3578</v>
      </c>
      <c r="F1424" t="s">
        <v>303</v>
      </c>
      <c r="G1424" s="4" t="s">
        <v>5424</v>
      </c>
      <c r="H1424" t="s">
        <v>2975</v>
      </c>
      <c r="I1424" t="s">
        <v>136</v>
      </c>
      <c r="J1424" s="4" t="s">
        <v>68</v>
      </c>
      <c r="K1424" t="s">
        <v>3582</v>
      </c>
      <c r="L1424">
        <v>2</v>
      </c>
      <c r="M1424" t="s">
        <v>573</v>
      </c>
      <c r="N1424" t="s">
        <v>649</v>
      </c>
      <c r="O1424" t="s">
        <v>574</v>
      </c>
      <c r="P1424" s="2" t="str">
        <f t="shared" si="66"/>
        <v>17/09/2025 to 22/09/2025</v>
      </c>
      <c r="Q1424" s="3">
        <v>45921</v>
      </c>
      <c r="R1424" t="str">
        <f t="shared" si="67"/>
        <v>On-Time</v>
      </c>
      <c r="S1424" t="s">
        <v>651</v>
      </c>
      <c r="T1424">
        <v>18</v>
      </c>
      <c r="U1424" t="s">
        <v>65</v>
      </c>
      <c r="V1424" t="s">
        <v>66</v>
      </c>
      <c r="W1424" t="str">
        <f t="shared" ca="1" si="68"/>
        <v>At Risk</v>
      </c>
    </row>
    <row r="1425" spans="1:23" x14ac:dyDescent="0.2">
      <c r="A1425">
        <v>1214</v>
      </c>
      <c r="B1425" t="s">
        <v>3576</v>
      </c>
      <c r="C1425" t="s">
        <v>3583</v>
      </c>
      <c r="D1425" s="1" t="s">
        <v>1469</v>
      </c>
      <c r="E1425" t="s">
        <v>3578</v>
      </c>
      <c r="F1425" t="s">
        <v>303</v>
      </c>
      <c r="G1425" s="4" t="s">
        <v>5422</v>
      </c>
      <c r="H1425" t="s">
        <v>2975</v>
      </c>
      <c r="I1425" t="s">
        <v>136</v>
      </c>
      <c r="J1425" s="4" t="s">
        <v>74</v>
      </c>
      <c r="K1425" t="s">
        <v>30</v>
      </c>
      <c r="L1425">
        <v>1</v>
      </c>
      <c r="M1425" t="s">
        <v>642</v>
      </c>
      <c r="N1425" t="s">
        <v>573</v>
      </c>
      <c r="O1425" t="s">
        <v>642</v>
      </c>
      <c r="P1425" s="2" t="str">
        <f t="shared" si="66"/>
        <v>16/09/2025 to 19/09/2025</v>
      </c>
      <c r="Q1425" s="3">
        <v>45915</v>
      </c>
      <c r="R1425" t="str">
        <f t="shared" si="67"/>
        <v>Late</v>
      </c>
      <c r="S1425" t="s">
        <v>815</v>
      </c>
      <c r="T1425">
        <v>12</v>
      </c>
      <c r="U1425" t="s">
        <v>79</v>
      </c>
      <c r="V1425" t="s">
        <v>80</v>
      </c>
      <c r="W1425" t="str">
        <f t="shared" ca="1" si="68"/>
        <v>At Risk</v>
      </c>
    </row>
    <row r="1426" spans="1:23" x14ac:dyDescent="0.2">
      <c r="A1426">
        <v>1360</v>
      </c>
      <c r="B1426" t="s">
        <v>3918</v>
      </c>
      <c r="C1426" t="s">
        <v>3919</v>
      </c>
      <c r="D1426" s="1" t="s">
        <v>1469</v>
      </c>
      <c r="E1426" t="s">
        <v>3920</v>
      </c>
      <c r="F1426" t="s">
        <v>335</v>
      </c>
      <c r="G1426" s="4" t="s">
        <v>5423</v>
      </c>
      <c r="H1426" t="s">
        <v>3921</v>
      </c>
      <c r="I1426" t="s">
        <v>93</v>
      </c>
      <c r="J1426" s="4" t="s">
        <v>68</v>
      </c>
      <c r="K1426" t="s">
        <v>216</v>
      </c>
      <c r="L1426">
        <v>2</v>
      </c>
      <c r="M1426" t="s">
        <v>642</v>
      </c>
      <c r="N1426" t="s">
        <v>573</v>
      </c>
      <c r="O1426" t="s">
        <v>573</v>
      </c>
      <c r="P1426" s="2" t="str">
        <f t="shared" si="66"/>
        <v>16/09/2025 to 19/09/2025</v>
      </c>
      <c r="Q1426" s="3">
        <v>45921</v>
      </c>
      <c r="R1426" t="str">
        <f t="shared" si="67"/>
        <v>Late</v>
      </c>
      <c r="S1426" t="s">
        <v>903</v>
      </c>
      <c r="T1426">
        <v>19</v>
      </c>
      <c r="U1426" t="s">
        <v>79</v>
      </c>
      <c r="V1426" t="s">
        <v>66</v>
      </c>
      <c r="W1426" t="str">
        <f t="shared" ca="1" si="68"/>
        <v>At Risk</v>
      </c>
    </row>
    <row r="1427" spans="1:23" x14ac:dyDescent="0.2">
      <c r="A1427">
        <v>1864</v>
      </c>
      <c r="B1427" t="s">
        <v>5104</v>
      </c>
      <c r="C1427" t="s">
        <v>5105</v>
      </c>
      <c r="D1427" s="1" t="s">
        <v>1469</v>
      </c>
      <c r="E1427" t="s">
        <v>5106</v>
      </c>
      <c r="F1427" t="s">
        <v>266</v>
      </c>
      <c r="G1427" s="4" t="s">
        <v>5423</v>
      </c>
      <c r="H1427" t="s">
        <v>3077</v>
      </c>
      <c r="I1427" t="s">
        <v>112</v>
      </c>
      <c r="J1427" s="4" t="s">
        <v>5417</v>
      </c>
      <c r="K1427" t="s">
        <v>26</v>
      </c>
      <c r="L1427">
        <v>1</v>
      </c>
      <c r="M1427" t="s">
        <v>642</v>
      </c>
      <c r="N1427" t="s">
        <v>574</v>
      </c>
      <c r="O1427" t="s">
        <v>573</v>
      </c>
      <c r="P1427" s="2" t="str">
        <f t="shared" si="66"/>
        <v>16/09/2025 to 19/09/2025</v>
      </c>
      <c r="Q1427" s="3">
        <v>45916</v>
      </c>
      <c r="R1427" t="str">
        <f t="shared" si="67"/>
        <v>On-Time</v>
      </c>
      <c r="S1427" t="s">
        <v>646</v>
      </c>
      <c r="T1427">
        <v>9</v>
      </c>
      <c r="U1427" t="s">
        <v>65</v>
      </c>
      <c r="V1427" t="s">
        <v>72</v>
      </c>
      <c r="W1427" t="str">
        <f t="shared" ca="1" si="68"/>
        <v>At Risk</v>
      </c>
    </row>
    <row r="1428" spans="1:23" x14ac:dyDescent="0.2">
      <c r="A1428">
        <v>1865</v>
      </c>
      <c r="B1428" t="s">
        <v>5104</v>
      </c>
      <c r="C1428" t="s">
        <v>5107</v>
      </c>
      <c r="D1428" s="1" t="s">
        <v>1469</v>
      </c>
      <c r="E1428" t="s">
        <v>5106</v>
      </c>
      <c r="F1428" t="s">
        <v>266</v>
      </c>
      <c r="G1428" s="4" t="s">
        <v>5425</v>
      </c>
      <c r="H1428" t="s">
        <v>3077</v>
      </c>
      <c r="I1428" t="s">
        <v>112</v>
      </c>
      <c r="J1428" s="4" t="s">
        <v>74</v>
      </c>
      <c r="K1428" t="s">
        <v>5108</v>
      </c>
      <c r="L1428">
        <v>4</v>
      </c>
      <c r="M1428" t="s">
        <v>642</v>
      </c>
      <c r="N1428" t="s">
        <v>574</v>
      </c>
      <c r="O1428" t="s">
        <v>574</v>
      </c>
      <c r="P1428" s="2" t="str">
        <f t="shared" si="66"/>
        <v>16/09/2025 to 19/09/2025</v>
      </c>
      <c r="Q1428" s="3">
        <v>45920</v>
      </c>
      <c r="R1428" t="str">
        <f t="shared" si="67"/>
        <v>Late</v>
      </c>
      <c r="S1428" t="s">
        <v>651</v>
      </c>
      <c r="T1428">
        <v>38.5</v>
      </c>
      <c r="U1428" t="s">
        <v>65</v>
      </c>
      <c r="V1428" t="s">
        <v>80</v>
      </c>
      <c r="W1428" t="str">
        <f t="shared" ca="1" si="68"/>
        <v>At Risk</v>
      </c>
    </row>
    <row r="1429" spans="1:23" x14ac:dyDescent="0.2">
      <c r="A1429">
        <v>1866</v>
      </c>
      <c r="B1429" t="s">
        <v>5104</v>
      </c>
      <c r="C1429" t="s">
        <v>5109</v>
      </c>
      <c r="D1429" s="1" t="s">
        <v>1469</v>
      </c>
      <c r="E1429" t="s">
        <v>5106</v>
      </c>
      <c r="F1429" t="s">
        <v>266</v>
      </c>
      <c r="G1429" s="4" t="s">
        <v>5421</v>
      </c>
      <c r="H1429" t="s">
        <v>3077</v>
      </c>
      <c r="I1429" t="s">
        <v>112</v>
      </c>
      <c r="J1429" s="4" t="s">
        <v>68</v>
      </c>
      <c r="K1429" t="s">
        <v>5110</v>
      </c>
      <c r="L1429">
        <v>4</v>
      </c>
      <c r="M1429" t="s">
        <v>1469</v>
      </c>
      <c r="N1429" t="s">
        <v>1469</v>
      </c>
      <c r="O1429" t="s">
        <v>573</v>
      </c>
      <c r="P1429" s="2" t="str">
        <f t="shared" si="66"/>
        <v>16/09/2025 to 19/09/2025</v>
      </c>
      <c r="Q1429" s="3">
        <v>45921</v>
      </c>
      <c r="R1429" t="str">
        <f t="shared" si="67"/>
        <v>Late</v>
      </c>
      <c r="S1429" t="s">
        <v>651</v>
      </c>
      <c r="T1429">
        <v>35.5</v>
      </c>
      <c r="U1429" t="s">
        <v>65</v>
      </c>
      <c r="V1429" t="s">
        <v>80</v>
      </c>
      <c r="W1429" t="str">
        <f t="shared" ca="1" si="68"/>
        <v>At Risk</v>
      </c>
    </row>
    <row r="1430" spans="1:23" x14ac:dyDescent="0.2">
      <c r="A1430">
        <v>1867</v>
      </c>
      <c r="B1430" t="s">
        <v>5104</v>
      </c>
      <c r="C1430" t="s">
        <v>5111</v>
      </c>
      <c r="D1430" s="1" t="s">
        <v>1469</v>
      </c>
      <c r="E1430" t="s">
        <v>5106</v>
      </c>
      <c r="F1430" t="s">
        <v>266</v>
      </c>
      <c r="G1430" s="4" t="s">
        <v>5426</v>
      </c>
      <c r="H1430" t="s">
        <v>3077</v>
      </c>
      <c r="I1430" t="s">
        <v>112</v>
      </c>
      <c r="J1430" s="4" t="s">
        <v>74</v>
      </c>
      <c r="K1430" t="s">
        <v>5112</v>
      </c>
      <c r="L1430">
        <v>3</v>
      </c>
      <c r="M1430" t="s">
        <v>573</v>
      </c>
      <c r="N1430" t="s">
        <v>573</v>
      </c>
      <c r="O1430" t="s">
        <v>573</v>
      </c>
      <c r="P1430" s="2" t="str">
        <f t="shared" si="66"/>
        <v>17/09/2025 to 22/09/2025</v>
      </c>
      <c r="Q1430" s="3">
        <v>45920</v>
      </c>
      <c r="R1430" t="str">
        <f t="shared" si="67"/>
        <v>On-Time</v>
      </c>
      <c r="S1430" t="s">
        <v>651</v>
      </c>
      <c r="T1430">
        <v>25.5</v>
      </c>
      <c r="U1430" t="s">
        <v>65</v>
      </c>
      <c r="V1430" t="s">
        <v>66</v>
      </c>
      <c r="W1430" t="str">
        <f t="shared" ca="1" si="68"/>
        <v>At Risk</v>
      </c>
    </row>
    <row r="1431" spans="1:23" x14ac:dyDescent="0.2">
      <c r="A1431">
        <v>1896</v>
      </c>
      <c r="B1431" t="s">
        <v>5169</v>
      </c>
      <c r="C1431" t="s">
        <v>5170</v>
      </c>
      <c r="D1431" s="1" t="s">
        <v>1469</v>
      </c>
      <c r="E1431" t="s">
        <v>5171</v>
      </c>
      <c r="F1431" t="s">
        <v>607</v>
      </c>
      <c r="G1431" s="4" t="s">
        <v>5418</v>
      </c>
      <c r="H1431" t="s">
        <v>5172</v>
      </c>
      <c r="I1431" t="s">
        <v>112</v>
      </c>
      <c r="J1431" s="4" t="s">
        <v>60</v>
      </c>
      <c r="K1431" t="s">
        <v>8</v>
      </c>
      <c r="L1431">
        <v>1</v>
      </c>
      <c r="M1431" t="s">
        <v>573</v>
      </c>
      <c r="N1431" t="s">
        <v>649</v>
      </c>
      <c r="O1431" t="s">
        <v>574</v>
      </c>
      <c r="P1431" s="2" t="str">
        <f t="shared" si="66"/>
        <v>17/09/2025 to 22/09/2025</v>
      </c>
      <c r="Q1431" s="3">
        <v>45919</v>
      </c>
      <c r="R1431" t="str">
        <f t="shared" si="67"/>
        <v>On-Time</v>
      </c>
      <c r="S1431" t="s">
        <v>650</v>
      </c>
      <c r="T1431">
        <v>9</v>
      </c>
      <c r="U1431" t="s">
        <v>79</v>
      </c>
      <c r="V1431" t="s">
        <v>72</v>
      </c>
      <c r="W1431" t="str">
        <f t="shared" ca="1" si="68"/>
        <v>At Risk</v>
      </c>
    </row>
    <row r="1432" spans="1:23" x14ac:dyDescent="0.2">
      <c r="A1432">
        <v>1897</v>
      </c>
      <c r="B1432" t="s">
        <v>5169</v>
      </c>
      <c r="C1432" t="s">
        <v>5173</v>
      </c>
      <c r="D1432" s="1" t="s">
        <v>1469</v>
      </c>
      <c r="E1432" t="s">
        <v>5171</v>
      </c>
      <c r="F1432" t="s">
        <v>607</v>
      </c>
      <c r="G1432" s="4" t="s">
        <v>5421</v>
      </c>
      <c r="H1432" t="s">
        <v>5172</v>
      </c>
      <c r="I1432" t="s">
        <v>112</v>
      </c>
      <c r="J1432" s="4" t="s">
        <v>74</v>
      </c>
      <c r="K1432" t="s">
        <v>5174</v>
      </c>
      <c r="L1432">
        <v>3</v>
      </c>
      <c r="M1432" t="s">
        <v>1469</v>
      </c>
      <c r="N1432" t="s">
        <v>642</v>
      </c>
      <c r="O1432" t="s">
        <v>573</v>
      </c>
      <c r="P1432" s="2" t="str">
        <f t="shared" si="66"/>
        <v>16/09/2025 to 19/09/2025</v>
      </c>
      <c r="Q1432" s="3">
        <v>45915</v>
      </c>
      <c r="R1432" t="str">
        <f t="shared" si="67"/>
        <v>Late</v>
      </c>
      <c r="S1432" t="s">
        <v>646</v>
      </c>
      <c r="T1432">
        <v>23.5</v>
      </c>
      <c r="U1432" t="s">
        <v>79</v>
      </c>
      <c r="V1432" t="s">
        <v>80</v>
      </c>
      <c r="W1432" t="str">
        <f t="shared" ca="1" si="68"/>
        <v>At Risk</v>
      </c>
    </row>
    <row r="1433" spans="1:23" x14ac:dyDescent="0.2">
      <c r="A1433">
        <v>1898</v>
      </c>
      <c r="B1433" t="s">
        <v>5169</v>
      </c>
      <c r="C1433" t="s">
        <v>5175</v>
      </c>
      <c r="D1433" s="1" t="s">
        <v>1469</v>
      </c>
      <c r="E1433" t="s">
        <v>5171</v>
      </c>
      <c r="F1433" t="s">
        <v>607</v>
      </c>
      <c r="G1433" s="4" t="s">
        <v>5425</v>
      </c>
      <c r="H1433" t="s">
        <v>5172</v>
      </c>
      <c r="I1433" t="s">
        <v>112</v>
      </c>
      <c r="J1433" s="4" t="s">
        <v>5417</v>
      </c>
      <c r="K1433" t="s">
        <v>1121</v>
      </c>
      <c r="L1433">
        <v>2</v>
      </c>
      <c r="M1433" t="s">
        <v>573</v>
      </c>
      <c r="N1433" t="s">
        <v>574</v>
      </c>
      <c r="O1433" t="s">
        <v>649</v>
      </c>
      <c r="P1433" s="2" t="str">
        <f t="shared" si="66"/>
        <v>17/09/2025 to 22/09/2025</v>
      </c>
      <c r="Q1433" s="3">
        <v>45920</v>
      </c>
      <c r="R1433" t="str">
        <f t="shared" si="67"/>
        <v>On-Time</v>
      </c>
      <c r="S1433" t="s">
        <v>651</v>
      </c>
      <c r="T1433">
        <v>16.5</v>
      </c>
      <c r="U1433" t="s">
        <v>79</v>
      </c>
      <c r="V1433" t="s">
        <v>72</v>
      </c>
      <c r="W1433" t="str">
        <f t="shared" ca="1" si="68"/>
        <v>At Risk</v>
      </c>
    </row>
    <row r="1434" spans="1:23" x14ac:dyDescent="0.2">
      <c r="A1434">
        <v>1899</v>
      </c>
      <c r="B1434" t="s">
        <v>5169</v>
      </c>
      <c r="C1434" t="s">
        <v>5176</v>
      </c>
      <c r="D1434" s="1" t="s">
        <v>1469</v>
      </c>
      <c r="E1434" t="s">
        <v>5171</v>
      </c>
      <c r="F1434" t="s">
        <v>607</v>
      </c>
      <c r="G1434" s="4" t="s">
        <v>5426</v>
      </c>
      <c r="H1434" t="s">
        <v>5172</v>
      </c>
      <c r="I1434" t="s">
        <v>112</v>
      </c>
      <c r="J1434" s="4" t="s">
        <v>74</v>
      </c>
      <c r="K1434" t="s">
        <v>4552</v>
      </c>
      <c r="L1434">
        <v>3</v>
      </c>
      <c r="M1434" t="s">
        <v>1469</v>
      </c>
      <c r="N1434" t="s">
        <v>642</v>
      </c>
      <c r="O1434" t="s">
        <v>642</v>
      </c>
      <c r="P1434" s="2" t="str">
        <f t="shared" si="66"/>
        <v>16/09/2025 to 19/09/2025</v>
      </c>
      <c r="Q1434" s="3">
        <v>45916</v>
      </c>
      <c r="R1434" t="str">
        <f t="shared" si="67"/>
        <v>On-Time</v>
      </c>
      <c r="S1434" t="s">
        <v>1280</v>
      </c>
      <c r="T1434">
        <v>29</v>
      </c>
      <c r="U1434" t="s">
        <v>65</v>
      </c>
      <c r="V1434" t="s">
        <v>80</v>
      </c>
      <c r="W1434" t="str">
        <f t="shared" ca="1" si="68"/>
        <v>At Risk</v>
      </c>
    </row>
    <row r="1435" spans="1:23" x14ac:dyDescent="0.2">
      <c r="A1435">
        <v>120</v>
      </c>
      <c r="B1435" t="s">
        <v>640</v>
      </c>
      <c r="C1435" t="s">
        <v>641</v>
      </c>
      <c r="D1435" s="1" t="s">
        <v>642</v>
      </c>
      <c r="E1435" t="s">
        <v>643</v>
      </c>
      <c r="F1435" t="s">
        <v>179</v>
      </c>
      <c r="G1435" s="4" t="s">
        <v>5418</v>
      </c>
      <c r="H1435" t="s">
        <v>644</v>
      </c>
      <c r="I1435" t="s">
        <v>201</v>
      </c>
      <c r="J1435" s="4" t="s">
        <v>5417</v>
      </c>
      <c r="K1435" t="s">
        <v>645</v>
      </c>
      <c r="L1435">
        <v>4</v>
      </c>
      <c r="M1435" t="s">
        <v>642</v>
      </c>
      <c r="N1435" t="s">
        <v>574</v>
      </c>
      <c r="O1435" t="s">
        <v>642</v>
      </c>
      <c r="P1435" s="2" t="str">
        <f t="shared" si="66"/>
        <v>16/09/2025 to 19/09/2025</v>
      </c>
      <c r="Q1435" s="3">
        <v>45916</v>
      </c>
      <c r="R1435" t="str">
        <f t="shared" si="67"/>
        <v>On-Time</v>
      </c>
      <c r="S1435" t="s">
        <v>647</v>
      </c>
      <c r="T1435">
        <v>39.5</v>
      </c>
      <c r="U1435" t="s">
        <v>65</v>
      </c>
      <c r="V1435" t="s">
        <v>72</v>
      </c>
      <c r="W1435" t="str">
        <f t="shared" ca="1" si="68"/>
        <v>At Risk</v>
      </c>
    </row>
    <row r="1436" spans="1:23" x14ac:dyDescent="0.2">
      <c r="A1436">
        <v>121</v>
      </c>
      <c r="B1436" t="s">
        <v>640</v>
      </c>
      <c r="C1436" t="s">
        <v>648</v>
      </c>
      <c r="D1436" s="1" t="s">
        <v>642</v>
      </c>
      <c r="E1436" t="s">
        <v>643</v>
      </c>
      <c r="F1436" t="s">
        <v>179</v>
      </c>
      <c r="G1436" s="4" t="s">
        <v>5423</v>
      </c>
      <c r="H1436" t="s">
        <v>644</v>
      </c>
      <c r="I1436" t="s">
        <v>201</v>
      </c>
      <c r="J1436" s="4" t="s">
        <v>5417</v>
      </c>
      <c r="K1436" t="s">
        <v>16</v>
      </c>
      <c r="L1436">
        <v>1</v>
      </c>
      <c r="M1436" t="s">
        <v>574</v>
      </c>
      <c r="N1436" t="s">
        <v>649</v>
      </c>
      <c r="O1436" t="s">
        <v>574</v>
      </c>
      <c r="P1436" s="2" t="str">
        <f t="shared" si="66"/>
        <v>18/09/2025 to 23/09/2025</v>
      </c>
      <c r="Q1436" s="3">
        <v>45920</v>
      </c>
      <c r="R1436" t="str">
        <f t="shared" si="67"/>
        <v>On-Time</v>
      </c>
      <c r="S1436" t="s">
        <v>651</v>
      </c>
      <c r="T1436">
        <v>11</v>
      </c>
      <c r="U1436" t="s">
        <v>65</v>
      </c>
      <c r="V1436" t="s">
        <v>66</v>
      </c>
      <c r="W1436" t="str">
        <f t="shared" ca="1" si="68"/>
        <v>At Risk</v>
      </c>
    </row>
    <row r="1437" spans="1:23" x14ac:dyDescent="0.2">
      <c r="A1437">
        <v>122</v>
      </c>
      <c r="B1437" t="s">
        <v>640</v>
      </c>
      <c r="C1437" t="s">
        <v>652</v>
      </c>
      <c r="D1437" s="1" t="s">
        <v>642</v>
      </c>
      <c r="E1437" t="s">
        <v>643</v>
      </c>
      <c r="F1437" t="s">
        <v>179</v>
      </c>
      <c r="G1437" s="4" t="s">
        <v>5428</v>
      </c>
      <c r="H1437" t="s">
        <v>644</v>
      </c>
      <c r="I1437" t="s">
        <v>201</v>
      </c>
      <c r="J1437" s="4" t="s">
        <v>74</v>
      </c>
      <c r="K1437" t="s">
        <v>30</v>
      </c>
      <c r="L1437">
        <v>1</v>
      </c>
      <c r="M1437" t="s">
        <v>574</v>
      </c>
      <c r="N1437" t="s">
        <v>649</v>
      </c>
      <c r="O1437" t="s">
        <v>574</v>
      </c>
      <c r="P1437" s="2" t="str">
        <f t="shared" si="66"/>
        <v>18/09/2025 to 23/09/2025</v>
      </c>
      <c r="Q1437" s="3">
        <v>45922</v>
      </c>
      <c r="R1437" t="str">
        <f t="shared" si="67"/>
        <v>On-Time</v>
      </c>
      <c r="S1437" t="s">
        <v>653</v>
      </c>
      <c r="T1437">
        <v>12</v>
      </c>
      <c r="U1437" t="s">
        <v>79</v>
      </c>
      <c r="V1437" t="s">
        <v>66</v>
      </c>
      <c r="W1437" t="str">
        <f t="shared" ca="1" si="68"/>
        <v>At Risk</v>
      </c>
    </row>
    <row r="1438" spans="1:23" x14ac:dyDescent="0.2">
      <c r="A1438">
        <v>123</v>
      </c>
      <c r="B1438" t="s">
        <v>640</v>
      </c>
      <c r="C1438" t="s">
        <v>654</v>
      </c>
      <c r="D1438" s="1" t="s">
        <v>642</v>
      </c>
      <c r="E1438" t="s">
        <v>643</v>
      </c>
      <c r="F1438" t="s">
        <v>179</v>
      </c>
      <c r="G1438" s="4" t="s">
        <v>5419</v>
      </c>
      <c r="H1438" t="s">
        <v>644</v>
      </c>
      <c r="I1438" t="s">
        <v>201</v>
      </c>
      <c r="J1438" s="4" t="s">
        <v>74</v>
      </c>
      <c r="K1438" t="s">
        <v>655</v>
      </c>
      <c r="L1438">
        <v>4</v>
      </c>
      <c r="M1438" t="s">
        <v>573</v>
      </c>
      <c r="N1438" t="s">
        <v>573</v>
      </c>
      <c r="O1438" t="s">
        <v>573</v>
      </c>
      <c r="P1438" s="2" t="str">
        <f t="shared" si="66"/>
        <v>17/09/2025 to 22/09/2025</v>
      </c>
      <c r="Q1438" s="3">
        <v>45918</v>
      </c>
      <c r="R1438" t="str">
        <f t="shared" si="67"/>
        <v>On-Time</v>
      </c>
      <c r="S1438" t="s">
        <v>647</v>
      </c>
      <c r="T1438">
        <v>35.5</v>
      </c>
      <c r="U1438" t="s">
        <v>79</v>
      </c>
      <c r="V1438" t="s">
        <v>72</v>
      </c>
      <c r="W1438" t="str">
        <f t="shared" ca="1" si="68"/>
        <v>At Risk</v>
      </c>
    </row>
    <row r="1439" spans="1:23" x14ac:dyDescent="0.2">
      <c r="A1439">
        <v>1497</v>
      </c>
      <c r="B1439" t="s">
        <v>4260</v>
      </c>
      <c r="C1439" t="s">
        <v>4261</v>
      </c>
      <c r="D1439" s="1" t="s">
        <v>642</v>
      </c>
      <c r="E1439" t="s">
        <v>4262</v>
      </c>
      <c r="F1439" t="s">
        <v>1267</v>
      </c>
      <c r="G1439" s="4" t="s">
        <v>5425</v>
      </c>
      <c r="H1439" t="s">
        <v>842</v>
      </c>
      <c r="I1439" t="s">
        <v>136</v>
      </c>
      <c r="J1439" s="4" t="s">
        <v>60</v>
      </c>
      <c r="K1439" t="s">
        <v>4263</v>
      </c>
      <c r="L1439">
        <v>4</v>
      </c>
      <c r="M1439" t="s">
        <v>574</v>
      </c>
      <c r="N1439" t="s">
        <v>649</v>
      </c>
      <c r="O1439" t="s">
        <v>902</v>
      </c>
      <c r="P1439" s="2" t="str">
        <f t="shared" si="66"/>
        <v>18/09/2025 to 23/09/2025</v>
      </c>
      <c r="Q1439" s="3">
        <v>45920</v>
      </c>
      <c r="R1439" t="str">
        <f t="shared" si="67"/>
        <v>On-Time</v>
      </c>
      <c r="S1439" t="s">
        <v>653</v>
      </c>
      <c r="T1439">
        <v>35.5</v>
      </c>
      <c r="U1439" t="s">
        <v>79</v>
      </c>
      <c r="V1439" t="s">
        <v>72</v>
      </c>
      <c r="W1439" t="str">
        <f t="shared" ca="1" si="68"/>
        <v>At Risk</v>
      </c>
    </row>
    <row r="1440" spans="1:23" x14ac:dyDescent="0.2">
      <c r="A1440">
        <v>304</v>
      </c>
      <c r="B1440" t="s">
        <v>1270</v>
      </c>
      <c r="C1440" t="s">
        <v>1271</v>
      </c>
      <c r="D1440" s="1" t="s">
        <v>573</v>
      </c>
      <c r="E1440" t="s">
        <v>1272</v>
      </c>
      <c r="F1440" t="s">
        <v>1154</v>
      </c>
      <c r="G1440" s="4" t="s">
        <v>5427</v>
      </c>
      <c r="H1440" t="s">
        <v>769</v>
      </c>
      <c r="I1440" t="s">
        <v>93</v>
      </c>
      <c r="J1440" s="4" t="s">
        <v>68</v>
      </c>
      <c r="K1440" t="s">
        <v>1273</v>
      </c>
      <c r="L1440">
        <v>4</v>
      </c>
      <c r="M1440" t="s">
        <v>573</v>
      </c>
      <c r="N1440" t="s">
        <v>649</v>
      </c>
      <c r="O1440" t="s">
        <v>574</v>
      </c>
      <c r="P1440" s="2" t="str">
        <f t="shared" si="66"/>
        <v>17/09/2025 to 22/09/2025</v>
      </c>
      <c r="Q1440" s="3">
        <v>45918</v>
      </c>
      <c r="R1440" t="str">
        <f t="shared" si="67"/>
        <v>On-Time</v>
      </c>
      <c r="S1440" t="s">
        <v>650</v>
      </c>
      <c r="T1440">
        <v>38.5</v>
      </c>
      <c r="U1440" t="s">
        <v>79</v>
      </c>
      <c r="V1440" t="s">
        <v>80</v>
      </c>
      <c r="W1440" t="str">
        <f t="shared" ca="1" si="68"/>
        <v>At Risk</v>
      </c>
    </row>
    <row r="1441" spans="1:23" x14ac:dyDescent="0.2">
      <c r="A1441">
        <v>305</v>
      </c>
      <c r="B1441" t="s">
        <v>1270</v>
      </c>
      <c r="C1441" t="s">
        <v>1274</v>
      </c>
      <c r="D1441" s="1" t="s">
        <v>573</v>
      </c>
      <c r="E1441" t="s">
        <v>1272</v>
      </c>
      <c r="F1441" t="s">
        <v>1154</v>
      </c>
      <c r="G1441" s="4" t="s">
        <v>5428</v>
      </c>
      <c r="H1441" t="s">
        <v>769</v>
      </c>
      <c r="I1441" t="s">
        <v>93</v>
      </c>
      <c r="J1441" s="4" t="s">
        <v>60</v>
      </c>
      <c r="K1441" t="s">
        <v>1275</v>
      </c>
      <c r="L1441">
        <v>3</v>
      </c>
      <c r="M1441" t="s">
        <v>573</v>
      </c>
      <c r="N1441" t="s">
        <v>573</v>
      </c>
      <c r="O1441" t="s">
        <v>574</v>
      </c>
      <c r="P1441" s="2" t="str">
        <f t="shared" si="66"/>
        <v>17/09/2025 to 22/09/2025</v>
      </c>
      <c r="Q1441" s="3">
        <v>45916</v>
      </c>
      <c r="R1441" t="str">
        <f t="shared" si="67"/>
        <v>Late</v>
      </c>
      <c r="S1441" t="s">
        <v>647</v>
      </c>
      <c r="T1441">
        <v>27</v>
      </c>
      <c r="U1441" t="s">
        <v>65</v>
      </c>
      <c r="V1441" t="s">
        <v>80</v>
      </c>
      <c r="W1441" t="str">
        <f t="shared" ca="1" si="68"/>
        <v>At Risk</v>
      </c>
    </row>
    <row r="1442" spans="1:23" x14ac:dyDescent="0.2">
      <c r="A1442">
        <v>306</v>
      </c>
      <c r="B1442" t="s">
        <v>1270</v>
      </c>
      <c r="C1442" t="s">
        <v>1276</v>
      </c>
      <c r="D1442" s="1" t="s">
        <v>573</v>
      </c>
      <c r="E1442" t="s">
        <v>1272</v>
      </c>
      <c r="F1442" t="s">
        <v>1154</v>
      </c>
      <c r="G1442" s="4" t="s">
        <v>5418</v>
      </c>
      <c r="H1442" t="s">
        <v>769</v>
      </c>
      <c r="I1442" t="s">
        <v>93</v>
      </c>
      <c r="J1442" s="4" t="s">
        <v>74</v>
      </c>
      <c r="K1442" t="s">
        <v>1277</v>
      </c>
      <c r="L1442">
        <v>2</v>
      </c>
      <c r="M1442" t="s">
        <v>573</v>
      </c>
      <c r="N1442" t="s">
        <v>649</v>
      </c>
      <c r="O1442" t="s">
        <v>574</v>
      </c>
      <c r="P1442" s="2" t="str">
        <f t="shared" si="66"/>
        <v>17/09/2025 to 22/09/2025</v>
      </c>
      <c r="Q1442" s="3">
        <v>45918</v>
      </c>
      <c r="R1442" t="str">
        <f t="shared" si="67"/>
        <v>On-Time</v>
      </c>
      <c r="S1442" t="s">
        <v>647</v>
      </c>
      <c r="T1442">
        <v>19</v>
      </c>
      <c r="U1442" t="s">
        <v>65</v>
      </c>
      <c r="V1442" t="s">
        <v>80</v>
      </c>
      <c r="W1442" t="str">
        <f t="shared" ca="1" si="68"/>
        <v>At Risk</v>
      </c>
    </row>
    <row r="1443" spans="1:23" x14ac:dyDescent="0.2">
      <c r="A1443">
        <v>307</v>
      </c>
      <c r="B1443" t="s">
        <v>1270</v>
      </c>
      <c r="C1443" t="s">
        <v>1278</v>
      </c>
      <c r="D1443" s="1" t="s">
        <v>573</v>
      </c>
      <c r="E1443" t="s">
        <v>1272</v>
      </c>
      <c r="F1443" t="s">
        <v>1154</v>
      </c>
      <c r="G1443" s="4" t="s">
        <v>5422</v>
      </c>
      <c r="H1443" t="s">
        <v>769</v>
      </c>
      <c r="I1443" t="s">
        <v>93</v>
      </c>
      <c r="J1443" s="4" t="s">
        <v>74</v>
      </c>
      <c r="K1443" t="s">
        <v>382</v>
      </c>
      <c r="L1443">
        <v>2</v>
      </c>
      <c r="M1443" t="s">
        <v>574</v>
      </c>
      <c r="N1443" t="s">
        <v>574</v>
      </c>
      <c r="O1443" t="s">
        <v>649</v>
      </c>
      <c r="P1443" s="2" t="str">
        <f t="shared" si="66"/>
        <v>18/09/2025 to 23/09/2025</v>
      </c>
      <c r="Q1443" s="3">
        <v>45919</v>
      </c>
      <c r="R1443" t="str">
        <f t="shared" si="67"/>
        <v>On-Time</v>
      </c>
      <c r="S1443" t="s">
        <v>651</v>
      </c>
      <c r="T1443">
        <v>19</v>
      </c>
      <c r="U1443" t="s">
        <v>65</v>
      </c>
      <c r="V1443" t="s">
        <v>80</v>
      </c>
      <c r="W1443" t="str">
        <f t="shared" ca="1" si="68"/>
        <v>At Risk</v>
      </c>
    </row>
    <row r="1444" spans="1:23" x14ac:dyDescent="0.2">
      <c r="A1444">
        <v>308</v>
      </c>
      <c r="B1444" t="s">
        <v>1270</v>
      </c>
      <c r="C1444" t="s">
        <v>1279</v>
      </c>
      <c r="D1444" s="1" t="s">
        <v>573</v>
      </c>
      <c r="E1444" t="s">
        <v>1272</v>
      </c>
      <c r="F1444" t="s">
        <v>1154</v>
      </c>
      <c r="G1444" s="4" t="s">
        <v>5423</v>
      </c>
      <c r="H1444" t="s">
        <v>769</v>
      </c>
      <c r="I1444" t="s">
        <v>93</v>
      </c>
      <c r="J1444" s="4" t="s">
        <v>74</v>
      </c>
      <c r="K1444" t="s">
        <v>32</v>
      </c>
      <c r="L1444">
        <v>1</v>
      </c>
      <c r="M1444" t="s">
        <v>573</v>
      </c>
      <c r="N1444" t="s">
        <v>573</v>
      </c>
      <c r="O1444" t="s">
        <v>574</v>
      </c>
      <c r="P1444" s="2" t="str">
        <f t="shared" si="66"/>
        <v>17/09/2025 to 22/09/2025</v>
      </c>
      <c r="Q1444" s="3">
        <v>45917</v>
      </c>
      <c r="R1444" t="str">
        <f t="shared" si="67"/>
        <v>On-Time</v>
      </c>
      <c r="S1444" t="s">
        <v>838</v>
      </c>
      <c r="T1444">
        <v>14</v>
      </c>
      <c r="U1444" t="s">
        <v>65</v>
      </c>
      <c r="V1444" t="s">
        <v>66</v>
      </c>
      <c r="W1444" t="str">
        <f t="shared" ca="1" si="68"/>
        <v>At Risk</v>
      </c>
    </row>
    <row r="1445" spans="1:23" x14ac:dyDescent="0.2">
      <c r="A1445">
        <v>379</v>
      </c>
      <c r="B1445" t="s">
        <v>1480</v>
      </c>
      <c r="C1445" t="s">
        <v>1481</v>
      </c>
      <c r="D1445" s="1" t="s">
        <v>573</v>
      </c>
      <c r="E1445" t="s">
        <v>1482</v>
      </c>
      <c r="F1445" t="s">
        <v>121</v>
      </c>
      <c r="G1445" s="4" t="s">
        <v>5428</v>
      </c>
      <c r="H1445" t="s">
        <v>1483</v>
      </c>
      <c r="I1445" t="s">
        <v>136</v>
      </c>
      <c r="J1445" s="4" t="s">
        <v>60</v>
      </c>
      <c r="K1445" t="s">
        <v>1484</v>
      </c>
      <c r="L1445">
        <v>4</v>
      </c>
      <c r="M1445" t="s">
        <v>649</v>
      </c>
      <c r="N1445" t="s">
        <v>649</v>
      </c>
      <c r="O1445" t="s">
        <v>704</v>
      </c>
      <c r="P1445" s="2" t="str">
        <f t="shared" si="66"/>
        <v>19/09/2025 to 24/09/2025</v>
      </c>
      <c r="Q1445" s="3">
        <v>45919</v>
      </c>
      <c r="R1445" t="str">
        <f t="shared" si="67"/>
        <v>On-Time</v>
      </c>
      <c r="S1445" t="s">
        <v>838</v>
      </c>
      <c r="T1445">
        <v>35.5</v>
      </c>
      <c r="U1445" t="s">
        <v>65</v>
      </c>
      <c r="V1445" t="s">
        <v>72</v>
      </c>
      <c r="W1445" t="str">
        <f t="shared" ca="1" si="68"/>
        <v>At Risk</v>
      </c>
    </row>
    <row r="1446" spans="1:23" x14ac:dyDescent="0.2">
      <c r="A1446">
        <v>380</v>
      </c>
      <c r="B1446" t="s">
        <v>1480</v>
      </c>
      <c r="C1446" t="s">
        <v>1485</v>
      </c>
      <c r="D1446" s="1" t="s">
        <v>573</v>
      </c>
      <c r="E1446" t="s">
        <v>1482</v>
      </c>
      <c r="F1446" t="s">
        <v>121</v>
      </c>
      <c r="G1446" s="4" t="s">
        <v>5422</v>
      </c>
      <c r="H1446" t="s">
        <v>1483</v>
      </c>
      <c r="I1446" t="s">
        <v>136</v>
      </c>
      <c r="J1446" s="4" t="s">
        <v>74</v>
      </c>
      <c r="K1446" t="s">
        <v>1486</v>
      </c>
      <c r="L1446">
        <v>3</v>
      </c>
      <c r="M1446" t="s">
        <v>649</v>
      </c>
      <c r="N1446" t="s">
        <v>902</v>
      </c>
      <c r="O1446" t="s">
        <v>902</v>
      </c>
      <c r="P1446" s="2" t="str">
        <f t="shared" si="66"/>
        <v>19/09/2025 to 24/09/2025</v>
      </c>
      <c r="Q1446" s="3">
        <v>45918</v>
      </c>
      <c r="R1446" t="str">
        <f t="shared" si="67"/>
        <v>Late</v>
      </c>
      <c r="S1446" t="s">
        <v>838</v>
      </c>
      <c r="T1446">
        <v>28.5</v>
      </c>
      <c r="U1446" t="s">
        <v>65</v>
      </c>
      <c r="V1446" t="s">
        <v>72</v>
      </c>
      <c r="W1446" t="str">
        <f t="shared" ca="1" si="68"/>
        <v>At Risk</v>
      </c>
    </row>
    <row r="1447" spans="1:23" x14ac:dyDescent="0.2">
      <c r="A1447">
        <v>381</v>
      </c>
      <c r="B1447" t="s">
        <v>1480</v>
      </c>
      <c r="C1447" t="s">
        <v>1487</v>
      </c>
      <c r="D1447" s="1" t="s">
        <v>573</v>
      </c>
      <c r="E1447" t="s">
        <v>1482</v>
      </c>
      <c r="F1447" t="s">
        <v>121</v>
      </c>
      <c r="G1447" s="4" t="s">
        <v>5420</v>
      </c>
      <c r="H1447" t="s">
        <v>1483</v>
      </c>
      <c r="I1447" t="s">
        <v>136</v>
      </c>
      <c r="J1447" s="4" t="s">
        <v>5417</v>
      </c>
      <c r="K1447" t="s">
        <v>1488</v>
      </c>
      <c r="L1447">
        <v>4</v>
      </c>
      <c r="M1447" t="s">
        <v>649</v>
      </c>
      <c r="N1447" t="s">
        <v>649</v>
      </c>
      <c r="O1447" t="s">
        <v>649</v>
      </c>
      <c r="P1447" s="2" t="str">
        <f t="shared" si="66"/>
        <v>19/09/2025 to 24/09/2025</v>
      </c>
      <c r="Q1447" s="3">
        <v>45921</v>
      </c>
      <c r="R1447" t="str">
        <f t="shared" si="67"/>
        <v>On-Time</v>
      </c>
      <c r="S1447" t="s">
        <v>903</v>
      </c>
      <c r="T1447">
        <v>35.5</v>
      </c>
      <c r="U1447" t="s">
        <v>65</v>
      </c>
      <c r="V1447" t="s">
        <v>66</v>
      </c>
      <c r="W1447" t="str">
        <f t="shared" ca="1" si="68"/>
        <v>At Risk</v>
      </c>
    </row>
    <row r="1448" spans="1:23" x14ac:dyDescent="0.2">
      <c r="A1448">
        <v>382</v>
      </c>
      <c r="B1448" t="s">
        <v>1480</v>
      </c>
      <c r="C1448" t="s">
        <v>1489</v>
      </c>
      <c r="D1448" s="1" t="s">
        <v>573</v>
      </c>
      <c r="E1448" t="s">
        <v>1482</v>
      </c>
      <c r="F1448" t="s">
        <v>121</v>
      </c>
      <c r="G1448" s="4" t="s">
        <v>5420</v>
      </c>
      <c r="H1448" t="s">
        <v>1483</v>
      </c>
      <c r="I1448" t="s">
        <v>136</v>
      </c>
      <c r="J1448" s="4" t="s">
        <v>74</v>
      </c>
      <c r="K1448" t="s">
        <v>1490</v>
      </c>
      <c r="L1448">
        <v>4</v>
      </c>
      <c r="M1448" t="s">
        <v>574</v>
      </c>
      <c r="N1448" t="s">
        <v>574</v>
      </c>
      <c r="O1448" t="s">
        <v>902</v>
      </c>
      <c r="P1448" s="2" t="str">
        <f t="shared" si="66"/>
        <v>18/09/2025 to 23/09/2025</v>
      </c>
      <c r="Q1448" s="3">
        <v>45921</v>
      </c>
      <c r="R1448" t="str">
        <f t="shared" si="67"/>
        <v>On-Time</v>
      </c>
      <c r="S1448" t="s">
        <v>653</v>
      </c>
      <c r="T1448">
        <v>36</v>
      </c>
      <c r="U1448" t="s">
        <v>79</v>
      </c>
      <c r="V1448" t="s">
        <v>80</v>
      </c>
      <c r="W1448" t="str">
        <f t="shared" ca="1" si="68"/>
        <v>At Risk</v>
      </c>
    </row>
    <row r="1449" spans="1:23" x14ac:dyDescent="0.2">
      <c r="A1449">
        <v>189</v>
      </c>
      <c r="B1449" t="s">
        <v>897</v>
      </c>
      <c r="C1449" t="s">
        <v>898</v>
      </c>
      <c r="D1449" s="1" t="s">
        <v>574</v>
      </c>
      <c r="E1449" t="s">
        <v>899</v>
      </c>
      <c r="F1449" t="s">
        <v>335</v>
      </c>
      <c r="G1449" s="4" t="s">
        <v>5423</v>
      </c>
      <c r="H1449" t="s">
        <v>900</v>
      </c>
      <c r="I1449" t="s">
        <v>59</v>
      </c>
      <c r="J1449" s="4" t="s">
        <v>60</v>
      </c>
      <c r="K1449" t="s">
        <v>901</v>
      </c>
      <c r="L1449">
        <v>3</v>
      </c>
      <c r="M1449" t="s">
        <v>649</v>
      </c>
      <c r="N1449" t="s">
        <v>704</v>
      </c>
      <c r="O1449" t="s">
        <v>902</v>
      </c>
      <c r="P1449" s="2" t="str">
        <f t="shared" si="66"/>
        <v>19/09/2025 to 24/09/2025</v>
      </c>
      <c r="Q1449" s="3">
        <v>45923</v>
      </c>
      <c r="R1449" t="str">
        <f t="shared" si="67"/>
        <v>On-Time</v>
      </c>
      <c r="S1449" t="s">
        <v>903</v>
      </c>
      <c r="T1449">
        <v>28.5</v>
      </c>
      <c r="U1449" t="s">
        <v>79</v>
      </c>
      <c r="V1449" t="s">
        <v>72</v>
      </c>
      <c r="W1449" t="str">
        <f t="shared" ca="1" si="68"/>
        <v>At Risk</v>
      </c>
    </row>
    <row r="1450" spans="1:23" x14ac:dyDescent="0.2">
      <c r="A1450">
        <v>190</v>
      </c>
      <c r="B1450" t="s">
        <v>897</v>
      </c>
      <c r="C1450" t="s">
        <v>904</v>
      </c>
      <c r="D1450" s="1" t="s">
        <v>574</v>
      </c>
      <c r="E1450" t="s">
        <v>899</v>
      </c>
      <c r="F1450" t="s">
        <v>335</v>
      </c>
      <c r="G1450" s="4" t="s">
        <v>38</v>
      </c>
      <c r="H1450" t="s">
        <v>900</v>
      </c>
      <c r="I1450" t="s">
        <v>59</v>
      </c>
      <c r="J1450" s="4" t="s">
        <v>5417</v>
      </c>
      <c r="K1450" t="s">
        <v>94</v>
      </c>
      <c r="L1450">
        <v>2</v>
      </c>
      <c r="M1450" t="s">
        <v>649</v>
      </c>
      <c r="N1450" t="s">
        <v>902</v>
      </c>
      <c r="O1450" t="s">
        <v>902</v>
      </c>
      <c r="P1450" s="2" t="str">
        <f t="shared" si="66"/>
        <v>19/09/2025 to 24/09/2025</v>
      </c>
      <c r="Q1450" s="3">
        <v>45922</v>
      </c>
      <c r="R1450" t="str">
        <f t="shared" si="67"/>
        <v>On-Time</v>
      </c>
      <c r="S1450" t="s">
        <v>653</v>
      </c>
      <c r="T1450">
        <v>20</v>
      </c>
      <c r="U1450" t="s">
        <v>79</v>
      </c>
      <c r="V1450" t="s">
        <v>80</v>
      </c>
      <c r="W1450" t="str">
        <f t="shared" ca="1" si="68"/>
        <v>At Risk</v>
      </c>
    </row>
    <row r="1451" spans="1:23" x14ac:dyDescent="0.2">
      <c r="A1451">
        <v>191</v>
      </c>
      <c r="B1451" t="s">
        <v>897</v>
      </c>
      <c r="C1451" t="s">
        <v>905</v>
      </c>
      <c r="D1451" s="1" t="s">
        <v>574</v>
      </c>
      <c r="E1451" t="s">
        <v>899</v>
      </c>
      <c r="F1451" t="s">
        <v>335</v>
      </c>
      <c r="G1451" s="4" t="s">
        <v>38</v>
      </c>
      <c r="H1451" t="s">
        <v>900</v>
      </c>
      <c r="I1451" t="s">
        <v>59</v>
      </c>
      <c r="J1451" s="4" t="s">
        <v>60</v>
      </c>
      <c r="K1451" t="s">
        <v>906</v>
      </c>
      <c r="L1451">
        <v>4</v>
      </c>
      <c r="M1451" t="s">
        <v>902</v>
      </c>
      <c r="N1451" t="s">
        <v>704</v>
      </c>
      <c r="O1451" t="s">
        <v>705</v>
      </c>
      <c r="P1451" s="2" t="str">
        <f t="shared" si="66"/>
        <v>22/09/2025 to 25/09/2025</v>
      </c>
      <c r="Q1451" s="3">
        <v>45926</v>
      </c>
      <c r="R1451" t="str">
        <f t="shared" si="67"/>
        <v>Late</v>
      </c>
      <c r="S1451" t="s">
        <v>539</v>
      </c>
      <c r="T1451">
        <v>38</v>
      </c>
      <c r="U1451" t="s">
        <v>65</v>
      </c>
      <c r="V1451" t="s">
        <v>72</v>
      </c>
      <c r="W1451" t="str">
        <f t="shared" ca="1" si="68"/>
        <v>At Risk</v>
      </c>
    </row>
    <row r="1452" spans="1:23" x14ac:dyDescent="0.2">
      <c r="A1452">
        <v>277</v>
      </c>
      <c r="B1452" t="s">
        <v>1191</v>
      </c>
      <c r="C1452" t="s">
        <v>1192</v>
      </c>
      <c r="D1452" s="1" t="s">
        <v>902</v>
      </c>
      <c r="E1452" t="s">
        <v>1193</v>
      </c>
      <c r="F1452" t="s">
        <v>406</v>
      </c>
      <c r="G1452" s="4" t="s">
        <v>5424</v>
      </c>
      <c r="H1452" t="s">
        <v>1194</v>
      </c>
      <c r="I1452" t="s">
        <v>59</v>
      </c>
      <c r="J1452" s="4" t="s">
        <v>60</v>
      </c>
      <c r="K1452" t="s">
        <v>18</v>
      </c>
      <c r="L1452">
        <v>1</v>
      </c>
      <c r="M1452" t="s">
        <v>902</v>
      </c>
      <c r="N1452" t="s">
        <v>902</v>
      </c>
      <c r="O1452" t="s">
        <v>902</v>
      </c>
      <c r="P1452" s="2" t="str">
        <f t="shared" si="66"/>
        <v>22/09/2025 to 25/09/2025</v>
      </c>
      <c r="Q1452" s="3">
        <v>45919</v>
      </c>
      <c r="R1452" t="str">
        <f t="shared" si="67"/>
        <v>Late</v>
      </c>
      <c r="S1452" t="s">
        <v>651</v>
      </c>
      <c r="T1452">
        <v>8.5</v>
      </c>
      <c r="U1452" t="s">
        <v>79</v>
      </c>
      <c r="V1452" t="s">
        <v>72</v>
      </c>
      <c r="W1452" t="str">
        <f t="shared" ca="1" si="68"/>
        <v>At Risk</v>
      </c>
    </row>
    <row r="1453" spans="1:23" x14ac:dyDescent="0.2">
      <c r="A1453">
        <v>162</v>
      </c>
      <c r="B1453" t="s">
        <v>810</v>
      </c>
      <c r="C1453" t="s">
        <v>811</v>
      </c>
      <c r="D1453" s="1" t="s">
        <v>704</v>
      </c>
      <c r="E1453" t="s">
        <v>812</v>
      </c>
      <c r="F1453" t="s">
        <v>371</v>
      </c>
      <c r="G1453" s="4" t="s">
        <v>5422</v>
      </c>
      <c r="H1453" t="s">
        <v>813</v>
      </c>
      <c r="I1453" t="s">
        <v>59</v>
      </c>
      <c r="J1453" s="4" t="s">
        <v>5417</v>
      </c>
      <c r="K1453" t="s">
        <v>10</v>
      </c>
      <c r="L1453">
        <v>1</v>
      </c>
      <c r="M1453" t="s">
        <v>705</v>
      </c>
      <c r="N1453" t="s">
        <v>814</v>
      </c>
      <c r="O1453" t="s">
        <v>815</v>
      </c>
      <c r="P1453" s="2" t="str">
        <f t="shared" si="66"/>
        <v>23/09/2025 to 26/09/2025</v>
      </c>
      <c r="Q1453" s="3">
        <v>45926</v>
      </c>
      <c r="R1453" t="str">
        <f t="shared" si="67"/>
        <v>On-Time</v>
      </c>
      <c r="S1453" t="s">
        <v>541</v>
      </c>
      <c r="T1453">
        <v>10</v>
      </c>
      <c r="U1453" t="s">
        <v>65</v>
      </c>
      <c r="V1453" t="s">
        <v>66</v>
      </c>
      <c r="W1453" t="str">
        <f t="shared" ca="1" si="68"/>
        <v>At Risk</v>
      </c>
    </row>
    <row r="1454" spans="1:23" x14ac:dyDescent="0.2">
      <c r="A1454">
        <v>454</v>
      </c>
      <c r="B1454" t="s">
        <v>1689</v>
      </c>
      <c r="C1454" t="s">
        <v>1690</v>
      </c>
      <c r="D1454" s="1" t="s">
        <v>704</v>
      </c>
      <c r="E1454" t="s">
        <v>1691</v>
      </c>
      <c r="F1454" t="s">
        <v>303</v>
      </c>
      <c r="G1454" s="4" t="s">
        <v>5426</v>
      </c>
      <c r="H1454" t="s">
        <v>1692</v>
      </c>
      <c r="I1454" t="s">
        <v>93</v>
      </c>
      <c r="J1454" s="4" t="s">
        <v>5417</v>
      </c>
      <c r="K1454" t="s">
        <v>18</v>
      </c>
      <c r="L1454">
        <v>1</v>
      </c>
      <c r="M1454" t="s">
        <v>705</v>
      </c>
      <c r="N1454" t="s">
        <v>815</v>
      </c>
      <c r="O1454" t="s">
        <v>815</v>
      </c>
      <c r="P1454" s="2" t="str">
        <f t="shared" si="66"/>
        <v>23/09/2025 to 26/09/2025</v>
      </c>
      <c r="Q1454" s="3">
        <v>45928</v>
      </c>
      <c r="R1454" t="str">
        <f t="shared" si="67"/>
        <v>Late</v>
      </c>
      <c r="S1454" t="s">
        <v>831</v>
      </c>
      <c r="T1454">
        <v>8.5</v>
      </c>
      <c r="U1454" t="s">
        <v>65</v>
      </c>
      <c r="V1454" t="s">
        <v>72</v>
      </c>
      <c r="W1454" t="str">
        <f t="shared" ca="1" si="68"/>
        <v>At Risk</v>
      </c>
    </row>
    <row r="1455" spans="1:23" x14ac:dyDescent="0.2">
      <c r="A1455">
        <v>455</v>
      </c>
      <c r="B1455" t="s">
        <v>1689</v>
      </c>
      <c r="C1455" t="s">
        <v>1693</v>
      </c>
      <c r="D1455" s="1" t="s">
        <v>704</v>
      </c>
      <c r="E1455" t="s">
        <v>1691</v>
      </c>
      <c r="F1455" t="s">
        <v>303</v>
      </c>
      <c r="G1455" s="4" t="s">
        <v>5428</v>
      </c>
      <c r="H1455" t="s">
        <v>1692</v>
      </c>
      <c r="I1455" t="s">
        <v>93</v>
      </c>
      <c r="J1455" s="4" t="s">
        <v>68</v>
      </c>
      <c r="K1455" t="s">
        <v>1694</v>
      </c>
      <c r="L1455">
        <v>4</v>
      </c>
      <c r="M1455" t="s">
        <v>704</v>
      </c>
      <c r="N1455" t="s">
        <v>705</v>
      </c>
      <c r="O1455" t="s">
        <v>705</v>
      </c>
      <c r="P1455" s="2" t="str">
        <f t="shared" si="66"/>
        <v>23/09/2025 to 26/09/2025</v>
      </c>
      <c r="Q1455" s="3">
        <v>45920</v>
      </c>
      <c r="R1455" t="str">
        <f t="shared" si="67"/>
        <v>Late</v>
      </c>
      <c r="S1455" t="s">
        <v>651</v>
      </c>
      <c r="T1455">
        <v>37</v>
      </c>
      <c r="U1455" t="s">
        <v>79</v>
      </c>
      <c r="V1455" t="s">
        <v>66</v>
      </c>
      <c r="W1455" t="str">
        <f t="shared" ca="1" si="68"/>
        <v>At Risk</v>
      </c>
    </row>
    <row r="1456" spans="1:23" x14ac:dyDescent="0.2">
      <c r="A1456">
        <v>456</v>
      </c>
      <c r="B1456" t="s">
        <v>1689</v>
      </c>
      <c r="C1456" t="s">
        <v>1695</v>
      </c>
      <c r="D1456" s="1" t="s">
        <v>704</v>
      </c>
      <c r="E1456" t="s">
        <v>1691</v>
      </c>
      <c r="F1456" t="s">
        <v>303</v>
      </c>
      <c r="G1456" s="4" t="s">
        <v>5428</v>
      </c>
      <c r="H1456" t="s">
        <v>1692</v>
      </c>
      <c r="I1456" t="s">
        <v>93</v>
      </c>
      <c r="J1456" s="4" t="s">
        <v>60</v>
      </c>
      <c r="K1456" t="s">
        <v>1696</v>
      </c>
      <c r="L1456">
        <v>3</v>
      </c>
      <c r="M1456" t="s">
        <v>814</v>
      </c>
      <c r="N1456" t="s">
        <v>815</v>
      </c>
      <c r="O1456" t="s">
        <v>814</v>
      </c>
      <c r="P1456" s="2" t="str">
        <f t="shared" si="66"/>
        <v>23/09/2025 to 26/09/2025</v>
      </c>
      <c r="Q1456" s="3">
        <v>45921</v>
      </c>
      <c r="R1456" t="str">
        <f t="shared" si="67"/>
        <v>Late</v>
      </c>
      <c r="S1456" t="s">
        <v>651</v>
      </c>
      <c r="T1456">
        <v>29.5</v>
      </c>
      <c r="U1456" t="s">
        <v>79</v>
      </c>
      <c r="V1456" t="s">
        <v>66</v>
      </c>
      <c r="W1456" t="str">
        <f t="shared" ca="1" si="68"/>
        <v>At Risk</v>
      </c>
    </row>
    <row r="1457" spans="1:23" x14ac:dyDescent="0.2">
      <c r="A1457">
        <v>457</v>
      </c>
      <c r="B1457" t="s">
        <v>1689</v>
      </c>
      <c r="C1457" t="s">
        <v>1697</v>
      </c>
      <c r="D1457" s="1" t="s">
        <v>704</v>
      </c>
      <c r="E1457" t="s">
        <v>1691</v>
      </c>
      <c r="F1457" t="s">
        <v>303</v>
      </c>
      <c r="G1457" s="4" t="s">
        <v>5427</v>
      </c>
      <c r="H1457" t="s">
        <v>1692</v>
      </c>
      <c r="I1457" t="s">
        <v>93</v>
      </c>
      <c r="J1457" s="4" t="s">
        <v>74</v>
      </c>
      <c r="K1457" t="s">
        <v>1698</v>
      </c>
      <c r="L1457">
        <v>3</v>
      </c>
      <c r="M1457" t="s">
        <v>705</v>
      </c>
      <c r="N1457" t="s">
        <v>705</v>
      </c>
      <c r="O1457" t="s">
        <v>815</v>
      </c>
      <c r="P1457" s="2" t="str">
        <f t="shared" si="66"/>
        <v>23/09/2025 to 26/09/2025</v>
      </c>
      <c r="Q1457" s="3">
        <v>45928</v>
      </c>
      <c r="R1457" t="str">
        <f t="shared" si="67"/>
        <v>Late</v>
      </c>
      <c r="S1457" t="s">
        <v>831</v>
      </c>
      <c r="T1457">
        <v>31.5</v>
      </c>
      <c r="U1457" t="s">
        <v>79</v>
      </c>
      <c r="V1457" t="s">
        <v>66</v>
      </c>
      <c r="W1457" t="str">
        <f t="shared" ca="1" si="68"/>
        <v>At Risk</v>
      </c>
    </row>
    <row r="1458" spans="1:23" x14ac:dyDescent="0.2">
      <c r="A1458">
        <v>542</v>
      </c>
      <c r="B1458" t="s">
        <v>1930</v>
      </c>
      <c r="C1458" t="s">
        <v>1931</v>
      </c>
      <c r="D1458" s="1" t="s">
        <v>704</v>
      </c>
      <c r="E1458" t="s">
        <v>1932</v>
      </c>
      <c r="F1458" t="s">
        <v>1723</v>
      </c>
      <c r="G1458" s="4" t="s">
        <v>5424</v>
      </c>
      <c r="H1458" t="s">
        <v>1933</v>
      </c>
      <c r="I1458" t="s">
        <v>59</v>
      </c>
      <c r="J1458" s="4" t="s">
        <v>5417</v>
      </c>
      <c r="K1458" t="s">
        <v>1934</v>
      </c>
      <c r="L1458">
        <v>3</v>
      </c>
      <c r="M1458" t="s">
        <v>705</v>
      </c>
      <c r="N1458" t="s">
        <v>814</v>
      </c>
      <c r="O1458" t="s">
        <v>814</v>
      </c>
      <c r="P1458" s="2" t="str">
        <f t="shared" si="66"/>
        <v>23/09/2025 to 26/09/2025</v>
      </c>
      <c r="Q1458" s="3">
        <v>45925</v>
      </c>
      <c r="R1458" t="str">
        <f t="shared" si="67"/>
        <v>On-Time</v>
      </c>
      <c r="S1458" t="s">
        <v>534</v>
      </c>
      <c r="T1458">
        <v>28.5</v>
      </c>
      <c r="U1458" t="s">
        <v>79</v>
      </c>
      <c r="V1458" t="s">
        <v>66</v>
      </c>
      <c r="W1458" t="str">
        <f t="shared" ca="1" si="68"/>
        <v>At Risk</v>
      </c>
    </row>
    <row r="1459" spans="1:23" x14ac:dyDescent="0.2">
      <c r="A1459">
        <v>543</v>
      </c>
      <c r="B1459" t="s">
        <v>1930</v>
      </c>
      <c r="C1459" t="s">
        <v>1935</v>
      </c>
      <c r="D1459" s="1" t="s">
        <v>704</v>
      </c>
      <c r="E1459" t="s">
        <v>1932</v>
      </c>
      <c r="F1459" t="s">
        <v>1723</v>
      </c>
      <c r="G1459" s="4" t="s">
        <v>38</v>
      </c>
      <c r="H1459" t="s">
        <v>1933</v>
      </c>
      <c r="I1459" t="s">
        <v>59</v>
      </c>
      <c r="J1459" s="4" t="s">
        <v>60</v>
      </c>
      <c r="K1459" t="s">
        <v>1936</v>
      </c>
      <c r="L1459">
        <v>4</v>
      </c>
      <c r="M1459" t="s">
        <v>704</v>
      </c>
      <c r="N1459" t="s">
        <v>814</v>
      </c>
      <c r="O1459" t="s">
        <v>704</v>
      </c>
      <c r="P1459" s="2" t="str">
        <f t="shared" si="66"/>
        <v>23/09/2025 to 26/09/2025</v>
      </c>
      <c r="Q1459" s="3">
        <v>45923</v>
      </c>
      <c r="R1459" t="str">
        <f t="shared" si="67"/>
        <v>On-Time</v>
      </c>
      <c r="S1459" t="s">
        <v>1179</v>
      </c>
      <c r="T1459">
        <v>38</v>
      </c>
      <c r="U1459" t="s">
        <v>79</v>
      </c>
      <c r="V1459" t="s">
        <v>72</v>
      </c>
      <c r="W1459" t="str">
        <f t="shared" ca="1" si="68"/>
        <v>At Risk</v>
      </c>
    </row>
    <row r="1460" spans="1:23" x14ac:dyDescent="0.2">
      <c r="A1460">
        <v>544</v>
      </c>
      <c r="B1460" t="s">
        <v>1930</v>
      </c>
      <c r="C1460" t="s">
        <v>1937</v>
      </c>
      <c r="D1460" s="1" t="s">
        <v>704</v>
      </c>
      <c r="E1460" t="s">
        <v>1932</v>
      </c>
      <c r="F1460" t="s">
        <v>1723</v>
      </c>
      <c r="G1460" s="4" t="s">
        <v>5427</v>
      </c>
      <c r="H1460" t="s">
        <v>1933</v>
      </c>
      <c r="I1460" t="s">
        <v>59</v>
      </c>
      <c r="J1460" s="4" t="s">
        <v>5417</v>
      </c>
      <c r="K1460" t="s">
        <v>1938</v>
      </c>
      <c r="L1460">
        <v>4</v>
      </c>
      <c r="M1460" t="s">
        <v>705</v>
      </c>
      <c r="N1460" t="s">
        <v>814</v>
      </c>
      <c r="O1460" t="s">
        <v>814</v>
      </c>
      <c r="P1460" s="2" t="str">
        <f t="shared" si="66"/>
        <v>23/09/2025 to 26/09/2025</v>
      </c>
      <c r="Q1460" s="3">
        <v>45925</v>
      </c>
      <c r="R1460" t="str">
        <f t="shared" si="67"/>
        <v>On-Time</v>
      </c>
      <c r="S1460" t="s">
        <v>534</v>
      </c>
      <c r="T1460">
        <v>35.5</v>
      </c>
      <c r="U1460" t="s">
        <v>65</v>
      </c>
      <c r="V1460" t="s">
        <v>72</v>
      </c>
      <c r="W1460" t="str">
        <f t="shared" ca="1" si="68"/>
        <v>At Risk</v>
      </c>
    </row>
    <row r="1461" spans="1:23" x14ac:dyDescent="0.2">
      <c r="A1461">
        <v>545</v>
      </c>
      <c r="B1461" t="s">
        <v>1930</v>
      </c>
      <c r="C1461" t="s">
        <v>1939</v>
      </c>
      <c r="D1461" s="1" t="s">
        <v>704</v>
      </c>
      <c r="E1461" t="s">
        <v>1932</v>
      </c>
      <c r="F1461" t="s">
        <v>1723</v>
      </c>
      <c r="G1461" s="4" t="s">
        <v>5422</v>
      </c>
      <c r="H1461" t="s">
        <v>1933</v>
      </c>
      <c r="I1461" t="s">
        <v>59</v>
      </c>
      <c r="J1461" s="4" t="s">
        <v>5417</v>
      </c>
      <c r="K1461" t="s">
        <v>1940</v>
      </c>
      <c r="L1461">
        <v>3</v>
      </c>
      <c r="M1461" t="s">
        <v>814</v>
      </c>
      <c r="N1461" t="s">
        <v>814</v>
      </c>
      <c r="O1461" t="s">
        <v>815</v>
      </c>
      <c r="P1461" s="2" t="str">
        <f t="shared" si="66"/>
        <v>23/09/2025 to 26/09/2025</v>
      </c>
      <c r="Q1461" s="3">
        <v>45927</v>
      </c>
      <c r="R1461" t="str">
        <f t="shared" si="67"/>
        <v>Late</v>
      </c>
      <c r="S1461" t="s">
        <v>540</v>
      </c>
      <c r="T1461">
        <v>28</v>
      </c>
      <c r="U1461" t="s">
        <v>79</v>
      </c>
      <c r="V1461" t="s">
        <v>80</v>
      </c>
      <c r="W1461" t="str">
        <f t="shared" ca="1" si="68"/>
        <v>At Risk</v>
      </c>
    </row>
    <row r="1462" spans="1:23" x14ac:dyDescent="0.2">
      <c r="A1462">
        <v>697</v>
      </c>
      <c r="B1462" t="s">
        <v>2330</v>
      </c>
      <c r="C1462" t="s">
        <v>2331</v>
      </c>
      <c r="D1462" s="1" t="s">
        <v>814</v>
      </c>
      <c r="E1462" t="s">
        <v>2332</v>
      </c>
      <c r="F1462" t="s">
        <v>741</v>
      </c>
      <c r="G1462" s="4" t="s">
        <v>5421</v>
      </c>
      <c r="H1462" t="s">
        <v>2333</v>
      </c>
      <c r="I1462" t="s">
        <v>136</v>
      </c>
      <c r="J1462" s="4" t="s">
        <v>5417</v>
      </c>
      <c r="K1462" t="s">
        <v>2334</v>
      </c>
      <c r="L1462">
        <v>3</v>
      </c>
      <c r="M1462" t="s">
        <v>815</v>
      </c>
      <c r="N1462" t="s">
        <v>815</v>
      </c>
      <c r="O1462" t="s">
        <v>815</v>
      </c>
      <c r="P1462" s="2" t="str">
        <f t="shared" si="66"/>
        <v>24/09/2025 to 29/09/2025</v>
      </c>
      <c r="Q1462" s="3">
        <v>45923</v>
      </c>
      <c r="R1462" t="str">
        <f t="shared" si="67"/>
        <v>Late</v>
      </c>
      <c r="S1462" t="s">
        <v>1179</v>
      </c>
      <c r="T1462">
        <v>25.5</v>
      </c>
      <c r="U1462" t="s">
        <v>79</v>
      </c>
      <c r="V1462" t="s">
        <v>80</v>
      </c>
      <c r="W1462" t="str">
        <f t="shared" ca="1" si="68"/>
        <v>At Risk</v>
      </c>
    </row>
    <row r="1463" spans="1:23" x14ac:dyDescent="0.2">
      <c r="A1463">
        <v>698</v>
      </c>
      <c r="B1463" t="s">
        <v>2330</v>
      </c>
      <c r="C1463" t="s">
        <v>2335</v>
      </c>
      <c r="D1463" s="1" t="s">
        <v>814</v>
      </c>
      <c r="E1463" t="s">
        <v>2332</v>
      </c>
      <c r="F1463" t="s">
        <v>741</v>
      </c>
      <c r="G1463" s="4" t="s">
        <v>5419</v>
      </c>
      <c r="H1463" t="s">
        <v>2333</v>
      </c>
      <c r="I1463" t="s">
        <v>136</v>
      </c>
      <c r="J1463" s="4" t="s">
        <v>74</v>
      </c>
      <c r="K1463" t="s">
        <v>2336</v>
      </c>
      <c r="L1463">
        <v>4</v>
      </c>
      <c r="M1463" t="s">
        <v>646</v>
      </c>
      <c r="N1463" t="s">
        <v>646</v>
      </c>
      <c r="O1463" t="s">
        <v>646</v>
      </c>
      <c r="P1463" s="2" t="str">
        <f t="shared" si="66"/>
        <v>25/09/2025 to 30/09/2025</v>
      </c>
      <c r="Q1463" s="3">
        <v>45925</v>
      </c>
      <c r="R1463" t="str">
        <f t="shared" si="67"/>
        <v>On-Time</v>
      </c>
      <c r="S1463" t="s">
        <v>539</v>
      </c>
      <c r="T1463">
        <v>39.5</v>
      </c>
      <c r="U1463" t="s">
        <v>79</v>
      </c>
      <c r="V1463" t="s">
        <v>66</v>
      </c>
      <c r="W1463" t="str">
        <f t="shared" ca="1" si="68"/>
        <v>At Risk</v>
      </c>
    </row>
    <row r="1464" spans="1:23" x14ac:dyDescent="0.2">
      <c r="A1464">
        <v>699</v>
      </c>
      <c r="B1464" t="s">
        <v>2330</v>
      </c>
      <c r="C1464" t="s">
        <v>2337</v>
      </c>
      <c r="D1464" s="1" t="s">
        <v>814</v>
      </c>
      <c r="E1464" t="s">
        <v>2332</v>
      </c>
      <c r="F1464" t="s">
        <v>741</v>
      </c>
      <c r="G1464" s="4" t="s">
        <v>38</v>
      </c>
      <c r="H1464" t="s">
        <v>2333</v>
      </c>
      <c r="I1464" t="s">
        <v>136</v>
      </c>
      <c r="J1464" s="4" t="s">
        <v>60</v>
      </c>
      <c r="K1464" t="s">
        <v>2338</v>
      </c>
      <c r="L1464">
        <v>4</v>
      </c>
      <c r="M1464" t="s">
        <v>814</v>
      </c>
      <c r="N1464" t="s">
        <v>815</v>
      </c>
      <c r="O1464" t="s">
        <v>814</v>
      </c>
      <c r="P1464" s="2" t="str">
        <f t="shared" si="66"/>
        <v>23/09/2025 to 26/09/2025</v>
      </c>
      <c r="Q1464" s="3">
        <v>45922</v>
      </c>
      <c r="R1464" t="str">
        <f t="shared" si="67"/>
        <v>Late</v>
      </c>
      <c r="S1464" t="s">
        <v>653</v>
      </c>
      <c r="T1464">
        <v>47.5</v>
      </c>
      <c r="U1464" t="s">
        <v>79</v>
      </c>
      <c r="V1464" t="s">
        <v>66</v>
      </c>
      <c r="W1464" t="str">
        <f t="shared" ca="1" si="68"/>
        <v>At Risk</v>
      </c>
    </row>
    <row r="1465" spans="1:23" x14ac:dyDescent="0.2">
      <c r="A1465">
        <v>700</v>
      </c>
      <c r="B1465" t="s">
        <v>2330</v>
      </c>
      <c r="C1465" t="s">
        <v>2339</v>
      </c>
      <c r="D1465" s="1" t="s">
        <v>814</v>
      </c>
      <c r="E1465" t="s">
        <v>2332</v>
      </c>
      <c r="F1465" t="s">
        <v>741</v>
      </c>
      <c r="G1465" s="4" t="s">
        <v>5427</v>
      </c>
      <c r="H1465" t="s">
        <v>2333</v>
      </c>
      <c r="I1465" t="s">
        <v>136</v>
      </c>
      <c r="J1465" s="4" t="s">
        <v>5417</v>
      </c>
      <c r="K1465" t="s">
        <v>1916</v>
      </c>
      <c r="L1465">
        <v>2</v>
      </c>
      <c r="M1465" t="s">
        <v>815</v>
      </c>
      <c r="N1465" t="s">
        <v>815</v>
      </c>
      <c r="O1465" t="s">
        <v>815</v>
      </c>
      <c r="P1465" s="2" t="str">
        <f t="shared" si="66"/>
        <v>24/09/2025 to 29/09/2025</v>
      </c>
      <c r="Q1465" s="3">
        <v>45926</v>
      </c>
      <c r="R1465" t="str">
        <f t="shared" si="67"/>
        <v>On-Time</v>
      </c>
      <c r="S1465" t="s">
        <v>539</v>
      </c>
      <c r="T1465">
        <v>17</v>
      </c>
      <c r="U1465" t="s">
        <v>65</v>
      </c>
      <c r="V1465" t="s">
        <v>66</v>
      </c>
      <c r="W1465" t="str">
        <f t="shared" ca="1" si="68"/>
        <v>At Risk</v>
      </c>
    </row>
    <row r="1466" spans="1:23" x14ac:dyDescent="0.2">
      <c r="A1466">
        <v>701</v>
      </c>
      <c r="B1466" t="s">
        <v>2330</v>
      </c>
      <c r="C1466" t="s">
        <v>2340</v>
      </c>
      <c r="D1466" s="1" t="s">
        <v>814</v>
      </c>
      <c r="E1466" t="s">
        <v>2332</v>
      </c>
      <c r="F1466" t="s">
        <v>741</v>
      </c>
      <c r="G1466" s="4" t="s">
        <v>5422</v>
      </c>
      <c r="H1466" t="s">
        <v>2333</v>
      </c>
      <c r="I1466" t="s">
        <v>136</v>
      </c>
      <c r="J1466" s="4" t="s">
        <v>68</v>
      </c>
      <c r="K1466" t="s">
        <v>2341</v>
      </c>
      <c r="L1466">
        <v>4</v>
      </c>
      <c r="M1466" t="s">
        <v>814</v>
      </c>
      <c r="N1466" t="s">
        <v>814</v>
      </c>
      <c r="O1466" t="s">
        <v>646</v>
      </c>
      <c r="P1466" s="2" t="str">
        <f t="shared" si="66"/>
        <v>23/09/2025 to 26/09/2025</v>
      </c>
      <c r="Q1466" s="3">
        <v>45925</v>
      </c>
      <c r="R1466" t="str">
        <f t="shared" si="67"/>
        <v>On-Time</v>
      </c>
      <c r="S1466" t="s">
        <v>534</v>
      </c>
      <c r="T1466">
        <v>35.5</v>
      </c>
      <c r="U1466" t="s">
        <v>65</v>
      </c>
      <c r="V1466" t="s">
        <v>80</v>
      </c>
      <c r="W1466" t="str">
        <f t="shared" ca="1" si="68"/>
        <v>At Risk</v>
      </c>
    </row>
    <row r="1467" spans="1:23" x14ac:dyDescent="0.2">
      <c r="A1467">
        <v>953</v>
      </c>
      <c r="B1467" t="s">
        <v>2949</v>
      </c>
      <c r="C1467" t="s">
        <v>2950</v>
      </c>
      <c r="D1467" s="1" t="s">
        <v>814</v>
      </c>
      <c r="E1467" t="s">
        <v>2951</v>
      </c>
      <c r="F1467" t="s">
        <v>229</v>
      </c>
      <c r="G1467" s="4" t="s">
        <v>5425</v>
      </c>
      <c r="H1467" t="s">
        <v>2952</v>
      </c>
      <c r="I1467" t="s">
        <v>136</v>
      </c>
      <c r="J1467" s="4" t="s">
        <v>74</v>
      </c>
      <c r="K1467" t="s">
        <v>2953</v>
      </c>
      <c r="L1467">
        <v>2</v>
      </c>
      <c r="M1467" t="s">
        <v>646</v>
      </c>
      <c r="N1467" t="s">
        <v>647</v>
      </c>
      <c r="O1467" t="s">
        <v>647</v>
      </c>
      <c r="P1467" s="2" t="str">
        <f t="shared" si="66"/>
        <v>25/09/2025 to 30/09/2025</v>
      </c>
      <c r="Q1467" s="3">
        <v>45930</v>
      </c>
      <c r="R1467" t="str">
        <f t="shared" si="67"/>
        <v>On-Time</v>
      </c>
      <c r="S1467" t="s">
        <v>834</v>
      </c>
      <c r="T1467">
        <v>17.5</v>
      </c>
      <c r="U1467" t="s">
        <v>79</v>
      </c>
      <c r="V1467" t="s">
        <v>72</v>
      </c>
      <c r="W1467" t="str">
        <f t="shared" ca="1" si="68"/>
        <v>At Risk</v>
      </c>
    </row>
    <row r="1468" spans="1:23" x14ac:dyDescent="0.2">
      <c r="A1468">
        <v>954</v>
      </c>
      <c r="B1468" t="s">
        <v>2949</v>
      </c>
      <c r="C1468" t="s">
        <v>2954</v>
      </c>
      <c r="D1468" s="1" t="s">
        <v>814</v>
      </c>
      <c r="E1468" t="s">
        <v>2951</v>
      </c>
      <c r="F1468" t="s">
        <v>229</v>
      </c>
      <c r="G1468" s="4" t="s">
        <v>5420</v>
      </c>
      <c r="H1468" t="s">
        <v>2952</v>
      </c>
      <c r="I1468" t="s">
        <v>136</v>
      </c>
      <c r="J1468" s="4" t="s">
        <v>60</v>
      </c>
      <c r="K1468" t="s">
        <v>2955</v>
      </c>
      <c r="L1468">
        <v>2</v>
      </c>
      <c r="M1468" t="s">
        <v>814</v>
      </c>
      <c r="N1468" t="s">
        <v>814</v>
      </c>
      <c r="O1468" t="s">
        <v>814</v>
      </c>
      <c r="P1468" s="2" t="str">
        <f t="shared" si="66"/>
        <v>23/09/2025 to 26/09/2025</v>
      </c>
      <c r="Q1468" s="3">
        <v>45924</v>
      </c>
      <c r="R1468" t="str">
        <f t="shared" si="67"/>
        <v>On-Time</v>
      </c>
      <c r="S1468" t="s">
        <v>739</v>
      </c>
      <c r="T1468">
        <v>17.5</v>
      </c>
      <c r="U1468" t="s">
        <v>79</v>
      </c>
      <c r="V1468" t="s">
        <v>72</v>
      </c>
      <c r="W1468" t="str">
        <f t="shared" ca="1" si="68"/>
        <v>At Risk</v>
      </c>
    </row>
    <row r="1469" spans="1:23" x14ac:dyDescent="0.2">
      <c r="A1469">
        <v>955</v>
      </c>
      <c r="B1469" t="s">
        <v>2949</v>
      </c>
      <c r="C1469" t="s">
        <v>2956</v>
      </c>
      <c r="D1469" s="1" t="s">
        <v>814</v>
      </c>
      <c r="E1469" t="s">
        <v>2951</v>
      </c>
      <c r="F1469" t="s">
        <v>229</v>
      </c>
      <c r="G1469" s="4" t="s">
        <v>5423</v>
      </c>
      <c r="H1469" t="s">
        <v>2952</v>
      </c>
      <c r="I1469" t="s">
        <v>136</v>
      </c>
      <c r="J1469" s="4" t="s">
        <v>68</v>
      </c>
      <c r="K1469" t="s">
        <v>2957</v>
      </c>
      <c r="L1469">
        <v>2</v>
      </c>
      <c r="M1469" t="s">
        <v>814</v>
      </c>
      <c r="N1469" t="s">
        <v>815</v>
      </c>
      <c r="O1469" t="s">
        <v>814</v>
      </c>
      <c r="P1469" s="2" t="str">
        <f t="shared" si="66"/>
        <v>23/09/2025 to 26/09/2025</v>
      </c>
      <c r="Q1469" s="3">
        <v>45927</v>
      </c>
      <c r="R1469" t="str">
        <f t="shared" si="67"/>
        <v>Late</v>
      </c>
      <c r="S1469" t="s">
        <v>540</v>
      </c>
      <c r="T1469">
        <v>18.5</v>
      </c>
      <c r="U1469" t="s">
        <v>65</v>
      </c>
      <c r="V1469" t="s">
        <v>66</v>
      </c>
      <c r="W1469" t="str">
        <f t="shared" ca="1" si="68"/>
        <v>At Risk</v>
      </c>
    </row>
    <row r="1470" spans="1:23" x14ac:dyDescent="0.2">
      <c r="A1470">
        <v>1316</v>
      </c>
      <c r="B1470" t="s">
        <v>3818</v>
      </c>
      <c r="C1470" t="s">
        <v>3819</v>
      </c>
      <c r="D1470" s="1" t="s">
        <v>815</v>
      </c>
      <c r="E1470" t="s">
        <v>3820</v>
      </c>
      <c r="F1470" t="s">
        <v>741</v>
      </c>
      <c r="G1470" s="4" t="s">
        <v>5424</v>
      </c>
      <c r="H1470" t="s">
        <v>1692</v>
      </c>
      <c r="I1470" t="s">
        <v>112</v>
      </c>
      <c r="J1470" s="4" t="s">
        <v>5417</v>
      </c>
      <c r="K1470" t="s">
        <v>3821</v>
      </c>
      <c r="L1470">
        <v>2</v>
      </c>
      <c r="M1470" t="s">
        <v>815</v>
      </c>
      <c r="N1470" t="s">
        <v>815</v>
      </c>
      <c r="O1470" t="s">
        <v>1280</v>
      </c>
      <c r="P1470" s="2" t="str">
        <f t="shared" si="66"/>
        <v>24/09/2025 to 29/09/2025</v>
      </c>
      <c r="Q1470" s="3">
        <v>45928</v>
      </c>
      <c r="R1470" t="str">
        <f t="shared" si="67"/>
        <v>On-Time</v>
      </c>
      <c r="S1470" t="s">
        <v>541</v>
      </c>
      <c r="T1470">
        <v>22</v>
      </c>
      <c r="U1470" t="s">
        <v>65</v>
      </c>
      <c r="V1470" t="s">
        <v>80</v>
      </c>
      <c r="W1470" t="str">
        <f t="shared" ca="1" si="68"/>
        <v>At Risk</v>
      </c>
    </row>
    <row r="1471" spans="1:23" x14ac:dyDescent="0.2">
      <c r="A1471">
        <v>1317</v>
      </c>
      <c r="B1471" t="s">
        <v>3818</v>
      </c>
      <c r="C1471" t="s">
        <v>3822</v>
      </c>
      <c r="D1471" s="1" t="s">
        <v>815</v>
      </c>
      <c r="E1471" t="s">
        <v>3820</v>
      </c>
      <c r="F1471" t="s">
        <v>741</v>
      </c>
      <c r="G1471" s="4" t="s">
        <v>5425</v>
      </c>
      <c r="H1471" t="s">
        <v>1692</v>
      </c>
      <c r="I1471" t="s">
        <v>112</v>
      </c>
      <c r="J1471" s="4" t="s">
        <v>60</v>
      </c>
      <c r="K1471" t="s">
        <v>3823</v>
      </c>
      <c r="L1471">
        <v>4</v>
      </c>
      <c r="M1471" t="s">
        <v>815</v>
      </c>
      <c r="N1471" t="s">
        <v>646</v>
      </c>
      <c r="O1471" t="s">
        <v>815</v>
      </c>
      <c r="P1471" s="2" t="str">
        <f t="shared" si="66"/>
        <v>24/09/2025 to 29/09/2025</v>
      </c>
      <c r="Q1471" s="3">
        <v>45923</v>
      </c>
      <c r="R1471" t="str">
        <f t="shared" si="67"/>
        <v>Late</v>
      </c>
      <c r="S1471" t="s">
        <v>1179</v>
      </c>
      <c r="T1471">
        <v>41</v>
      </c>
      <c r="U1471" t="s">
        <v>65</v>
      </c>
      <c r="V1471" t="s">
        <v>80</v>
      </c>
      <c r="W1471" t="str">
        <f t="shared" ca="1" si="68"/>
        <v>At Risk</v>
      </c>
    </row>
    <row r="1472" spans="1:23" x14ac:dyDescent="0.2">
      <c r="A1472">
        <v>1318</v>
      </c>
      <c r="B1472" t="s">
        <v>3818</v>
      </c>
      <c r="C1472" t="s">
        <v>3824</v>
      </c>
      <c r="D1472" s="1" t="s">
        <v>815</v>
      </c>
      <c r="E1472" t="s">
        <v>3820</v>
      </c>
      <c r="F1472" t="s">
        <v>741</v>
      </c>
      <c r="G1472" s="4" t="s">
        <v>5419</v>
      </c>
      <c r="H1472" t="s">
        <v>1692</v>
      </c>
      <c r="I1472" t="s">
        <v>112</v>
      </c>
      <c r="J1472" s="4" t="s">
        <v>5417</v>
      </c>
      <c r="K1472" t="s">
        <v>1719</v>
      </c>
      <c r="L1472">
        <v>2</v>
      </c>
      <c r="M1472" t="s">
        <v>646</v>
      </c>
      <c r="N1472" t="s">
        <v>1280</v>
      </c>
      <c r="O1472" t="s">
        <v>646</v>
      </c>
      <c r="P1472" s="2" t="str">
        <f t="shared" si="66"/>
        <v>25/09/2025 to 30/09/2025</v>
      </c>
      <c r="Q1472" s="3">
        <v>45928</v>
      </c>
      <c r="R1472" t="str">
        <f t="shared" si="67"/>
        <v>On-Time</v>
      </c>
      <c r="S1472" t="s">
        <v>540</v>
      </c>
      <c r="T1472">
        <v>21</v>
      </c>
      <c r="U1472" t="s">
        <v>65</v>
      </c>
      <c r="V1472" t="s">
        <v>72</v>
      </c>
      <c r="W1472" t="str">
        <f t="shared" ca="1" si="68"/>
        <v>At Risk</v>
      </c>
    </row>
    <row r="1473" spans="1:23" x14ac:dyDescent="0.2">
      <c r="A1473">
        <v>1319</v>
      </c>
      <c r="B1473" t="s">
        <v>3818</v>
      </c>
      <c r="C1473" t="s">
        <v>3825</v>
      </c>
      <c r="D1473" s="1" t="s">
        <v>815</v>
      </c>
      <c r="E1473" t="s">
        <v>3820</v>
      </c>
      <c r="F1473" t="s">
        <v>741</v>
      </c>
      <c r="G1473" s="4" t="s">
        <v>5423</v>
      </c>
      <c r="H1473" t="s">
        <v>1692</v>
      </c>
      <c r="I1473" t="s">
        <v>112</v>
      </c>
      <c r="J1473" s="4" t="s">
        <v>68</v>
      </c>
      <c r="K1473" t="s">
        <v>3826</v>
      </c>
      <c r="L1473">
        <v>4</v>
      </c>
      <c r="M1473" t="s">
        <v>646</v>
      </c>
      <c r="N1473" t="s">
        <v>1280</v>
      </c>
      <c r="O1473" t="s">
        <v>646</v>
      </c>
      <c r="P1473" s="2" t="str">
        <f t="shared" si="66"/>
        <v>25/09/2025 to 30/09/2025</v>
      </c>
      <c r="Q1473" s="3">
        <v>45929</v>
      </c>
      <c r="R1473" t="str">
        <f t="shared" si="67"/>
        <v>On-Time</v>
      </c>
      <c r="S1473" t="s">
        <v>831</v>
      </c>
      <c r="T1473">
        <v>36</v>
      </c>
      <c r="U1473" t="s">
        <v>65</v>
      </c>
      <c r="V1473" t="s">
        <v>80</v>
      </c>
      <c r="W1473" t="str">
        <f t="shared" ca="1" si="68"/>
        <v>At Risk</v>
      </c>
    </row>
    <row r="1474" spans="1:23" x14ac:dyDescent="0.2">
      <c r="A1474">
        <v>1733</v>
      </c>
      <c r="B1474" t="s">
        <v>4811</v>
      </c>
      <c r="C1474" t="s">
        <v>4812</v>
      </c>
      <c r="D1474" s="1" t="s">
        <v>815</v>
      </c>
      <c r="E1474" t="s">
        <v>4813</v>
      </c>
      <c r="F1474" t="s">
        <v>91</v>
      </c>
      <c r="G1474" s="4" t="s">
        <v>5424</v>
      </c>
      <c r="H1474" t="s">
        <v>3334</v>
      </c>
      <c r="I1474" t="s">
        <v>59</v>
      </c>
      <c r="J1474" s="4" t="s">
        <v>60</v>
      </c>
      <c r="K1474" t="s">
        <v>4814</v>
      </c>
      <c r="L1474">
        <v>3</v>
      </c>
      <c r="M1474" t="s">
        <v>646</v>
      </c>
      <c r="N1474" t="s">
        <v>647</v>
      </c>
      <c r="O1474" t="s">
        <v>647</v>
      </c>
      <c r="P1474" s="2" t="str">
        <f t="shared" ref="P1474:P1537" si="69">IF(ISBLANK(M1474), "", TEXT(WORKDAY(M1474, 7), "dd/mm/yyyy") &amp; " to " &amp; TEXT(WORKDAY(M1474, 10), "dd/mm/yyyy"))</f>
        <v>25/09/2025 to 30/09/2025</v>
      </c>
      <c r="Q1474" s="3">
        <v>45925</v>
      </c>
      <c r="R1474" t="str">
        <f t="shared" ref="R1474:R1537" si="70">IF(Q1474="","In Progress",
IF(AND(--Q1474&gt;=DATEVALUE(LEFT(P1474,10)),
       --Q1474&lt;=DATEVALUE(TRIM(MID(P1474,FIND("to",P1474)+3,10)))),
   "On-Time","Late"))</f>
        <v>On-Time</v>
      </c>
      <c r="S1474" t="s">
        <v>539</v>
      </c>
      <c r="T1474">
        <v>23.5</v>
      </c>
      <c r="U1474" t="s">
        <v>65</v>
      </c>
      <c r="V1474" t="s">
        <v>66</v>
      </c>
      <c r="W1474" t="str">
        <f t="shared" ca="1" si="68"/>
        <v>At Risk</v>
      </c>
    </row>
    <row r="1475" spans="1:23" x14ac:dyDescent="0.2">
      <c r="A1475">
        <v>1734</v>
      </c>
      <c r="B1475" t="s">
        <v>4811</v>
      </c>
      <c r="C1475" t="s">
        <v>4815</v>
      </c>
      <c r="D1475" s="1" t="s">
        <v>815</v>
      </c>
      <c r="E1475" t="s">
        <v>4813</v>
      </c>
      <c r="F1475" t="s">
        <v>91</v>
      </c>
      <c r="G1475" s="4" t="s">
        <v>5423</v>
      </c>
      <c r="H1475" t="s">
        <v>3334</v>
      </c>
      <c r="I1475" t="s">
        <v>59</v>
      </c>
      <c r="J1475" s="4" t="s">
        <v>60</v>
      </c>
      <c r="K1475" t="s">
        <v>4816</v>
      </c>
      <c r="L1475">
        <v>3</v>
      </c>
      <c r="M1475" t="s">
        <v>815</v>
      </c>
      <c r="N1475" t="s">
        <v>646</v>
      </c>
      <c r="O1475" t="s">
        <v>646</v>
      </c>
      <c r="P1475" s="2" t="str">
        <f t="shared" si="69"/>
        <v>24/09/2025 to 29/09/2025</v>
      </c>
      <c r="Q1475" s="3">
        <v>45926</v>
      </c>
      <c r="R1475" t="str">
        <f t="shared" si="70"/>
        <v>On-Time</v>
      </c>
      <c r="S1475" t="s">
        <v>539</v>
      </c>
      <c r="T1475">
        <v>32</v>
      </c>
      <c r="U1475" t="s">
        <v>79</v>
      </c>
      <c r="V1475" t="s">
        <v>66</v>
      </c>
      <c r="W1475" t="str">
        <f t="shared" ref="W1475:W1538" ca="1" si="71">IF(D1475="","",
IF(TODAY()-D1475&lt;=120,"Active",
IF(TODAY()-D1475&lt;=210,"At Risk",
IF(TODAY()-D1475&lt;=395,"Dormant",
IF(TODAY()-D1475&lt;=730,"Inactive","Archived")))))</f>
        <v>At Risk</v>
      </c>
    </row>
    <row r="1476" spans="1:23" x14ac:dyDescent="0.2">
      <c r="A1476">
        <v>1735</v>
      </c>
      <c r="B1476" t="s">
        <v>4811</v>
      </c>
      <c r="C1476" t="s">
        <v>4817</v>
      </c>
      <c r="D1476" s="1" t="s">
        <v>815</v>
      </c>
      <c r="E1476" t="s">
        <v>4813</v>
      </c>
      <c r="F1476" t="s">
        <v>91</v>
      </c>
      <c r="G1476" s="4" t="s">
        <v>5422</v>
      </c>
      <c r="H1476" t="s">
        <v>3334</v>
      </c>
      <c r="I1476" t="s">
        <v>59</v>
      </c>
      <c r="J1476" s="4" t="s">
        <v>60</v>
      </c>
      <c r="K1476" t="s">
        <v>4818</v>
      </c>
      <c r="L1476">
        <v>4</v>
      </c>
      <c r="M1476" t="s">
        <v>1280</v>
      </c>
      <c r="N1476" t="s">
        <v>1280</v>
      </c>
      <c r="O1476" t="s">
        <v>647</v>
      </c>
      <c r="P1476" s="2" t="str">
        <f t="shared" si="69"/>
        <v>26/09/2025 to 01/10/2025</v>
      </c>
      <c r="Q1476" s="3">
        <v>45926</v>
      </c>
      <c r="R1476" t="str">
        <f t="shared" si="70"/>
        <v>On-Time</v>
      </c>
      <c r="S1476" t="s">
        <v>541</v>
      </c>
      <c r="T1476">
        <v>35</v>
      </c>
      <c r="U1476" t="s">
        <v>65</v>
      </c>
      <c r="V1476" t="s">
        <v>66</v>
      </c>
      <c r="W1476" t="str">
        <f t="shared" ca="1" si="71"/>
        <v>At Risk</v>
      </c>
    </row>
    <row r="1477" spans="1:23" x14ac:dyDescent="0.2">
      <c r="A1477">
        <v>1736</v>
      </c>
      <c r="B1477" t="s">
        <v>4811</v>
      </c>
      <c r="C1477" t="s">
        <v>4819</v>
      </c>
      <c r="D1477" s="1" t="s">
        <v>815</v>
      </c>
      <c r="E1477" t="s">
        <v>4813</v>
      </c>
      <c r="F1477" t="s">
        <v>91</v>
      </c>
      <c r="G1477" s="4" t="s">
        <v>5418</v>
      </c>
      <c r="H1477" t="s">
        <v>3334</v>
      </c>
      <c r="I1477" t="s">
        <v>59</v>
      </c>
      <c r="J1477" s="4" t="s">
        <v>74</v>
      </c>
      <c r="K1477" t="s">
        <v>420</v>
      </c>
      <c r="L1477">
        <v>2</v>
      </c>
      <c r="M1477" t="s">
        <v>1280</v>
      </c>
      <c r="N1477" t="s">
        <v>838</v>
      </c>
      <c r="O1477" t="s">
        <v>1280</v>
      </c>
      <c r="P1477" s="2" t="str">
        <f t="shared" si="69"/>
        <v>26/09/2025 to 01/10/2025</v>
      </c>
      <c r="Q1477" s="3">
        <v>45928</v>
      </c>
      <c r="R1477" t="str">
        <f t="shared" si="70"/>
        <v>On-Time</v>
      </c>
      <c r="S1477" t="s">
        <v>541</v>
      </c>
      <c r="T1477">
        <v>19</v>
      </c>
      <c r="U1477" t="s">
        <v>79</v>
      </c>
      <c r="V1477" t="s">
        <v>66</v>
      </c>
      <c r="W1477" t="str">
        <f t="shared" ca="1" si="71"/>
        <v>At Risk</v>
      </c>
    </row>
    <row r="1478" spans="1:23" x14ac:dyDescent="0.2">
      <c r="A1478">
        <v>1737</v>
      </c>
      <c r="B1478" t="s">
        <v>4811</v>
      </c>
      <c r="C1478" t="s">
        <v>4820</v>
      </c>
      <c r="D1478" s="1" t="s">
        <v>815</v>
      </c>
      <c r="E1478" t="s">
        <v>4813</v>
      </c>
      <c r="F1478" t="s">
        <v>91</v>
      </c>
      <c r="G1478" s="4" t="s">
        <v>5428</v>
      </c>
      <c r="H1478" t="s">
        <v>3334</v>
      </c>
      <c r="I1478" t="s">
        <v>59</v>
      </c>
      <c r="J1478" s="4" t="s">
        <v>5417</v>
      </c>
      <c r="K1478" t="s">
        <v>4821</v>
      </c>
      <c r="L1478">
        <v>4</v>
      </c>
      <c r="M1478" t="s">
        <v>646</v>
      </c>
      <c r="N1478" t="s">
        <v>1280</v>
      </c>
      <c r="O1478" t="s">
        <v>647</v>
      </c>
      <c r="P1478" s="2" t="str">
        <f t="shared" si="69"/>
        <v>25/09/2025 to 30/09/2025</v>
      </c>
      <c r="Q1478" s="3">
        <v>45930</v>
      </c>
      <c r="R1478" t="str">
        <f t="shared" si="70"/>
        <v>On-Time</v>
      </c>
      <c r="S1478" t="s">
        <v>832</v>
      </c>
      <c r="T1478">
        <v>34</v>
      </c>
      <c r="U1478" t="s">
        <v>79</v>
      </c>
      <c r="V1478" t="s">
        <v>80</v>
      </c>
      <c r="W1478" t="str">
        <f t="shared" ca="1" si="71"/>
        <v>At Risk</v>
      </c>
    </row>
    <row r="1479" spans="1:23" x14ac:dyDescent="0.2">
      <c r="A1479">
        <v>1795</v>
      </c>
      <c r="B1479" t="s">
        <v>4943</v>
      </c>
      <c r="C1479" t="s">
        <v>4944</v>
      </c>
      <c r="D1479" s="1" t="s">
        <v>1280</v>
      </c>
      <c r="E1479" t="s">
        <v>4945</v>
      </c>
      <c r="F1479" t="s">
        <v>1920</v>
      </c>
      <c r="G1479" s="4" t="s">
        <v>5426</v>
      </c>
      <c r="H1479" t="s">
        <v>1392</v>
      </c>
      <c r="I1479" t="s">
        <v>201</v>
      </c>
      <c r="J1479" s="4" t="s">
        <v>5417</v>
      </c>
      <c r="K1479" t="s">
        <v>4946</v>
      </c>
      <c r="L1479">
        <v>4</v>
      </c>
      <c r="M1479" t="s">
        <v>838</v>
      </c>
      <c r="N1479" t="s">
        <v>838</v>
      </c>
      <c r="O1479" t="s">
        <v>651</v>
      </c>
      <c r="P1479" s="2" t="str">
        <f t="shared" si="69"/>
        <v>30/09/2025 to 03/10/2025</v>
      </c>
      <c r="Q1479" s="3">
        <v>45931</v>
      </c>
      <c r="R1479" t="str">
        <f t="shared" si="70"/>
        <v>On-Time</v>
      </c>
      <c r="S1479" t="s">
        <v>834</v>
      </c>
      <c r="T1479">
        <v>40</v>
      </c>
      <c r="U1479" t="s">
        <v>65</v>
      </c>
      <c r="V1479" t="s">
        <v>66</v>
      </c>
      <c r="W1479" t="str">
        <f t="shared" ca="1" si="71"/>
        <v>At Risk</v>
      </c>
    </row>
    <row r="1480" spans="1:23" x14ac:dyDescent="0.2">
      <c r="A1480">
        <v>1796</v>
      </c>
      <c r="B1480" t="s">
        <v>4943</v>
      </c>
      <c r="C1480" t="s">
        <v>4947</v>
      </c>
      <c r="D1480" s="1" t="s">
        <v>1280</v>
      </c>
      <c r="E1480" t="s">
        <v>4945</v>
      </c>
      <c r="F1480" t="s">
        <v>1920</v>
      </c>
      <c r="G1480" s="4" t="s">
        <v>5418</v>
      </c>
      <c r="H1480" t="s">
        <v>1392</v>
      </c>
      <c r="I1480" t="s">
        <v>201</v>
      </c>
      <c r="J1480" s="4" t="s">
        <v>5417</v>
      </c>
      <c r="K1480" t="s">
        <v>4948</v>
      </c>
      <c r="L1480">
        <v>3</v>
      </c>
      <c r="M1480" t="s">
        <v>1280</v>
      </c>
      <c r="N1480" t="s">
        <v>1280</v>
      </c>
      <c r="O1480" t="s">
        <v>838</v>
      </c>
      <c r="P1480" s="2" t="str">
        <f t="shared" si="69"/>
        <v>26/09/2025 to 01/10/2025</v>
      </c>
      <c r="Q1480" s="3">
        <v>45932</v>
      </c>
      <c r="R1480" t="str">
        <f t="shared" si="70"/>
        <v>Late</v>
      </c>
      <c r="S1480" t="s">
        <v>1371</v>
      </c>
      <c r="T1480">
        <v>29.5</v>
      </c>
      <c r="U1480" t="s">
        <v>65</v>
      </c>
      <c r="V1480" t="s">
        <v>80</v>
      </c>
      <c r="W1480" t="str">
        <f t="shared" ca="1" si="71"/>
        <v>At Risk</v>
      </c>
    </row>
    <row r="1481" spans="1:23" x14ac:dyDescent="0.2">
      <c r="A1481">
        <v>167</v>
      </c>
      <c r="B1481" t="s">
        <v>826</v>
      </c>
      <c r="C1481" t="s">
        <v>827</v>
      </c>
      <c r="D1481" s="1" t="s">
        <v>647</v>
      </c>
      <c r="E1481" t="s">
        <v>828</v>
      </c>
      <c r="F1481" t="s">
        <v>371</v>
      </c>
      <c r="G1481" s="4" t="s">
        <v>5418</v>
      </c>
      <c r="H1481" t="s">
        <v>829</v>
      </c>
      <c r="I1481" t="s">
        <v>59</v>
      </c>
      <c r="J1481" s="4" t="s">
        <v>60</v>
      </c>
      <c r="K1481" t="s">
        <v>830</v>
      </c>
      <c r="L1481">
        <v>4</v>
      </c>
      <c r="M1481" t="s">
        <v>650</v>
      </c>
      <c r="N1481" t="s">
        <v>651</v>
      </c>
      <c r="O1481" t="s">
        <v>653</v>
      </c>
      <c r="P1481" s="2" t="str">
        <f t="shared" si="69"/>
        <v>30/09/2025 to 03/10/2025</v>
      </c>
      <c r="Q1481" s="3">
        <v>45930</v>
      </c>
      <c r="R1481" t="str">
        <f t="shared" si="70"/>
        <v>On-Time</v>
      </c>
      <c r="S1481" t="s">
        <v>832</v>
      </c>
      <c r="T1481">
        <v>38</v>
      </c>
      <c r="U1481" t="s">
        <v>79</v>
      </c>
      <c r="V1481" t="s">
        <v>72</v>
      </c>
      <c r="W1481" t="str">
        <f t="shared" ca="1" si="71"/>
        <v>At Risk</v>
      </c>
    </row>
    <row r="1482" spans="1:23" x14ac:dyDescent="0.2">
      <c r="A1482">
        <v>168</v>
      </c>
      <c r="B1482" t="s">
        <v>826</v>
      </c>
      <c r="C1482" t="s">
        <v>833</v>
      </c>
      <c r="D1482" s="1" t="s">
        <v>647</v>
      </c>
      <c r="E1482" t="s">
        <v>828</v>
      </c>
      <c r="F1482" t="s">
        <v>371</v>
      </c>
      <c r="G1482" s="4" t="s">
        <v>5423</v>
      </c>
      <c r="H1482" t="s">
        <v>829</v>
      </c>
      <c r="I1482" t="s">
        <v>59</v>
      </c>
      <c r="J1482" s="4" t="s">
        <v>5417</v>
      </c>
      <c r="K1482" t="s">
        <v>14</v>
      </c>
      <c r="L1482">
        <v>1</v>
      </c>
      <c r="M1482" t="s">
        <v>650</v>
      </c>
      <c r="N1482" t="s">
        <v>650</v>
      </c>
      <c r="O1482" t="s">
        <v>653</v>
      </c>
      <c r="P1482" s="2" t="str">
        <f t="shared" si="69"/>
        <v>30/09/2025 to 03/10/2025</v>
      </c>
      <c r="Q1482" s="3">
        <v>45930</v>
      </c>
      <c r="R1482" t="str">
        <f t="shared" si="70"/>
        <v>On-Time</v>
      </c>
      <c r="S1482" t="s">
        <v>834</v>
      </c>
      <c r="T1482">
        <v>9.5</v>
      </c>
      <c r="U1482" t="s">
        <v>65</v>
      </c>
      <c r="V1482" t="s">
        <v>80</v>
      </c>
      <c r="W1482" t="str">
        <f t="shared" ca="1" si="71"/>
        <v>At Risk</v>
      </c>
    </row>
    <row r="1483" spans="1:23" x14ac:dyDescent="0.2">
      <c r="A1483">
        <v>169</v>
      </c>
      <c r="B1483" t="s">
        <v>826</v>
      </c>
      <c r="C1483" t="s">
        <v>835</v>
      </c>
      <c r="D1483" s="1" t="s">
        <v>647</v>
      </c>
      <c r="E1483" t="s">
        <v>828</v>
      </c>
      <c r="F1483" t="s">
        <v>371</v>
      </c>
      <c r="G1483" s="4" t="s">
        <v>5418</v>
      </c>
      <c r="H1483" t="s">
        <v>829</v>
      </c>
      <c r="I1483" t="s">
        <v>59</v>
      </c>
      <c r="J1483" s="4" t="s">
        <v>5417</v>
      </c>
      <c r="K1483" t="s">
        <v>836</v>
      </c>
      <c r="L1483">
        <v>4</v>
      </c>
      <c r="M1483" t="s">
        <v>650</v>
      </c>
      <c r="N1483" t="s">
        <v>653</v>
      </c>
      <c r="O1483" t="s">
        <v>653</v>
      </c>
      <c r="P1483" s="2" t="str">
        <f t="shared" si="69"/>
        <v>30/09/2025 to 03/10/2025</v>
      </c>
      <c r="Q1483" s="3">
        <v>45931</v>
      </c>
      <c r="R1483" t="str">
        <f t="shared" si="70"/>
        <v>On-Time</v>
      </c>
      <c r="S1483" t="s">
        <v>834</v>
      </c>
      <c r="T1483">
        <v>43</v>
      </c>
      <c r="U1483" t="s">
        <v>79</v>
      </c>
      <c r="V1483" t="s">
        <v>80</v>
      </c>
      <c r="W1483" t="str">
        <f t="shared" ca="1" si="71"/>
        <v>At Risk</v>
      </c>
    </row>
    <row r="1484" spans="1:23" x14ac:dyDescent="0.2">
      <c r="A1484">
        <v>170</v>
      </c>
      <c r="B1484" t="s">
        <v>826</v>
      </c>
      <c r="C1484" t="s">
        <v>837</v>
      </c>
      <c r="D1484" s="1" t="s">
        <v>647</v>
      </c>
      <c r="E1484" t="s">
        <v>828</v>
      </c>
      <c r="F1484" t="s">
        <v>371</v>
      </c>
      <c r="G1484" s="4" t="s">
        <v>38</v>
      </c>
      <c r="H1484" t="s">
        <v>829</v>
      </c>
      <c r="I1484" t="s">
        <v>59</v>
      </c>
      <c r="J1484" s="4" t="s">
        <v>74</v>
      </c>
      <c r="K1484" t="s">
        <v>18</v>
      </c>
      <c r="L1484">
        <v>1</v>
      </c>
      <c r="M1484" t="s">
        <v>647</v>
      </c>
      <c r="N1484" t="s">
        <v>647</v>
      </c>
      <c r="O1484" t="s">
        <v>838</v>
      </c>
      <c r="P1484" s="2" t="str">
        <f t="shared" si="69"/>
        <v>29/09/2025 to 02/10/2025</v>
      </c>
      <c r="Q1484" s="3">
        <v>45928</v>
      </c>
      <c r="R1484" t="str">
        <f t="shared" si="70"/>
        <v>Late</v>
      </c>
      <c r="S1484" t="s">
        <v>831</v>
      </c>
      <c r="T1484">
        <v>8.5</v>
      </c>
      <c r="U1484" t="s">
        <v>79</v>
      </c>
      <c r="V1484" t="s">
        <v>66</v>
      </c>
      <c r="W1484" t="str">
        <f t="shared" ca="1" si="71"/>
        <v>At Risk</v>
      </c>
    </row>
    <row r="1485" spans="1:23" x14ac:dyDescent="0.2">
      <c r="A1485">
        <v>892</v>
      </c>
      <c r="B1485" t="s">
        <v>2794</v>
      </c>
      <c r="C1485" t="s">
        <v>2795</v>
      </c>
      <c r="D1485" s="1" t="s">
        <v>647</v>
      </c>
      <c r="E1485" t="s">
        <v>2796</v>
      </c>
      <c r="F1485" t="s">
        <v>1756</v>
      </c>
      <c r="G1485" s="4" t="s">
        <v>5419</v>
      </c>
      <c r="H1485" t="s">
        <v>1947</v>
      </c>
      <c r="I1485" t="s">
        <v>112</v>
      </c>
      <c r="J1485" s="4" t="s">
        <v>74</v>
      </c>
      <c r="K1485" t="s">
        <v>10</v>
      </c>
      <c r="L1485">
        <v>1</v>
      </c>
      <c r="M1485" t="s">
        <v>838</v>
      </c>
      <c r="N1485" t="s">
        <v>650</v>
      </c>
      <c r="O1485" t="s">
        <v>650</v>
      </c>
      <c r="P1485" s="2" t="str">
        <f t="shared" si="69"/>
        <v>30/09/2025 to 03/10/2025</v>
      </c>
      <c r="Q1485" s="3">
        <v>45931</v>
      </c>
      <c r="R1485" t="str">
        <f t="shared" si="70"/>
        <v>On-Time</v>
      </c>
      <c r="S1485" t="s">
        <v>1371</v>
      </c>
      <c r="T1485">
        <v>10</v>
      </c>
      <c r="U1485" t="s">
        <v>79</v>
      </c>
      <c r="V1485" t="s">
        <v>66</v>
      </c>
      <c r="W1485" t="str">
        <f t="shared" ca="1" si="71"/>
        <v>At Risk</v>
      </c>
    </row>
    <row r="1486" spans="1:23" x14ac:dyDescent="0.2">
      <c r="A1486">
        <v>893</v>
      </c>
      <c r="B1486" t="s">
        <v>2794</v>
      </c>
      <c r="C1486" t="s">
        <v>2797</v>
      </c>
      <c r="D1486" s="1" t="s">
        <v>647</v>
      </c>
      <c r="E1486" t="s">
        <v>2796</v>
      </c>
      <c r="F1486" t="s">
        <v>1756</v>
      </c>
      <c r="G1486" s="4" t="s">
        <v>5420</v>
      </c>
      <c r="H1486" t="s">
        <v>1947</v>
      </c>
      <c r="I1486" t="s">
        <v>112</v>
      </c>
      <c r="J1486" s="4" t="s">
        <v>60</v>
      </c>
      <c r="K1486" t="s">
        <v>2798</v>
      </c>
      <c r="L1486">
        <v>3</v>
      </c>
      <c r="M1486" t="s">
        <v>650</v>
      </c>
      <c r="N1486" t="s">
        <v>651</v>
      </c>
      <c r="O1486" t="s">
        <v>651</v>
      </c>
      <c r="P1486" s="2" t="str">
        <f t="shared" si="69"/>
        <v>30/09/2025 to 03/10/2025</v>
      </c>
      <c r="Q1486" s="3">
        <v>45932</v>
      </c>
      <c r="R1486" t="str">
        <f t="shared" si="70"/>
        <v>On-Time</v>
      </c>
      <c r="S1486" t="s">
        <v>1183</v>
      </c>
      <c r="T1486">
        <v>28</v>
      </c>
      <c r="U1486" t="s">
        <v>65</v>
      </c>
      <c r="V1486" t="s">
        <v>66</v>
      </c>
      <c r="W1486" t="str">
        <f t="shared" ca="1" si="71"/>
        <v>At Risk</v>
      </c>
    </row>
    <row r="1487" spans="1:23" x14ac:dyDescent="0.2">
      <c r="A1487">
        <v>894</v>
      </c>
      <c r="B1487" t="s">
        <v>2794</v>
      </c>
      <c r="C1487" t="s">
        <v>2799</v>
      </c>
      <c r="D1487" s="1" t="s">
        <v>647</v>
      </c>
      <c r="E1487" t="s">
        <v>2796</v>
      </c>
      <c r="F1487" t="s">
        <v>1756</v>
      </c>
      <c r="G1487" s="4" t="s">
        <v>5421</v>
      </c>
      <c r="H1487" t="s">
        <v>1947</v>
      </c>
      <c r="I1487" t="s">
        <v>112</v>
      </c>
      <c r="J1487" s="4" t="s">
        <v>74</v>
      </c>
      <c r="K1487" t="s">
        <v>2800</v>
      </c>
      <c r="L1487">
        <v>3</v>
      </c>
      <c r="M1487" t="s">
        <v>650</v>
      </c>
      <c r="N1487" t="s">
        <v>650</v>
      </c>
      <c r="O1487" t="s">
        <v>651</v>
      </c>
      <c r="P1487" s="2" t="str">
        <f t="shared" si="69"/>
        <v>30/09/2025 to 03/10/2025</v>
      </c>
      <c r="Q1487" s="3">
        <v>45933</v>
      </c>
      <c r="R1487" t="str">
        <f t="shared" si="70"/>
        <v>On-Time</v>
      </c>
      <c r="S1487" t="s">
        <v>1371</v>
      </c>
      <c r="T1487">
        <v>28.5</v>
      </c>
      <c r="U1487" t="s">
        <v>79</v>
      </c>
      <c r="V1487" t="s">
        <v>80</v>
      </c>
      <c r="W1487" t="str">
        <f t="shared" ca="1" si="71"/>
        <v>At Risk</v>
      </c>
    </row>
    <row r="1488" spans="1:23" x14ac:dyDescent="0.2">
      <c r="A1488">
        <v>1621</v>
      </c>
      <c r="B1488" t="s">
        <v>4564</v>
      </c>
      <c r="C1488" t="s">
        <v>4565</v>
      </c>
      <c r="D1488" s="1" t="s">
        <v>647</v>
      </c>
      <c r="E1488" t="s">
        <v>4566</v>
      </c>
      <c r="F1488" t="s">
        <v>872</v>
      </c>
      <c r="G1488" s="4" t="s">
        <v>5426</v>
      </c>
      <c r="H1488" t="s">
        <v>4567</v>
      </c>
      <c r="I1488" t="s">
        <v>93</v>
      </c>
      <c r="J1488" s="4" t="s">
        <v>68</v>
      </c>
      <c r="K1488" t="s">
        <v>24</v>
      </c>
      <c r="L1488">
        <v>1</v>
      </c>
      <c r="M1488" t="s">
        <v>650</v>
      </c>
      <c r="N1488" t="s">
        <v>650</v>
      </c>
      <c r="O1488" t="s">
        <v>651</v>
      </c>
      <c r="P1488" s="2" t="str">
        <f t="shared" si="69"/>
        <v>30/09/2025 to 03/10/2025</v>
      </c>
      <c r="Q1488" s="3">
        <v>45934</v>
      </c>
      <c r="R1488" t="str">
        <f t="shared" si="70"/>
        <v>Late</v>
      </c>
      <c r="S1488" t="s">
        <v>954</v>
      </c>
      <c r="T1488">
        <v>8</v>
      </c>
      <c r="U1488" t="s">
        <v>65</v>
      </c>
      <c r="V1488" t="s">
        <v>80</v>
      </c>
      <c r="W1488" t="str">
        <f t="shared" ca="1" si="71"/>
        <v>At Risk</v>
      </c>
    </row>
    <row r="1489" spans="1:23" x14ac:dyDescent="0.2">
      <c r="A1489">
        <v>1622</v>
      </c>
      <c r="B1489" t="s">
        <v>4564</v>
      </c>
      <c r="C1489" t="s">
        <v>4568</v>
      </c>
      <c r="D1489" s="1" t="s">
        <v>647</v>
      </c>
      <c r="E1489" t="s">
        <v>4566</v>
      </c>
      <c r="F1489" t="s">
        <v>872</v>
      </c>
      <c r="G1489" s="4" t="s">
        <v>5420</v>
      </c>
      <c r="H1489" t="s">
        <v>4567</v>
      </c>
      <c r="I1489" t="s">
        <v>93</v>
      </c>
      <c r="J1489" s="4" t="s">
        <v>5417</v>
      </c>
      <c r="K1489" t="s">
        <v>4044</v>
      </c>
      <c r="L1489">
        <v>2</v>
      </c>
      <c r="M1489" t="s">
        <v>838</v>
      </c>
      <c r="N1489" t="s">
        <v>651</v>
      </c>
      <c r="O1489" t="s">
        <v>838</v>
      </c>
      <c r="P1489" s="2" t="str">
        <f t="shared" si="69"/>
        <v>30/09/2025 to 03/10/2025</v>
      </c>
      <c r="Q1489" s="3">
        <v>45932</v>
      </c>
      <c r="R1489" t="str">
        <f t="shared" si="70"/>
        <v>On-Time</v>
      </c>
      <c r="S1489" t="s">
        <v>1371</v>
      </c>
      <c r="T1489">
        <v>17.5</v>
      </c>
      <c r="U1489" t="s">
        <v>65</v>
      </c>
      <c r="V1489" t="s">
        <v>72</v>
      </c>
      <c r="W1489" t="str">
        <f t="shared" ca="1" si="71"/>
        <v>At Risk</v>
      </c>
    </row>
    <row r="1490" spans="1:23" x14ac:dyDescent="0.2">
      <c r="A1490">
        <v>1623</v>
      </c>
      <c r="B1490" t="s">
        <v>4564</v>
      </c>
      <c r="C1490" t="s">
        <v>4569</v>
      </c>
      <c r="D1490" s="1" t="s">
        <v>647</v>
      </c>
      <c r="E1490" t="s">
        <v>4566</v>
      </c>
      <c r="F1490" t="s">
        <v>872</v>
      </c>
      <c r="G1490" s="4" t="s">
        <v>5420</v>
      </c>
      <c r="H1490" t="s">
        <v>4567</v>
      </c>
      <c r="I1490" t="s">
        <v>93</v>
      </c>
      <c r="J1490" s="4" t="s">
        <v>68</v>
      </c>
      <c r="K1490" t="s">
        <v>918</v>
      </c>
      <c r="L1490">
        <v>2</v>
      </c>
      <c r="M1490" t="s">
        <v>647</v>
      </c>
      <c r="N1490" t="s">
        <v>838</v>
      </c>
      <c r="O1490" t="s">
        <v>650</v>
      </c>
      <c r="P1490" s="2" t="str">
        <f t="shared" si="69"/>
        <v>29/09/2025 to 02/10/2025</v>
      </c>
      <c r="Q1490" s="3">
        <v>45931</v>
      </c>
      <c r="R1490" t="str">
        <f t="shared" si="70"/>
        <v>On-Time</v>
      </c>
      <c r="S1490" t="s">
        <v>834</v>
      </c>
      <c r="T1490">
        <v>24</v>
      </c>
      <c r="U1490" t="s">
        <v>65</v>
      </c>
      <c r="V1490" t="s">
        <v>80</v>
      </c>
      <c r="W1490" t="str">
        <f t="shared" ca="1" si="71"/>
        <v>At Risk</v>
      </c>
    </row>
    <row r="1491" spans="1:23" x14ac:dyDescent="0.2">
      <c r="A1491">
        <v>1655</v>
      </c>
      <c r="B1491" t="s">
        <v>4633</v>
      </c>
      <c r="C1491" t="s">
        <v>4634</v>
      </c>
      <c r="D1491" s="1" t="s">
        <v>647</v>
      </c>
      <c r="E1491" t="s">
        <v>4635</v>
      </c>
      <c r="F1491" t="s">
        <v>1139</v>
      </c>
      <c r="G1491" s="4" t="s">
        <v>5426</v>
      </c>
      <c r="H1491" t="s">
        <v>4636</v>
      </c>
      <c r="I1491" t="s">
        <v>59</v>
      </c>
      <c r="J1491" s="4" t="s">
        <v>68</v>
      </c>
      <c r="K1491" t="s">
        <v>1073</v>
      </c>
      <c r="L1491">
        <v>2</v>
      </c>
      <c r="M1491" t="s">
        <v>650</v>
      </c>
      <c r="N1491" t="s">
        <v>651</v>
      </c>
      <c r="O1491" t="s">
        <v>653</v>
      </c>
      <c r="P1491" s="2" t="str">
        <f t="shared" si="69"/>
        <v>30/09/2025 to 03/10/2025</v>
      </c>
      <c r="Q1491" s="3">
        <v>45935</v>
      </c>
      <c r="R1491" t="str">
        <f t="shared" si="70"/>
        <v>Late</v>
      </c>
      <c r="S1491" t="s">
        <v>954</v>
      </c>
      <c r="T1491">
        <v>19</v>
      </c>
      <c r="U1491" t="s">
        <v>79</v>
      </c>
      <c r="V1491" t="s">
        <v>66</v>
      </c>
      <c r="W1491" t="str">
        <f t="shared" ca="1" si="71"/>
        <v>At Risk</v>
      </c>
    </row>
    <row r="1492" spans="1:23" x14ac:dyDescent="0.2">
      <c r="A1492">
        <v>1656</v>
      </c>
      <c r="B1492" t="s">
        <v>4633</v>
      </c>
      <c r="C1492" t="s">
        <v>4637</v>
      </c>
      <c r="D1492" s="1" t="s">
        <v>647</v>
      </c>
      <c r="E1492" t="s">
        <v>4635</v>
      </c>
      <c r="F1492" t="s">
        <v>1139</v>
      </c>
      <c r="G1492" s="4" t="s">
        <v>5427</v>
      </c>
      <c r="H1492" t="s">
        <v>4636</v>
      </c>
      <c r="I1492" t="s">
        <v>59</v>
      </c>
      <c r="J1492" s="4" t="s">
        <v>74</v>
      </c>
      <c r="K1492" t="s">
        <v>4638</v>
      </c>
      <c r="L1492">
        <v>3</v>
      </c>
      <c r="M1492" t="s">
        <v>650</v>
      </c>
      <c r="N1492" t="s">
        <v>653</v>
      </c>
      <c r="O1492" t="s">
        <v>650</v>
      </c>
      <c r="P1492" s="2" t="str">
        <f t="shared" si="69"/>
        <v>30/09/2025 to 03/10/2025</v>
      </c>
      <c r="Q1492" s="3">
        <v>45928</v>
      </c>
      <c r="R1492" t="str">
        <f t="shared" si="70"/>
        <v>Late</v>
      </c>
      <c r="S1492" t="s">
        <v>541</v>
      </c>
      <c r="T1492">
        <v>30</v>
      </c>
      <c r="U1492" t="s">
        <v>65</v>
      </c>
      <c r="V1492" t="s">
        <v>80</v>
      </c>
      <c r="W1492" t="str">
        <f t="shared" ca="1" si="71"/>
        <v>At Risk</v>
      </c>
    </row>
    <row r="1493" spans="1:23" x14ac:dyDescent="0.2">
      <c r="A1493">
        <v>1657</v>
      </c>
      <c r="B1493" t="s">
        <v>4633</v>
      </c>
      <c r="C1493" t="s">
        <v>4639</v>
      </c>
      <c r="D1493" s="1" t="s">
        <v>647</v>
      </c>
      <c r="E1493" t="s">
        <v>4635</v>
      </c>
      <c r="F1493" t="s">
        <v>1139</v>
      </c>
      <c r="G1493" s="4" t="s">
        <v>5424</v>
      </c>
      <c r="H1493" t="s">
        <v>4636</v>
      </c>
      <c r="I1493" t="s">
        <v>59</v>
      </c>
      <c r="J1493" s="4" t="s">
        <v>60</v>
      </c>
      <c r="K1493" t="s">
        <v>4640</v>
      </c>
      <c r="L1493">
        <v>4</v>
      </c>
      <c r="M1493" t="s">
        <v>838</v>
      </c>
      <c r="N1493" t="s">
        <v>651</v>
      </c>
      <c r="O1493" t="s">
        <v>651</v>
      </c>
      <c r="P1493" s="2" t="str">
        <f t="shared" si="69"/>
        <v>30/09/2025 to 03/10/2025</v>
      </c>
      <c r="Q1493" s="3">
        <v>45933</v>
      </c>
      <c r="R1493" t="str">
        <f t="shared" si="70"/>
        <v>On-Time</v>
      </c>
      <c r="S1493" t="s">
        <v>1183</v>
      </c>
      <c r="T1493">
        <v>45.5</v>
      </c>
      <c r="U1493" t="s">
        <v>79</v>
      </c>
      <c r="V1493" t="s">
        <v>66</v>
      </c>
      <c r="W1493" t="str">
        <f t="shared" ca="1" si="71"/>
        <v>At Risk</v>
      </c>
    </row>
    <row r="1494" spans="1:23" x14ac:dyDescent="0.2">
      <c r="A1494">
        <v>1658</v>
      </c>
      <c r="B1494" t="s">
        <v>4633</v>
      </c>
      <c r="C1494" t="s">
        <v>4641</v>
      </c>
      <c r="D1494" s="1" t="s">
        <v>647</v>
      </c>
      <c r="E1494" t="s">
        <v>4635</v>
      </c>
      <c r="F1494" t="s">
        <v>1139</v>
      </c>
      <c r="G1494" s="4" t="s">
        <v>5428</v>
      </c>
      <c r="H1494" t="s">
        <v>4636</v>
      </c>
      <c r="I1494" t="s">
        <v>59</v>
      </c>
      <c r="J1494" s="4" t="s">
        <v>68</v>
      </c>
      <c r="K1494" t="s">
        <v>24</v>
      </c>
      <c r="L1494">
        <v>1</v>
      </c>
      <c r="M1494" t="s">
        <v>650</v>
      </c>
      <c r="N1494" t="s">
        <v>653</v>
      </c>
      <c r="O1494" t="s">
        <v>653</v>
      </c>
      <c r="P1494" s="2" t="str">
        <f t="shared" si="69"/>
        <v>30/09/2025 to 03/10/2025</v>
      </c>
      <c r="Q1494" s="3">
        <v>45930</v>
      </c>
      <c r="R1494" t="str">
        <f t="shared" si="70"/>
        <v>On-Time</v>
      </c>
      <c r="S1494" t="s">
        <v>834</v>
      </c>
      <c r="T1494">
        <v>8</v>
      </c>
      <c r="U1494" t="s">
        <v>79</v>
      </c>
      <c r="V1494" t="s">
        <v>66</v>
      </c>
      <c r="W1494" t="str">
        <f t="shared" ca="1" si="71"/>
        <v>At Risk</v>
      </c>
    </row>
    <row r="1495" spans="1:23" x14ac:dyDescent="0.2">
      <c r="A1495">
        <v>980</v>
      </c>
      <c r="B1495" t="s">
        <v>3019</v>
      </c>
      <c r="C1495" t="s">
        <v>3020</v>
      </c>
      <c r="D1495" s="1" t="s">
        <v>838</v>
      </c>
      <c r="E1495" t="s">
        <v>3021</v>
      </c>
      <c r="F1495" t="s">
        <v>91</v>
      </c>
      <c r="G1495" s="4" t="s">
        <v>5428</v>
      </c>
      <c r="H1495" t="s">
        <v>3022</v>
      </c>
      <c r="I1495" t="s">
        <v>136</v>
      </c>
      <c r="J1495" s="4" t="s">
        <v>5417</v>
      </c>
      <c r="K1495" t="s">
        <v>28</v>
      </c>
      <c r="L1495">
        <v>1</v>
      </c>
      <c r="M1495" t="s">
        <v>651</v>
      </c>
      <c r="N1495" t="s">
        <v>903</v>
      </c>
      <c r="O1495" t="s">
        <v>903</v>
      </c>
      <c r="P1495" s="2" t="str">
        <f t="shared" si="69"/>
        <v>30/09/2025 to 03/10/2025</v>
      </c>
      <c r="Q1495" s="3">
        <v>45931</v>
      </c>
      <c r="R1495" t="str">
        <f t="shared" si="70"/>
        <v>On-Time</v>
      </c>
      <c r="S1495" t="s">
        <v>1371</v>
      </c>
      <c r="T1495">
        <v>9</v>
      </c>
      <c r="U1495" t="s">
        <v>79</v>
      </c>
      <c r="V1495" t="s">
        <v>80</v>
      </c>
      <c r="W1495" t="str">
        <f t="shared" ca="1" si="71"/>
        <v>At Risk</v>
      </c>
    </row>
    <row r="1496" spans="1:23" x14ac:dyDescent="0.2">
      <c r="A1496">
        <v>981</v>
      </c>
      <c r="B1496" t="s">
        <v>3019</v>
      </c>
      <c r="C1496" t="s">
        <v>3023</v>
      </c>
      <c r="D1496" s="1" t="s">
        <v>838</v>
      </c>
      <c r="E1496" t="s">
        <v>3021</v>
      </c>
      <c r="F1496" t="s">
        <v>91</v>
      </c>
      <c r="G1496" s="4" t="s">
        <v>5423</v>
      </c>
      <c r="H1496" t="s">
        <v>3022</v>
      </c>
      <c r="I1496" t="s">
        <v>136</v>
      </c>
      <c r="J1496" s="4" t="s">
        <v>60</v>
      </c>
      <c r="K1496" t="s">
        <v>2441</v>
      </c>
      <c r="L1496">
        <v>3</v>
      </c>
      <c r="M1496" t="s">
        <v>650</v>
      </c>
      <c r="N1496" t="s">
        <v>651</v>
      </c>
      <c r="O1496" t="s">
        <v>653</v>
      </c>
      <c r="P1496" s="2" t="str">
        <f t="shared" si="69"/>
        <v>30/09/2025 to 03/10/2025</v>
      </c>
      <c r="Q1496" s="3">
        <v>45932</v>
      </c>
      <c r="R1496" t="str">
        <f t="shared" si="70"/>
        <v>On-Time</v>
      </c>
      <c r="S1496" t="s">
        <v>1371</v>
      </c>
      <c r="T1496">
        <v>32</v>
      </c>
      <c r="U1496" t="s">
        <v>65</v>
      </c>
      <c r="V1496" t="s">
        <v>66</v>
      </c>
      <c r="W1496" t="str">
        <f t="shared" ca="1" si="71"/>
        <v>At Risk</v>
      </c>
    </row>
    <row r="1497" spans="1:23" x14ac:dyDescent="0.2">
      <c r="A1497">
        <v>982</v>
      </c>
      <c r="B1497" t="s">
        <v>3019</v>
      </c>
      <c r="C1497" t="s">
        <v>3024</v>
      </c>
      <c r="D1497" s="1" t="s">
        <v>838</v>
      </c>
      <c r="E1497" t="s">
        <v>3021</v>
      </c>
      <c r="F1497" t="s">
        <v>91</v>
      </c>
      <c r="G1497" s="4" t="s">
        <v>38</v>
      </c>
      <c r="H1497" t="s">
        <v>3022</v>
      </c>
      <c r="I1497" t="s">
        <v>136</v>
      </c>
      <c r="J1497" s="4" t="s">
        <v>68</v>
      </c>
      <c r="K1497" t="s">
        <v>3025</v>
      </c>
      <c r="L1497">
        <v>3</v>
      </c>
      <c r="M1497" t="s">
        <v>650</v>
      </c>
      <c r="N1497" t="s">
        <v>653</v>
      </c>
      <c r="O1497" t="s">
        <v>653</v>
      </c>
      <c r="P1497" s="2" t="str">
        <f t="shared" si="69"/>
        <v>30/09/2025 to 03/10/2025</v>
      </c>
      <c r="Q1497" s="3">
        <v>45934</v>
      </c>
      <c r="R1497" t="str">
        <f t="shared" si="70"/>
        <v>Late</v>
      </c>
      <c r="S1497" t="s">
        <v>954</v>
      </c>
      <c r="T1497">
        <v>26</v>
      </c>
      <c r="U1497" t="s">
        <v>79</v>
      </c>
      <c r="V1497" t="s">
        <v>80</v>
      </c>
      <c r="W1497" t="str">
        <f t="shared" ca="1" si="71"/>
        <v>At Risk</v>
      </c>
    </row>
    <row r="1498" spans="1:23" x14ac:dyDescent="0.2">
      <c r="A1498">
        <v>983</v>
      </c>
      <c r="B1498" t="s">
        <v>3019</v>
      </c>
      <c r="C1498" t="s">
        <v>3026</v>
      </c>
      <c r="D1498" s="1" t="s">
        <v>838</v>
      </c>
      <c r="E1498" t="s">
        <v>3021</v>
      </c>
      <c r="F1498" t="s">
        <v>91</v>
      </c>
      <c r="G1498" s="4" t="s">
        <v>5422</v>
      </c>
      <c r="H1498" t="s">
        <v>3022</v>
      </c>
      <c r="I1498" t="s">
        <v>136</v>
      </c>
      <c r="J1498" s="4" t="s">
        <v>68</v>
      </c>
      <c r="K1498" t="s">
        <v>24</v>
      </c>
      <c r="L1498">
        <v>1</v>
      </c>
      <c r="M1498" t="s">
        <v>650</v>
      </c>
      <c r="N1498" t="s">
        <v>653</v>
      </c>
      <c r="O1498" t="s">
        <v>653</v>
      </c>
      <c r="P1498" s="2" t="str">
        <f t="shared" si="69"/>
        <v>30/09/2025 to 03/10/2025</v>
      </c>
      <c r="Q1498" s="3">
        <v>45931</v>
      </c>
      <c r="R1498" t="str">
        <f t="shared" si="70"/>
        <v>On-Time</v>
      </c>
      <c r="S1498" t="s">
        <v>832</v>
      </c>
      <c r="T1498">
        <v>8</v>
      </c>
      <c r="U1498" t="s">
        <v>65</v>
      </c>
      <c r="V1498" t="s">
        <v>72</v>
      </c>
      <c r="W1498" t="str">
        <f t="shared" ca="1" si="71"/>
        <v>At Risk</v>
      </c>
    </row>
    <row r="1499" spans="1:23" x14ac:dyDescent="0.2">
      <c r="A1499">
        <v>1944</v>
      </c>
      <c r="B1499" t="s">
        <v>5280</v>
      </c>
      <c r="C1499" t="s">
        <v>5281</v>
      </c>
      <c r="D1499" s="1" t="s">
        <v>838</v>
      </c>
      <c r="E1499" t="s">
        <v>5282</v>
      </c>
      <c r="F1499" t="s">
        <v>607</v>
      </c>
      <c r="G1499" s="4" t="s">
        <v>5418</v>
      </c>
      <c r="H1499" t="s">
        <v>5283</v>
      </c>
      <c r="I1499" t="s">
        <v>112</v>
      </c>
      <c r="J1499" s="4" t="s">
        <v>5417</v>
      </c>
      <c r="K1499" t="s">
        <v>1213</v>
      </c>
      <c r="L1499">
        <v>2</v>
      </c>
      <c r="M1499" t="s">
        <v>651</v>
      </c>
      <c r="N1499" t="s">
        <v>651</v>
      </c>
      <c r="O1499" t="s">
        <v>903</v>
      </c>
      <c r="P1499" s="2" t="str">
        <f t="shared" si="69"/>
        <v>30/09/2025 to 03/10/2025</v>
      </c>
      <c r="Q1499" s="3">
        <v>45932</v>
      </c>
      <c r="R1499" t="str">
        <f t="shared" si="70"/>
        <v>On-Time</v>
      </c>
      <c r="S1499" t="s">
        <v>1183</v>
      </c>
      <c r="T1499">
        <v>24</v>
      </c>
      <c r="U1499" t="s">
        <v>65</v>
      </c>
      <c r="V1499" t="s">
        <v>72</v>
      </c>
      <c r="W1499" t="str">
        <f t="shared" ca="1" si="71"/>
        <v>At Risk</v>
      </c>
    </row>
    <row r="1500" spans="1:23" x14ac:dyDescent="0.2">
      <c r="A1500">
        <v>1945</v>
      </c>
      <c r="B1500" t="s">
        <v>5280</v>
      </c>
      <c r="C1500" t="s">
        <v>5284</v>
      </c>
      <c r="D1500" s="1" t="s">
        <v>838</v>
      </c>
      <c r="E1500" t="s">
        <v>5282</v>
      </c>
      <c r="F1500" t="s">
        <v>607</v>
      </c>
      <c r="G1500" s="4" t="s">
        <v>5427</v>
      </c>
      <c r="H1500" t="s">
        <v>5283</v>
      </c>
      <c r="I1500" t="s">
        <v>112</v>
      </c>
      <c r="J1500" s="4" t="s">
        <v>68</v>
      </c>
      <c r="K1500" t="s">
        <v>18</v>
      </c>
      <c r="L1500">
        <v>1</v>
      </c>
      <c r="M1500" t="s">
        <v>838</v>
      </c>
      <c r="N1500" t="s">
        <v>838</v>
      </c>
      <c r="O1500" t="s">
        <v>651</v>
      </c>
      <c r="P1500" s="2" t="str">
        <f t="shared" si="69"/>
        <v>30/09/2025 to 03/10/2025</v>
      </c>
      <c r="Q1500" s="3">
        <v>45931</v>
      </c>
      <c r="R1500" t="str">
        <f t="shared" si="70"/>
        <v>On-Time</v>
      </c>
      <c r="S1500" t="s">
        <v>834</v>
      </c>
      <c r="T1500">
        <v>8.5</v>
      </c>
      <c r="U1500" t="s">
        <v>79</v>
      </c>
      <c r="V1500" t="s">
        <v>66</v>
      </c>
      <c r="W1500" t="str">
        <f t="shared" ca="1" si="71"/>
        <v>At Risk</v>
      </c>
    </row>
    <row r="1501" spans="1:23" x14ac:dyDescent="0.2">
      <c r="A1501">
        <v>1946</v>
      </c>
      <c r="B1501" t="s">
        <v>5280</v>
      </c>
      <c r="C1501" t="s">
        <v>5285</v>
      </c>
      <c r="D1501" s="1" t="s">
        <v>838</v>
      </c>
      <c r="E1501" t="s">
        <v>5282</v>
      </c>
      <c r="F1501" t="s">
        <v>607</v>
      </c>
      <c r="G1501" s="4" t="s">
        <v>5422</v>
      </c>
      <c r="H1501" t="s">
        <v>5283</v>
      </c>
      <c r="I1501" t="s">
        <v>112</v>
      </c>
      <c r="J1501" s="4" t="s">
        <v>5417</v>
      </c>
      <c r="K1501" t="s">
        <v>5286</v>
      </c>
      <c r="L1501">
        <v>4</v>
      </c>
      <c r="M1501" t="s">
        <v>838</v>
      </c>
      <c r="N1501" t="s">
        <v>650</v>
      </c>
      <c r="O1501" t="s">
        <v>650</v>
      </c>
      <c r="P1501" s="2" t="str">
        <f t="shared" si="69"/>
        <v>30/09/2025 to 03/10/2025</v>
      </c>
      <c r="Q1501" s="3">
        <v>45929</v>
      </c>
      <c r="R1501" t="str">
        <f t="shared" si="70"/>
        <v>Late</v>
      </c>
      <c r="S1501" t="s">
        <v>540</v>
      </c>
      <c r="T1501">
        <v>36.5</v>
      </c>
      <c r="U1501" t="s">
        <v>65</v>
      </c>
      <c r="V1501" t="s">
        <v>66</v>
      </c>
      <c r="W1501" t="str">
        <f t="shared" ca="1" si="71"/>
        <v>At Risk</v>
      </c>
    </row>
    <row r="1502" spans="1:23" x14ac:dyDescent="0.2">
      <c r="A1502">
        <v>1863</v>
      </c>
      <c r="B1502" t="s">
        <v>5099</v>
      </c>
      <c r="C1502" t="s">
        <v>5100</v>
      </c>
      <c r="D1502" s="1" t="s">
        <v>651</v>
      </c>
      <c r="E1502" t="s">
        <v>5101</v>
      </c>
      <c r="F1502" t="s">
        <v>1204</v>
      </c>
      <c r="G1502" s="4" t="s">
        <v>5428</v>
      </c>
      <c r="H1502" t="s">
        <v>5102</v>
      </c>
      <c r="I1502" t="s">
        <v>112</v>
      </c>
      <c r="J1502" s="4" t="s">
        <v>5417</v>
      </c>
      <c r="K1502" t="s">
        <v>5103</v>
      </c>
      <c r="L1502">
        <v>3</v>
      </c>
      <c r="M1502" t="s">
        <v>903</v>
      </c>
      <c r="N1502" t="s">
        <v>1179</v>
      </c>
      <c r="O1502" t="s">
        <v>739</v>
      </c>
      <c r="P1502" s="2" t="str">
        <f t="shared" si="69"/>
        <v>02/10/2025 to 07/10/2025</v>
      </c>
      <c r="Q1502" s="3">
        <v>45936</v>
      </c>
      <c r="R1502" t="str">
        <f t="shared" si="70"/>
        <v>On-Time</v>
      </c>
      <c r="S1502" t="s">
        <v>744</v>
      </c>
      <c r="T1502">
        <v>29</v>
      </c>
      <c r="U1502" t="s">
        <v>65</v>
      </c>
      <c r="V1502" t="s">
        <v>80</v>
      </c>
      <c r="W1502" t="str">
        <f t="shared" ca="1" si="71"/>
        <v>At Risk</v>
      </c>
    </row>
    <row r="1503" spans="1:23" x14ac:dyDescent="0.2">
      <c r="A1503">
        <v>1451</v>
      </c>
      <c r="B1503" t="s">
        <v>4147</v>
      </c>
      <c r="C1503" t="s">
        <v>4148</v>
      </c>
      <c r="D1503" s="1" t="s">
        <v>653</v>
      </c>
      <c r="E1503" t="s">
        <v>4149</v>
      </c>
      <c r="F1503" t="s">
        <v>1785</v>
      </c>
      <c r="G1503" s="4" t="s">
        <v>38</v>
      </c>
      <c r="H1503" t="s">
        <v>425</v>
      </c>
      <c r="I1503" t="s">
        <v>59</v>
      </c>
      <c r="J1503" s="4" t="s">
        <v>68</v>
      </c>
      <c r="K1503" t="s">
        <v>1759</v>
      </c>
      <c r="L1503">
        <v>2</v>
      </c>
      <c r="M1503" t="s">
        <v>653</v>
      </c>
      <c r="N1503" t="s">
        <v>1179</v>
      </c>
      <c r="O1503" t="s">
        <v>1179</v>
      </c>
      <c r="P1503" s="2" t="str">
        <f t="shared" si="69"/>
        <v>01/10/2025 to 06/10/2025</v>
      </c>
      <c r="Q1503" s="3">
        <v>45934</v>
      </c>
      <c r="R1503" t="str">
        <f t="shared" si="70"/>
        <v>On-Time</v>
      </c>
      <c r="S1503" t="s">
        <v>1183</v>
      </c>
      <c r="T1503">
        <v>19</v>
      </c>
      <c r="U1503" t="s">
        <v>65</v>
      </c>
      <c r="V1503" t="s">
        <v>72</v>
      </c>
      <c r="W1503" t="str">
        <f t="shared" ca="1" si="71"/>
        <v>At Risk</v>
      </c>
    </row>
    <row r="1504" spans="1:23" x14ac:dyDescent="0.2">
      <c r="A1504">
        <v>814</v>
      </c>
      <c r="B1504" t="s">
        <v>2609</v>
      </c>
      <c r="C1504" t="s">
        <v>2610</v>
      </c>
      <c r="D1504" s="1" t="s">
        <v>903</v>
      </c>
      <c r="E1504" t="s">
        <v>2611</v>
      </c>
      <c r="F1504" t="s">
        <v>1204</v>
      </c>
      <c r="G1504" s="4" t="s">
        <v>5424</v>
      </c>
      <c r="H1504" t="s">
        <v>690</v>
      </c>
      <c r="I1504" t="s">
        <v>201</v>
      </c>
      <c r="J1504" s="4" t="s">
        <v>74</v>
      </c>
      <c r="K1504" t="s">
        <v>2612</v>
      </c>
      <c r="L1504">
        <v>4</v>
      </c>
      <c r="M1504" t="s">
        <v>903</v>
      </c>
      <c r="N1504" t="s">
        <v>903</v>
      </c>
      <c r="O1504" t="s">
        <v>903</v>
      </c>
      <c r="P1504" s="2" t="str">
        <f t="shared" si="69"/>
        <v>02/10/2025 to 07/10/2025</v>
      </c>
      <c r="Q1504" s="3">
        <v>45935</v>
      </c>
      <c r="R1504" t="str">
        <f t="shared" si="70"/>
        <v>On-Time</v>
      </c>
      <c r="S1504" t="s">
        <v>954</v>
      </c>
      <c r="T1504">
        <v>41.5</v>
      </c>
      <c r="U1504" t="s">
        <v>65</v>
      </c>
      <c r="V1504" t="s">
        <v>66</v>
      </c>
      <c r="W1504" t="str">
        <f t="shared" ca="1" si="71"/>
        <v>At Risk</v>
      </c>
    </row>
    <row r="1505" spans="1:23" x14ac:dyDescent="0.2">
      <c r="A1505">
        <v>815</v>
      </c>
      <c r="B1505" t="s">
        <v>2609</v>
      </c>
      <c r="C1505" t="s">
        <v>2613</v>
      </c>
      <c r="D1505" s="1" t="s">
        <v>903</v>
      </c>
      <c r="E1505" t="s">
        <v>2611</v>
      </c>
      <c r="F1505" t="s">
        <v>1204</v>
      </c>
      <c r="G1505" s="4" t="s">
        <v>5420</v>
      </c>
      <c r="H1505" t="s">
        <v>690</v>
      </c>
      <c r="I1505" t="s">
        <v>201</v>
      </c>
      <c r="J1505" s="4" t="s">
        <v>68</v>
      </c>
      <c r="K1505" t="s">
        <v>385</v>
      </c>
      <c r="L1505">
        <v>2</v>
      </c>
      <c r="M1505" t="s">
        <v>1179</v>
      </c>
      <c r="N1505" t="s">
        <v>1179</v>
      </c>
      <c r="O1505" t="s">
        <v>739</v>
      </c>
      <c r="P1505" s="2" t="str">
        <f t="shared" si="69"/>
        <v>03/10/2025 to 08/10/2025</v>
      </c>
      <c r="Q1505" s="3">
        <v>45937</v>
      </c>
      <c r="R1505" t="str">
        <f t="shared" si="70"/>
        <v>On-Time</v>
      </c>
      <c r="S1505" t="s">
        <v>958</v>
      </c>
      <c r="T1505">
        <v>18</v>
      </c>
      <c r="U1505" t="s">
        <v>79</v>
      </c>
      <c r="V1505" t="s">
        <v>66</v>
      </c>
      <c r="W1505" t="str">
        <f t="shared" ca="1" si="71"/>
        <v>At Risk</v>
      </c>
    </row>
    <row r="1506" spans="1:23" x14ac:dyDescent="0.2">
      <c r="A1506">
        <v>816</v>
      </c>
      <c r="B1506" t="s">
        <v>2609</v>
      </c>
      <c r="C1506" t="s">
        <v>2614</v>
      </c>
      <c r="D1506" s="1" t="s">
        <v>903</v>
      </c>
      <c r="E1506" t="s">
        <v>2611</v>
      </c>
      <c r="F1506" t="s">
        <v>1204</v>
      </c>
      <c r="G1506" s="4" t="s">
        <v>5418</v>
      </c>
      <c r="H1506" t="s">
        <v>690</v>
      </c>
      <c r="I1506" t="s">
        <v>201</v>
      </c>
      <c r="J1506" s="4" t="s">
        <v>68</v>
      </c>
      <c r="K1506" t="s">
        <v>2615</v>
      </c>
      <c r="L1506">
        <v>4</v>
      </c>
      <c r="M1506" t="s">
        <v>903</v>
      </c>
      <c r="N1506" t="s">
        <v>739</v>
      </c>
      <c r="O1506" t="s">
        <v>1179</v>
      </c>
      <c r="P1506" s="2" t="str">
        <f t="shared" si="69"/>
        <v>02/10/2025 to 07/10/2025</v>
      </c>
      <c r="Q1506" s="3">
        <v>45937</v>
      </c>
      <c r="R1506" t="str">
        <f t="shared" si="70"/>
        <v>On-Time</v>
      </c>
      <c r="S1506" t="s">
        <v>1838</v>
      </c>
      <c r="T1506">
        <v>36</v>
      </c>
      <c r="U1506" t="s">
        <v>79</v>
      </c>
      <c r="V1506" t="s">
        <v>80</v>
      </c>
      <c r="W1506" t="str">
        <f t="shared" ca="1" si="71"/>
        <v>At Risk</v>
      </c>
    </row>
    <row r="1507" spans="1:23" x14ac:dyDescent="0.2">
      <c r="A1507">
        <v>817</v>
      </c>
      <c r="B1507" t="s">
        <v>2609</v>
      </c>
      <c r="C1507" t="s">
        <v>2616</v>
      </c>
      <c r="D1507" s="1" t="s">
        <v>903</v>
      </c>
      <c r="E1507" t="s">
        <v>2611</v>
      </c>
      <c r="F1507" t="s">
        <v>1204</v>
      </c>
      <c r="G1507" s="4" t="s">
        <v>38</v>
      </c>
      <c r="H1507" t="s">
        <v>690</v>
      </c>
      <c r="I1507" t="s">
        <v>201</v>
      </c>
      <c r="J1507" s="4" t="s">
        <v>74</v>
      </c>
      <c r="K1507" t="s">
        <v>2617</v>
      </c>
      <c r="L1507">
        <v>4</v>
      </c>
      <c r="M1507" t="s">
        <v>903</v>
      </c>
      <c r="N1507" t="s">
        <v>903</v>
      </c>
      <c r="O1507" t="s">
        <v>739</v>
      </c>
      <c r="P1507" s="2" t="str">
        <f t="shared" si="69"/>
        <v>02/10/2025 to 07/10/2025</v>
      </c>
      <c r="Q1507" s="3">
        <v>45934</v>
      </c>
      <c r="R1507" t="str">
        <f t="shared" si="70"/>
        <v>On-Time</v>
      </c>
      <c r="S1507" t="s">
        <v>954</v>
      </c>
      <c r="T1507">
        <v>43.5</v>
      </c>
      <c r="U1507" t="s">
        <v>65</v>
      </c>
      <c r="V1507" t="s">
        <v>66</v>
      </c>
      <c r="W1507" t="str">
        <f t="shared" ca="1" si="71"/>
        <v>At Risk</v>
      </c>
    </row>
    <row r="1508" spans="1:23" x14ac:dyDescent="0.2">
      <c r="A1508">
        <v>272</v>
      </c>
      <c r="B1508" t="s">
        <v>1177</v>
      </c>
      <c r="C1508" t="s">
        <v>1178</v>
      </c>
      <c r="D1508" s="1" t="s">
        <v>1179</v>
      </c>
      <c r="E1508" t="s">
        <v>1180</v>
      </c>
      <c r="F1508" t="s">
        <v>229</v>
      </c>
      <c r="G1508" s="4" t="s">
        <v>5428</v>
      </c>
      <c r="H1508" t="s">
        <v>1181</v>
      </c>
      <c r="I1508" t="s">
        <v>136</v>
      </c>
      <c r="J1508" s="4" t="s">
        <v>60</v>
      </c>
      <c r="K1508" t="s">
        <v>1182</v>
      </c>
      <c r="L1508">
        <v>4</v>
      </c>
      <c r="M1508" t="s">
        <v>1179</v>
      </c>
      <c r="N1508" t="s">
        <v>1179</v>
      </c>
      <c r="O1508" t="s">
        <v>534</v>
      </c>
      <c r="P1508" s="2" t="str">
        <f t="shared" si="69"/>
        <v>03/10/2025 to 08/10/2025</v>
      </c>
      <c r="Q1508" s="3">
        <v>45934</v>
      </c>
      <c r="R1508" t="str">
        <f t="shared" si="70"/>
        <v>On-Time</v>
      </c>
      <c r="S1508" t="s">
        <v>1184</v>
      </c>
      <c r="T1508">
        <v>37.5</v>
      </c>
      <c r="U1508" t="s">
        <v>79</v>
      </c>
      <c r="V1508" t="s">
        <v>80</v>
      </c>
      <c r="W1508" t="str">
        <f t="shared" ca="1" si="71"/>
        <v>At Risk</v>
      </c>
    </row>
    <row r="1509" spans="1:23" x14ac:dyDescent="0.2">
      <c r="A1509">
        <v>273</v>
      </c>
      <c r="B1509" t="s">
        <v>1177</v>
      </c>
      <c r="C1509" t="s">
        <v>1185</v>
      </c>
      <c r="D1509" s="1" t="s">
        <v>1179</v>
      </c>
      <c r="E1509" t="s">
        <v>1180</v>
      </c>
      <c r="F1509" t="s">
        <v>229</v>
      </c>
      <c r="G1509" s="4" t="s">
        <v>5424</v>
      </c>
      <c r="H1509" t="s">
        <v>1181</v>
      </c>
      <c r="I1509" t="s">
        <v>136</v>
      </c>
      <c r="J1509" s="4" t="s">
        <v>60</v>
      </c>
      <c r="K1509" t="s">
        <v>18</v>
      </c>
      <c r="L1509">
        <v>1</v>
      </c>
      <c r="M1509" t="s">
        <v>739</v>
      </c>
      <c r="N1509" t="s">
        <v>539</v>
      </c>
      <c r="O1509" t="s">
        <v>739</v>
      </c>
      <c r="P1509" s="2" t="str">
        <f t="shared" si="69"/>
        <v>06/10/2025 to 09/10/2025</v>
      </c>
      <c r="Q1509" s="3">
        <v>45936</v>
      </c>
      <c r="R1509" t="str">
        <f t="shared" si="70"/>
        <v>On-Time</v>
      </c>
      <c r="S1509" t="s">
        <v>954</v>
      </c>
      <c r="T1509">
        <v>8.5</v>
      </c>
      <c r="U1509" t="s">
        <v>65</v>
      </c>
      <c r="V1509" t="s">
        <v>72</v>
      </c>
      <c r="W1509" t="str">
        <f t="shared" ca="1" si="71"/>
        <v>At Risk</v>
      </c>
    </row>
    <row r="1510" spans="1:23" x14ac:dyDescent="0.2">
      <c r="A1510">
        <v>274</v>
      </c>
      <c r="B1510" t="s">
        <v>1177</v>
      </c>
      <c r="C1510" t="s">
        <v>1186</v>
      </c>
      <c r="D1510" s="1" t="s">
        <v>1179</v>
      </c>
      <c r="E1510" t="s">
        <v>1180</v>
      </c>
      <c r="F1510" t="s">
        <v>229</v>
      </c>
      <c r="G1510" s="4" t="s">
        <v>5420</v>
      </c>
      <c r="H1510" t="s">
        <v>1181</v>
      </c>
      <c r="I1510" t="s">
        <v>136</v>
      </c>
      <c r="J1510" s="4" t="s">
        <v>60</v>
      </c>
      <c r="K1510" t="s">
        <v>1187</v>
      </c>
      <c r="L1510">
        <v>3</v>
      </c>
      <c r="M1510" t="s">
        <v>1179</v>
      </c>
      <c r="N1510" t="s">
        <v>739</v>
      </c>
      <c r="O1510" t="s">
        <v>1179</v>
      </c>
      <c r="P1510" s="2" t="str">
        <f t="shared" si="69"/>
        <v>03/10/2025 to 08/10/2025</v>
      </c>
      <c r="Q1510" s="3">
        <v>45935</v>
      </c>
      <c r="R1510" t="str">
        <f t="shared" si="70"/>
        <v>On-Time</v>
      </c>
      <c r="S1510" t="s">
        <v>958</v>
      </c>
      <c r="T1510">
        <v>27.5</v>
      </c>
      <c r="U1510" t="s">
        <v>65</v>
      </c>
      <c r="V1510" t="s">
        <v>72</v>
      </c>
      <c r="W1510" t="str">
        <f t="shared" ca="1" si="71"/>
        <v>At Risk</v>
      </c>
    </row>
    <row r="1511" spans="1:23" x14ac:dyDescent="0.2">
      <c r="A1511">
        <v>275</v>
      </c>
      <c r="B1511" t="s">
        <v>1177</v>
      </c>
      <c r="C1511" t="s">
        <v>1188</v>
      </c>
      <c r="D1511" s="1" t="s">
        <v>1179</v>
      </c>
      <c r="E1511" t="s">
        <v>1180</v>
      </c>
      <c r="F1511" t="s">
        <v>229</v>
      </c>
      <c r="G1511" s="4" t="s">
        <v>5427</v>
      </c>
      <c r="H1511" t="s">
        <v>1181</v>
      </c>
      <c r="I1511" t="s">
        <v>136</v>
      </c>
      <c r="J1511" s="4" t="s">
        <v>68</v>
      </c>
      <c r="K1511" t="s">
        <v>1189</v>
      </c>
      <c r="L1511">
        <v>3</v>
      </c>
      <c r="M1511" t="s">
        <v>1179</v>
      </c>
      <c r="N1511" t="s">
        <v>739</v>
      </c>
      <c r="O1511" t="s">
        <v>1179</v>
      </c>
      <c r="P1511" s="2" t="str">
        <f t="shared" si="69"/>
        <v>03/10/2025 to 08/10/2025</v>
      </c>
      <c r="Q1511" s="3">
        <v>45935</v>
      </c>
      <c r="R1511" t="str">
        <f t="shared" si="70"/>
        <v>On-Time</v>
      </c>
      <c r="S1511" t="s">
        <v>1184</v>
      </c>
      <c r="T1511">
        <v>29</v>
      </c>
      <c r="U1511" t="s">
        <v>79</v>
      </c>
      <c r="V1511" t="s">
        <v>80</v>
      </c>
      <c r="W1511" t="str">
        <f t="shared" ca="1" si="71"/>
        <v>At Risk</v>
      </c>
    </row>
    <row r="1512" spans="1:23" x14ac:dyDescent="0.2">
      <c r="A1512">
        <v>276</v>
      </c>
      <c r="B1512" t="s">
        <v>1177</v>
      </c>
      <c r="C1512" t="s">
        <v>1190</v>
      </c>
      <c r="D1512" s="1" t="s">
        <v>1179</v>
      </c>
      <c r="E1512" t="s">
        <v>1180</v>
      </c>
      <c r="F1512" t="s">
        <v>229</v>
      </c>
      <c r="G1512" s="4" t="s">
        <v>5427</v>
      </c>
      <c r="H1512" t="s">
        <v>1181</v>
      </c>
      <c r="I1512" t="s">
        <v>136</v>
      </c>
      <c r="J1512" s="4" t="s">
        <v>60</v>
      </c>
      <c r="K1512" t="s">
        <v>730</v>
      </c>
      <c r="L1512">
        <v>2</v>
      </c>
      <c r="M1512" t="s">
        <v>739</v>
      </c>
      <c r="N1512" t="s">
        <v>539</v>
      </c>
      <c r="O1512" t="s">
        <v>534</v>
      </c>
      <c r="P1512" s="2" t="str">
        <f t="shared" si="69"/>
        <v>06/10/2025 to 09/10/2025</v>
      </c>
      <c r="Q1512" s="3">
        <v>45936</v>
      </c>
      <c r="R1512" t="str">
        <f t="shared" si="70"/>
        <v>On-Time</v>
      </c>
      <c r="S1512" t="s">
        <v>744</v>
      </c>
      <c r="T1512">
        <v>17.5</v>
      </c>
      <c r="U1512" t="s">
        <v>79</v>
      </c>
      <c r="V1512" t="s">
        <v>72</v>
      </c>
      <c r="W1512" t="str">
        <f t="shared" ca="1" si="71"/>
        <v>At Risk</v>
      </c>
    </row>
    <row r="1513" spans="1:23" x14ac:dyDescent="0.2">
      <c r="A1513">
        <v>759</v>
      </c>
      <c r="B1513" t="s">
        <v>2478</v>
      </c>
      <c r="C1513" t="s">
        <v>2479</v>
      </c>
      <c r="D1513" s="1" t="s">
        <v>1179</v>
      </c>
      <c r="E1513" t="s">
        <v>2480</v>
      </c>
      <c r="F1513" t="s">
        <v>110</v>
      </c>
      <c r="G1513" s="4" t="s">
        <v>5418</v>
      </c>
      <c r="H1513" t="s">
        <v>2481</v>
      </c>
      <c r="I1513" t="s">
        <v>136</v>
      </c>
      <c r="J1513" s="4" t="s">
        <v>5417</v>
      </c>
      <c r="K1513" t="s">
        <v>30</v>
      </c>
      <c r="L1513">
        <v>1</v>
      </c>
      <c r="M1513" t="s">
        <v>1179</v>
      </c>
      <c r="N1513" t="s">
        <v>1179</v>
      </c>
      <c r="O1513" t="s">
        <v>739</v>
      </c>
      <c r="P1513" s="2" t="str">
        <f t="shared" si="69"/>
        <v>03/10/2025 to 08/10/2025</v>
      </c>
      <c r="Q1513" s="3">
        <v>45938</v>
      </c>
      <c r="R1513" t="str">
        <f t="shared" si="70"/>
        <v>On-Time</v>
      </c>
      <c r="S1513" t="s">
        <v>1838</v>
      </c>
      <c r="T1513">
        <v>12</v>
      </c>
      <c r="U1513" t="s">
        <v>65</v>
      </c>
      <c r="V1513" t="s">
        <v>72</v>
      </c>
      <c r="W1513" t="str">
        <f t="shared" ca="1" si="71"/>
        <v>At Risk</v>
      </c>
    </row>
    <row r="1514" spans="1:23" x14ac:dyDescent="0.2">
      <c r="A1514">
        <v>760</v>
      </c>
      <c r="B1514" t="s">
        <v>2478</v>
      </c>
      <c r="C1514" t="s">
        <v>2482</v>
      </c>
      <c r="D1514" s="1" t="s">
        <v>1179</v>
      </c>
      <c r="E1514" t="s">
        <v>2480</v>
      </c>
      <c r="F1514" t="s">
        <v>110</v>
      </c>
      <c r="G1514" s="4" t="s">
        <v>5420</v>
      </c>
      <c r="H1514" t="s">
        <v>2481</v>
      </c>
      <c r="I1514" t="s">
        <v>136</v>
      </c>
      <c r="J1514" s="4" t="s">
        <v>60</v>
      </c>
      <c r="K1514" t="s">
        <v>2483</v>
      </c>
      <c r="L1514">
        <v>2</v>
      </c>
      <c r="M1514" t="s">
        <v>739</v>
      </c>
      <c r="N1514" t="s">
        <v>534</v>
      </c>
      <c r="O1514" t="s">
        <v>739</v>
      </c>
      <c r="P1514" s="2" t="str">
        <f t="shared" si="69"/>
        <v>06/10/2025 to 09/10/2025</v>
      </c>
      <c r="Q1514" s="3">
        <v>45935</v>
      </c>
      <c r="R1514" t="str">
        <f t="shared" si="70"/>
        <v>Late</v>
      </c>
      <c r="S1514" t="s">
        <v>958</v>
      </c>
      <c r="T1514">
        <v>18.5</v>
      </c>
      <c r="U1514" t="s">
        <v>65</v>
      </c>
      <c r="V1514" t="s">
        <v>80</v>
      </c>
      <c r="W1514" t="str">
        <f t="shared" ca="1" si="71"/>
        <v>At Risk</v>
      </c>
    </row>
    <row r="1515" spans="1:23" x14ac:dyDescent="0.2">
      <c r="A1515">
        <v>761</v>
      </c>
      <c r="B1515" t="s">
        <v>2478</v>
      </c>
      <c r="C1515" t="s">
        <v>2484</v>
      </c>
      <c r="D1515" s="1" t="s">
        <v>1179</v>
      </c>
      <c r="E1515" t="s">
        <v>2480</v>
      </c>
      <c r="F1515" t="s">
        <v>110</v>
      </c>
      <c r="G1515" s="4" t="s">
        <v>5421</v>
      </c>
      <c r="H1515" t="s">
        <v>2481</v>
      </c>
      <c r="I1515" t="s">
        <v>136</v>
      </c>
      <c r="J1515" s="4" t="s">
        <v>68</v>
      </c>
      <c r="K1515" t="s">
        <v>1788</v>
      </c>
      <c r="L1515">
        <v>2</v>
      </c>
      <c r="M1515" t="s">
        <v>739</v>
      </c>
      <c r="N1515" t="s">
        <v>739</v>
      </c>
      <c r="O1515" t="s">
        <v>534</v>
      </c>
      <c r="P1515" s="2" t="str">
        <f t="shared" si="69"/>
        <v>06/10/2025 to 09/10/2025</v>
      </c>
      <c r="Q1515" s="3">
        <v>45938</v>
      </c>
      <c r="R1515" t="str">
        <f t="shared" si="70"/>
        <v>On-Time</v>
      </c>
      <c r="S1515" t="s">
        <v>542</v>
      </c>
      <c r="T1515">
        <v>17</v>
      </c>
      <c r="U1515" t="s">
        <v>79</v>
      </c>
      <c r="V1515" t="s">
        <v>80</v>
      </c>
      <c r="W1515" t="str">
        <f t="shared" ca="1" si="71"/>
        <v>At Risk</v>
      </c>
    </row>
    <row r="1516" spans="1:23" x14ac:dyDescent="0.2">
      <c r="A1516">
        <v>857</v>
      </c>
      <c r="B1516" t="s">
        <v>2710</v>
      </c>
      <c r="C1516" t="s">
        <v>2711</v>
      </c>
      <c r="D1516" s="1" t="s">
        <v>1179</v>
      </c>
      <c r="E1516" t="s">
        <v>2712</v>
      </c>
      <c r="F1516" t="s">
        <v>668</v>
      </c>
      <c r="G1516" s="4" t="s">
        <v>5420</v>
      </c>
      <c r="H1516" t="s">
        <v>2135</v>
      </c>
      <c r="I1516" t="s">
        <v>112</v>
      </c>
      <c r="J1516" s="4" t="s">
        <v>68</v>
      </c>
      <c r="K1516" t="s">
        <v>2713</v>
      </c>
      <c r="L1516">
        <v>3</v>
      </c>
      <c r="M1516" t="s">
        <v>739</v>
      </c>
      <c r="N1516" t="s">
        <v>539</v>
      </c>
      <c r="O1516" t="s">
        <v>534</v>
      </c>
      <c r="P1516" s="2" t="str">
        <f t="shared" si="69"/>
        <v>06/10/2025 to 09/10/2025</v>
      </c>
      <c r="Q1516" s="3">
        <v>45937</v>
      </c>
      <c r="R1516" t="str">
        <f t="shared" si="70"/>
        <v>On-Time</v>
      </c>
      <c r="S1516" t="s">
        <v>958</v>
      </c>
      <c r="T1516">
        <v>30.5</v>
      </c>
      <c r="U1516" t="s">
        <v>65</v>
      </c>
      <c r="V1516" t="s">
        <v>72</v>
      </c>
      <c r="W1516" t="str">
        <f t="shared" ca="1" si="71"/>
        <v>At Risk</v>
      </c>
    </row>
    <row r="1517" spans="1:23" x14ac:dyDescent="0.2">
      <c r="A1517">
        <v>858</v>
      </c>
      <c r="B1517" t="s">
        <v>2710</v>
      </c>
      <c r="C1517" t="s">
        <v>2714</v>
      </c>
      <c r="D1517" s="1" t="s">
        <v>1179</v>
      </c>
      <c r="E1517" t="s">
        <v>2712</v>
      </c>
      <c r="F1517" t="s">
        <v>668</v>
      </c>
      <c r="G1517" s="4" t="s">
        <v>5421</v>
      </c>
      <c r="H1517" t="s">
        <v>2135</v>
      </c>
      <c r="I1517" t="s">
        <v>112</v>
      </c>
      <c r="J1517" s="4" t="s">
        <v>74</v>
      </c>
      <c r="K1517" t="s">
        <v>663</v>
      </c>
      <c r="L1517">
        <v>2</v>
      </c>
      <c r="M1517" t="s">
        <v>1179</v>
      </c>
      <c r="N1517" t="s">
        <v>739</v>
      </c>
      <c r="O1517" t="s">
        <v>534</v>
      </c>
      <c r="P1517" s="2" t="str">
        <f t="shared" si="69"/>
        <v>03/10/2025 to 08/10/2025</v>
      </c>
      <c r="Q1517" s="3">
        <v>45936</v>
      </c>
      <c r="R1517" t="str">
        <f t="shared" si="70"/>
        <v>On-Time</v>
      </c>
      <c r="S1517" t="s">
        <v>954</v>
      </c>
      <c r="T1517">
        <v>18.5</v>
      </c>
      <c r="U1517" t="s">
        <v>65</v>
      </c>
      <c r="V1517" t="s">
        <v>66</v>
      </c>
      <c r="W1517" t="str">
        <f t="shared" ca="1" si="71"/>
        <v>At Risk</v>
      </c>
    </row>
    <row r="1518" spans="1:23" x14ac:dyDescent="0.2">
      <c r="A1518">
        <v>859</v>
      </c>
      <c r="B1518" t="s">
        <v>2710</v>
      </c>
      <c r="C1518" t="s">
        <v>2715</v>
      </c>
      <c r="D1518" s="1" t="s">
        <v>1179</v>
      </c>
      <c r="E1518" t="s">
        <v>2712</v>
      </c>
      <c r="F1518" t="s">
        <v>668</v>
      </c>
      <c r="G1518" s="4" t="s">
        <v>5419</v>
      </c>
      <c r="H1518" t="s">
        <v>2135</v>
      </c>
      <c r="I1518" t="s">
        <v>112</v>
      </c>
      <c r="J1518" s="4" t="s">
        <v>74</v>
      </c>
      <c r="K1518" t="s">
        <v>2716</v>
      </c>
      <c r="L1518">
        <v>2</v>
      </c>
      <c r="M1518" t="s">
        <v>739</v>
      </c>
      <c r="N1518" t="s">
        <v>534</v>
      </c>
      <c r="O1518" t="s">
        <v>534</v>
      </c>
      <c r="P1518" s="2" t="str">
        <f t="shared" si="69"/>
        <v>06/10/2025 to 09/10/2025</v>
      </c>
      <c r="Q1518" s="3">
        <v>45934</v>
      </c>
      <c r="R1518" t="str">
        <f t="shared" si="70"/>
        <v>Late</v>
      </c>
      <c r="S1518" t="s">
        <v>954</v>
      </c>
      <c r="T1518">
        <v>16</v>
      </c>
      <c r="U1518" t="s">
        <v>79</v>
      </c>
      <c r="V1518" t="s">
        <v>72</v>
      </c>
      <c r="W1518" t="str">
        <f t="shared" ca="1" si="71"/>
        <v>At Risk</v>
      </c>
    </row>
    <row r="1519" spans="1:23" x14ac:dyDescent="0.2">
      <c r="A1519">
        <v>144</v>
      </c>
      <c r="B1519" t="s">
        <v>737</v>
      </c>
      <c r="C1519" t="s">
        <v>738</v>
      </c>
      <c r="D1519" s="1" t="s">
        <v>739</v>
      </c>
      <c r="E1519" t="s">
        <v>740</v>
      </c>
      <c r="F1519" t="s">
        <v>741</v>
      </c>
      <c r="G1519" s="4" t="s">
        <v>5427</v>
      </c>
      <c r="H1519" t="s">
        <v>742</v>
      </c>
      <c r="I1519" t="s">
        <v>136</v>
      </c>
      <c r="J1519" s="4" t="s">
        <v>68</v>
      </c>
      <c r="K1519" t="s">
        <v>743</v>
      </c>
      <c r="L1519">
        <v>4</v>
      </c>
      <c r="M1519" t="s">
        <v>739</v>
      </c>
      <c r="N1519" t="s">
        <v>539</v>
      </c>
      <c r="O1519" t="s">
        <v>534</v>
      </c>
      <c r="P1519" s="2" t="str">
        <f t="shared" si="69"/>
        <v>06/10/2025 to 09/10/2025</v>
      </c>
      <c r="Q1519" s="3">
        <v>45938</v>
      </c>
      <c r="R1519" t="str">
        <f t="shared" si="70"/>
        <v>On-Time</v>
      </c>
      <c r="S1519" t="s">
        <v>542</v>
      </c>
      <c r="T1519">
        <v>41</v>
      </c>
      <c r="U1519" t="s">
        <v>79</v>
      </c>
      <c r="V1519" t="s">
        <v>72</v>
      </c>
      <c r="W1519" t="str">
        <f t="shared" ca="1" si="71"/>
        <v>At Risk</v>
      </c>
    </row>
    <row r="1520" spans="1:23" x14ac:dyDescent="0.2">
      <c r="A1520">
        <v>343</v>
      </c>
      <c r="B1520" t="s">
        <v>1382</v>
      </c>
      <c r="C1520" t="s">
        <v>1383</v>
      </c>
      <c r="D1520" s="1" t="s">
        <v>739</v>
      </c>
      <c r="E1520" t="s">
        <v>1384</v>
      </c>
      <c r="F1520" t="s">
        <v>179</v>
      </c>
      <c r="G1520" s="4" t="s">
        <v>5425</v>
      </c>
      <c r="H1520" t="s">
        <v>1385</v>
      </c>
      <c r="I1520" t="s">
        <v>136</v>
      </c>
      <c r="J1520" s="4" t="s">
        <v>60</v>
      </c>
      <c r="K1520" t="s">
        <v>1386</v>
      </c>
      <c r="L1520">
        <v>4</v>
      </c>
      <c r="M1520" t="s">
        <v>534</v>
      </c>
      <c r="N1520" t="s">
        <v>534</v>
      </c>
      <c r="O1520" t="s">
        <v>541</v>
      </c>
      <c r="P1520" s="2" t="str">
        <f t="shared" si="69"/>
        <v>07/10/2025 to 10/10/2025</v>
      </c>
      <c r="Q1520" s="3">
        <v>45941</v>
      </c>
      <c r="R1520" t="str">
        <f t="shared" si="70"/>
        <v>Late</v>
      </c>
      <c r="S1520" t="s">
        <v>467</v>
      </c>
      <c r="T1520">
        <v>40</v>
      </c>
      <c r="U1520" t="s">
        <v>65</v>
      </c>
      <c r="V1520" t="s">
        <v>66</v>
      </c>
      <c r="W1520" t="str">
        <f t="shared" ca="1" si="71"/>
        <v>At Risk</v>
      </c>
    </row>
    <row r="1521" spans="1:23" x14ac:dyDescent="0.2">
      <c r="A1521">
        <v>344</v>
      </c>
      <c r="B1521" t="s">
        <v>1382</v>
      </c>
      <c r="C1521" t="s">
        <v>1387</v>
      </c>
      <c r="D1521" s="1" t="s">
        <v>739</v>
      </c>
      <c r="E1521" t="s">
        <v>1384</v>
      </c>
      <c r="F1521" t="s">
        <v>179</v>
      </c>
      <c r="G1521" s="4" t="s">
        <v>5419</v>
      </c>
      <c r="H1521" t="s">
        <v>1385</v>
      </c>
      <c r="I1521" t="s">
        <v>136</v>
      </c>
      <c r="J1521" s="4" t="s">
        <v>74</v>
      </c>
      <c r="K1521" t="s">
        <v>6</v>
      </c>
      <c r="L1521">
        <v>1</v>
      </c>
      <c r="M1521" t="s">
        <v>534</v>
      </c>
      <c r="N1521" t="s">
        <v>539</v>
      </c>
      <c r="O1521" t="s">
        <v>539</v>
      </c>
      <c r="P1521" s="2" t="str">
        <f t="shared" si="69"/>
        <v>07/10/2025 to 10/10/2025</v>
      </c>
      <c r="Q1521" s="3">
        <v>45936</v>
      </c>
      <c r="R1521" t="str">
        <f t="shared" si="70"/>
        <v>Late</v>
      </c>
      <c r="S1521" t="s">
        <v>958</v>
      </c>
      <c r="T1521">
        <v>7.5</v>
      </c>
      <c r="U1521" t="s">
        <v>65</v>
      </c>
      <c r="V1521" t="s">
        <v>80</v>
      </c>
      <c r="W1521" t="str">
        <f t="shared" ca="1" si="71"/>
        <v>At Risk</v>
      </c>
    </row>
    <row r="1522" spans="1:23" x14ac:dyDescent="0.2">
      <c r="A1522">
        <v>345</v>
      </c>
      <c r="B1522" t="s">
        <v>1382</v>
      </c>
      <c r="C1522" t="s">
        <v>1388</v>
      </c>
      <c r="D1522" s="1" t="s">
        <v>739</v>
      </c>
      <c r="E1522" t="s">
        <v>1384</v>
      </c>
      <c r="F1522" t="s">
        <v>179</v>
      </c>
      <c r="G1522" s="4" t="s">
        <v>5418</v>
      </c>
      <c r="H1522" t="s">
        <v>1385</v>
      </c>
      <c r="I1522" t="s">
        <v>136</v>
      </c>
      <c r="J1522" s="4" t="s">
        <v>68</v>
      </c>
      <c r="K1522" t="s">
        <v>1356</v>
      </c>
      <c r="L1522">
        <v>2</v>
      </c>
      <c r="M1522" t="s">
        <v>534</v>
      </c>
      <c r="N1522" t="s">
        <v>541</v>
      </c>
      <c r="O1522" t="s">
        <v>541</v>
      </c>
      <c r="P1522" s="2" t="str">
        <f t="shared" si="69"/>
        <v>07/10/2025 to 10/10/2025</v>
      </c>
      <c r="Q1522" s="3">
        <v>45936</v>
      </c>
      <c r="R1522" t="str">
        <f t="shared" si="70"/>
        <v>Late</v>
      </c>
      <c r="S1522" t="s">
        <v>954</v>
      </c>
      <c r="T1522">
        <v>18.5</v>
      </c>
      <c r="U1522" t="s">
        <v>65</v>
      </c>
      <c r="V1522" t="s">
        <v>80</v>
      </c>
      <c r="W1522" t="str">
        <f t="shared" ca="1" si="71"/>
        <v>At Risk</v>
      </c>
    </row>
    <row r="1523" spans="1:23" x14ac:dyDescent="0.2">
      <c r="A1523">
        <v>1479</v>
      </c>
      <c r="B1523" t="s">
        <v>4219</v>
      </c>
      <c r="C1523" t="s">
        <v>4220</v>
      </c>
      <c r="D1523" s="1" t="s">
        <v>739</v>
      </c>
      <c r="E1523" t="s">
        <v>4221</v>
      </c>
      <c r="F1523" t="s">
        <v>546</v>
      </c>
      <c r="G1523" s="4" t="s">
        <v>5428</v>
      </c>
      <c r="H1523" t="s">
        <v>4222</v>
      </c>
      <c r="I1523" t="s">
        <v>112</v>
      </c>
      <c r="J1523" s="4" t="s">
        <v>74</v>
      </c>
      <c r="K1523" t="s">
        <v>18</v>
      </c>
      <c r="L1523">
        <v>1</v>
      </c>
      <c r="M1523" t="s">
        <v>739</v>
      </c>
      <c r="N1523" t="s">
        <v>534</v>
      </c>
      <c r="O1523" t="s">
        <v>539</v>
      </c>
      <c r="P1523" s="2" t="str">
        <f t="shared" si="69"/>
        <v>06/10/2025 to 09/10/2025</v>
      </c>
      <c r="Q1523" s="3">
        <v>45940</v>
      </c>
      <c r="R1523" t="str">
        <f t="shared" si="70"/>
        <v>Late</v>
      </c>
      <c r="S1523" t="s">
        <v>477</v>
      </c>
      <c r="T1523">
        <v>8.5</v>
      </c>
      <c r="U1523" t="s">
        <v>79</v>
      </c>
      <c r="V1523" t="s">
        <v>72</v>
      </c>
      <c r="W1523" t="str">
        <f t="shared" ca="1" si="71"/>
        <v>At Risk</v>
      </c>
    </row>
    <row r="1524" spans="1:23" x14ac:dyDescent="0.2">
      <c r="A1524">
        <v>1480</v>
      </c>
      <c r="B1524" t="s">
        <v>4219</v>
      </c>
      <c r="C1524" t="s">
        <v>4223</v>
      </c>
      <c r="D1524" s="1" t="s">
        <v>739</v>
      </c>
      <c r="E1524" t="s">
        <v>4221</v>
      </c>
      <c r="F1524" t="s">
        <v>546</v>
      </c>
      <c r="G1524" s="4" t="s">
        <v>5425</v>
      </c>
      <c r="H1524" t="s">
        <v>4222</v>
      </c>
      <c r="I1524" t="s">
        <v>112</v>
      </c>
      <c r="J1524" s="4" t="s">
        <v>60</v>
      </c>
      <c r="K1524" t="s">
        <v>4224</v>
      </c>
      <c r="L1524">
        <v>3</v>
      </c>
      <c r="M1524" t="s">
        <v>739</v>
      </c>
      <c r="N1524" t="s">
        <v>534</v>
      </c>
      <c r="O1524" t="s">
        <v>534</v>
      </c>
      <c r="P1524" s="2" t="str">
        <f t="shared" si="69"/>
        <v>06/10/2025 to 09/10/2025</v>
      </c>
      <c r="Q1524" s="3">
        <v>45938</v>
      </c>
      <c r="R1524" t="str">
        <f t="shared" si="70"/>
        <v>On-Time</v>
      </c>
      <c r="S1524" t="s">
        <v>744</v>
      </c>
      <c r="T1524">
        <v>32</v>
      </c>
      <c r="U1524" t="s">
        <v>65</v>
      </c>
      <c r="V1524" t="s">
        <v>66</v>
      </c>
      <c r="W1524" t="str">
        <f t="shared" ca="1" si="71"/>
        <v>At Risk</v>
      </c>
    </row>
    <row r="1525" spans="1:23" x14ac:dyDescent="0.2">
      <c r="A1525">
        <v>1481</v>
      </c>
      <c r="B1525" t="s">
        <v>4219</v>
      </c>
      <c r="C1525" t="s">
        <v>4225</v>
      </c>
      <c r="D1525" s="1" t="s">
        <v>739</v>
      </c>
      <c r="E1525" t="s">
        <v>4221</v>
      </c>
      <c r="F1525" t="s">
        <v>546</v>
      </c>
      <c r="G1525" s="4" t="s">
        <v>5425</v>
      </c>
      <c r="H1525" t="s">
        <v>4222</v>
      </c>
      <c r="I1525" t="s">
        <v>112</v>
      </c>
      <c r="J1525" s="4" t="s">
        <v>68</v>
      </c>
      <c r="K1525" t="s">
        <v>4226</v>
      </c>
      <c r="L1525">
        <v>4</v>
      </c>
      <c r="M1525" t="s">
        <v>739</v>
      </c>
      <c r="N1525" t="s">
        <v>539</v>
      </c>
      <c r="O1525" t="s">
        <v>534</v>
      </c>
      <c r="P1525" s="2" t="str">
        <f t="shared" si="69"/>
        <v>06/10/2025 to 09/10/2025</v>
      </c>
      <c r="Q1525" s="3">
        <v>45935</v>
      </c>
      <c r="R1525" t="str">
        <f t="shared" si="70"/>
        <v>Late</v>
      </c>
      <c r="S1525" t="s">
        <v>958</v>
      </c>
      <c r="T1525">
        <v>38</v>
      </c>
      <c r="U1525" t="s">
        <v>65</v>
      </c>
      <c r="V1525" t="s">
        <v>80</v>
      </c>
      <c r="W1525" t="str">
        <f t="shared" ca="1" si="71"/>
        <v>At Risk</v>
      </c>
    </row>
    <row r="1526" spans="1:23" x14ac:dyDescent="0.2">
      <c r="A1526">
        <v>1482</v>
      </c>
      <c r="B1526" t="s">
        <v>4219</v>
      </c>
      <c r="C1526" t="s">
        <v>4227</v>
      </c>
      <c r="D1526" s="1" t="s">
        <v>739</v>
      </c>
      <c r="E1526" t="s">
        <v>4221</v>
      </c>
      <c r="F1526" t="s">
        <v>546</v>
      </c>
      <c r="G1526" s="4" t="s">
        <v>5422</v>
      </c>
      <c r="H1526" t="s">
        <v>4222</v>
      </c>
      <c r="I1526" t="s">
        <v>112</v>
      </c>
      <c r="J1526" s="4" t="s">
        <v>68</v>
      </c>
      <c r="K1526" t="s">
        <v>4228</v>
      </c>
      <c r="L1526">
        <v>3</v>
      </c>
      <c r="M1526" t="s">
        <v>739</v>
      </c>
      <c r="N1526" t="s">
        <v>739</v>
      </c>
      <c r="O1526" t="s">
        <v>539</v>
      </c>
      <c r="P1526" s="2" t="str">
        <f t="shared" si="69"/>
        <v>06/10/2025 to 09/10/2025</v>
      </c>
      <c r="Q1526" s="3">
        <v>45937</v>
      </c>
      <c r="R1526" t="str">
        <f t="shared" si="70"/>
        <v>On-Time</v>
      </c>
      <c r="S1526" t="s">
        <v>1838</v>
      </c>
      <c r="T1526">
        <v>30</v>
      </c>
      <c r="U1526" t="s">
        <v>79</v>
      </c>
      <c r="V1526" t="s">
        <v>72</v>
      </c>
      <c r="W1526" t="str">
        <f t="shared" ca="1" si="71"/>
        <v>At Risk</v>
      </c>
    </row>
    <row r="1527" spans="1:23" x14ac:dyDescent="0.2">
      <c r="A1527">
        <v>98</v>
      </c>
      <c r="B1527" t="s">
        <v>532</v>
      </c>
      <c r="C1527" t="s">
        <v>533</v>
      </c>
      <c r="D1527" s="1" t="s">
        <v>534</v>
      </c>
      <c r="E1527" t="s">
        <v>535</v>
      </c>
      <c r="F1527" t="s">
        <v>536</v>
      </c>
      <c r="G1527" s="4" t="s">
        <v>5427</v>
      </c>
      <c r="H1527" t="s">
        <v>537</v>
      </c>
      <c r="I1527" t="s">
        <v>136</v>
      </c>
      <c r="J1527" s="4" t="s">
        <v>74</v>
      </c>
      <c r="K1527" t="s">
        <v>538</v>
      </c>
      <c r="L1527">
        <v>4</v>
      </c>
      <c r="M1527" t="s">
        <v>539</v>
      </c>
      <c r="N1527" t="s">
        <v>540</v>
      </c>
      <c r="O1527" t="s">
        <v>541</v>
      </c>
      <c r="P1527" s="2" t="str">
        <f t="shared" si="69"/>
        <v>07/10/2025 to 10/10/2025</v>
      </c>
      <c r="Q1527" s="3">
        <v>45940</v>
      </c>
      <c r="R1527" t="str">
        <f t="shared" si="70"/>
        <v>On-Time</v>
      </c>
      <c r="S1527" t="s">
        <v>542</v>
      </c>
      <c r="T1527">
        <v>42</v>
      </c>
      <c r="U1527" t="s">
        <v>79</v>
      </c>
      <c r="V1527" t="s">
        <v>80</v>
      </c>
      <c r="W1527" t="str">
        <f t="shared" ca="1" si="71"/>
        <v>At Risk</v>
      </c>
    </row>
    <row r="1528" spans="1:23" x14ac:dyDescent="0.2">
      <c r="A1528">
        <v>1452</v>
      </c>
      <c r="B1528" t="s">
        <v>4150</v>
      </c>
      <c r="C1528" t="s">
        <v>4151</v>
      </c>
      <c r="D1528" s="1" t="s">
        <v>534</v>
      </c>
      <c r="E1528" t="s">
        <v>4152</v>
      </c>
      <c r="F1528" t="s">
        <v>1756</v>
      </c>
      <c r="G1528" s="4" t="s">
        <v>5421</v>
      </c>
      <c r="H1528" t="s">
        <v>1160</v>
      </c>
      <c r="I1528" t="s">
        <v>201</v>
      </c>
      <c r="J1528" s="4" t="s">
        <v>68</v>
      </c>
      <c r="K1528" t="s">
        <v>4153</v>
      </c>
      <c r="L1528">
        <v>4</v>
      </c>
      <c r="M1528" t="s">
        <v>541</v>
      </c>
      <c r="N1528" t="s">
        <v>540</v>
      </c>
      <c r="O1528" t="s">
        <v>831</v>
      </c>
      <c r="P1528" s="2" t="str">
        <f t="shared" si="69"/>
        <v>07/10/2025 to 10/10/2025</v>
      </c>
      <c r="Q1528" s="3">
        <v>45941</v>
      </c>
      <c r="R1528" t="str">
        <f t="shared" si="70"/>
        <v>Late</v>
      </c>
      <c r="S1528" t="s">
        <v>467</v>
      </c>
      <c r="T1528">
        <v>39</v>
      </c>
      <c r="U1528" t="s">
        <v>65</v>
      </c>
      <c r="V1528" t="s">
        <v>66</v>
      </c>
      <c r="W1528" t="str">
        <f t="shared" ca="1" si="71"/>
        <v>At Risk</v>
      </c>
    </row>
    <row r="1529" spans="1:23" x14ac:dyDescent="0.2">
      <c r="A1529">
        <v>1453</v>
      </c>
      <c r="B1529" t="s">
        <v>4150</v>
      </c>
      <c r="C1529" t="s">
        <v>4154</v>
      </c>
      <c r="D1529" s="1" t="s">
        <v>534</v>
      </c>
      <c r="E1529" t="s">
        <v>4152</v>
      </c>
      <c r="F1529" t="s">
        <v>1756</v>
      </c>
      <c r="G1529" s="4" t="s">
        <v>5428</v>
      </c>
      <c r="H1529" t="s">
        <v>1160</v>
      </c>
      <c r="I1529" t="s">
        <v>201</v>
      </c>
      <c r="J1529" s="4" t="s">
        <v>5417</v>
      </c>
      <c r="K1529" t="s">
        <v>4155</v>
      </c>
      <c r="L1529">
        <v>3</v>
      </c>
      <c r="M1529" t="s">
        <v>539</v>
      </c>
      <c r="N1529" t="s">
        <v>539</v>
      </c>
      <c r="O1529" t="s">
        <v>539</v>
      </c>
      <c r="P1529" s="2" t="str">
        <f t="shared" si="69"/>
        <v>07/10/2025 to 10/10/2025</v>
      </c>
      <c r="Q1529" s="3">
        <v>45939</v>
      </c>
      <c r="R1529" t="str">
        <f t="shared" si="70"/>
        <v>On-Time</v>
      </c>
      <c r="S1529" t="s">
        <v>542</v>
      </c>
      <c r="T1529">
        <v>32.5</v>
      </c>
      <c r="U1529" t="s">
        <v>79</v>
      </c>
      <c r="V1529" t="s">
        <v>80</v>
      </c>
      <c r="W1529" t="str">
        <f t="shared" ca="1" si="71"/>
        <v>At Risk</v>
      </c>
    </row>
    <row r="1530" spans="1:23" x14ac:dyDescent="0.2">
      <c r="A1530">
        <v>1454</v>
      </c>
      <c r="B1530" t="s">
        <v>4150</v>
      </c>
      <c r="C1530" t="s">
        <v>4156</v>
      </c>
      <c r="D1530" s="1" t="s">
        <v>534</v>
      </c>
      <c r="E1530" t="s">
        <v>4152</v>
      </c>
      <c r="F1530" t="s">
        <v>1756</v>
      </c>
      <c r="G1530" s="4" t="s">
        <v>38</v>
      </c>
      <c r="H1530" t="s">
        <v>1160</v>
      </c>
      <c r="I1530" t="s">
        <v>201</v>
      </c>
      <c r="J1530" s="4" t="s">
        <v>60</v>
      </c>
      <c r="K1530" t="s">
        <v>4157</v>
      </c>
      <c r="L1530">
        <v>4</v>
      </c>
      <c r="M1530" t="s">
        <v>539</v>
      </c>
      <c r="N1530" t="s">
        <v>540</v>
      </c>
      <c r="O1530" t="s">
        <v>540</v>
      </c>
      <c r="P1530" s="2" t="str">
        <f t="shared" si="69"/>
        <v>07/10/2025 to 10/10/2025</v>
      </c>
      <c r="Q1530" s="3">
        <v>45942</v>
      </c>
      <c r="R1530" t="str">
        <f t="shared" si="70"/>
        <v>Late</v>
      </c>
      <c r="S1530" t="s">
        <v>471</v>
      </c>
      <c r="T1530">
        <v>34</v>
      </c>
      <c r="U1530" t="s">
        <v>79</v>
      </c>
      <c r="V1530" t="s">
        <v>66</v>
      </c>
      <c r="W1530" t="str">
        <f t="shared" ca="1" si="71"/>
        <v>At Risk</v>
      </c>
    </row>
    <row r="1531" spans="1:23" x14ac:dyDescent="0.2">
      <c r="A1531">
        <v>743</v>
      </c>
      <c r="B1531" t="s">
        <v>2435</v>
      </c>
      <c r="C1531" t="s">
        <v>2436</v>
      </c>
      <c r="D1531" s="1" t="s">
        <v>539</v>
      </c>
      <c r="E1531" t="s">
        <v>2437</v>
      </c>
      <c r="F1531" t="s">
        <v>626</v>
      </c>
      <c r="G1531" s="4" t="s">
        <v>5422</v>
      </c>
      <c r="H1531" t="s">
        <v>2438</v>
      </c>
      <c r="I1531" t="s">
        <v>112</v>
      </c>
      <c r="J1531" s="4" t="s">
        <v>60</v>
      </c>
      <c r="K1531" t="s">
        <v>2439</v>
      </c>
      <c r="L1531">
        <v>3</v>
      </c>
      <c r="M1531" t="s">
        <v>541</v>
      </c>
      <c r="N1531" t="s">
        <v>541</v>
      </c>
      <c r="O1531" t="s">
        <v>831</v>
      </c>
      <c r="P1531" s="2" t="str">
        <f t="shared" si="69"/>
        <v>07/10/2025 to 10/10/2025</v>
      </c>
      <c r="Q1531" s="3">
        <v>45938</v>
      </c>
      <c r="R1531" t="str">
        <f t="shared" si="70"/>
        <v>On-Time</v>
      </c>
      <c r="S1531" t="s">
        <v>1838</v>
      </c>
      <c r="T1531">
        <v>26.5</v>
      </c>
      <c r="U1531" t="s">
        <v>79</v>
      </c>
      <c r="V1531" t="s">
        <v>66</v>
      </c>
      <c r="W1531" t="str">
        <f t="shared" ca="1" si="71"/>
        <v>At Risk</v>
      </c>
    </row>
    <row r="1532" spans="1:23" x14ac:dyDescent="0.2">
      <c r="A1532">
        <v>744</v>
      </c>
      <c r="B1532" t="s">
        <v>2435</v>
      </c>
      <c r="C1532" t="s">
        <v>2440</v>
      </c>
      <c r="D1532" s="1" t="s">
        <v>539</v>
      </c>
      <c r="E1532" t="s">
        <v>2437</v>
      </c>
      <c r="F1532" t="s">
        <v>626</v>
      </c>
      <c r="G1532" s="4" t="s">
        <v>5426</v>
      </c>
      <c r="H1532" t="s">
        <v>2438</v>
      </c>
      <c r="I1532" t="s">
        <v>112</v>
      </c>
      <c r="J1532" s="4" t="s">
        <v>60</v>
      </c>
      <c r="K1532" t="s">
        <v>2441</v>
      </c>
      <c r="L1532">
        <v>3</v>
      </c>
      <c r="M1532" t="s">
        <v>539</v>
      </c>
      <c r="N1532" t="s">
        <v>540</v>
      </c>
      <c r="O1532" t="s">
        <v>539</v>
      </c>
      <c r="P1532" s="2" t="str">
        <f t="shared" si="69"/>
        <v>07/10/2025 to 10/10/2025</v>
      </c>
      <c r="Q1532" s="3">
        <v>45936</v>
      </c>
      <c r="R1532" t="str">
        <f t="shared" si="70"/>
        <v>Late</v>
      </c>
      <c r="S1532" t="s">
        <v>958</v>
      </c>
      <c r="T1532">
        <v>32</v>
      </c>
      <c r="U1532" t="s">
        <v>79</v>
      </c>
      <c r="V1532" t="s">
        <v>72</v>
      </c>
      <c r="W1532" t="str">
        <f t="shared" ca="1" si="71"/>
        <v>At Risk</v>
      </c>
    </row>
    <row r="1533" spans="1:23" x14ac:dyDescent="0.2">
      <c r="A1533">
        <v>745</v>
      </c>
      <c r="B1533" t="s">
        <v>2435</v>
      </c>
      <c r="C1533" t="s">
        <v>2442</v>
      </c>
      <c r="D1533" s="1" t="s">
        <v>539</v>
      </c>
      <c r="E1533" t="s">
        <v>2437</v>
      </c>
      <c r="F1533" t="s">
        <v>626</v>
      </c>
      <c r="G1533" s="4" t="s">
        <v>5424</v>
      </c>
      <c r="H1533" t="s">
        <v>2438</v>
      </c>
      <c r="I1533" t="s">
        <v>112</v>
      </c>
      <c r="J1533" s="4" t="s">
        <v>68</v>
      </c>
      <c r="K1533" t="s">
        <v>1258</v>
      </c>
      <c r="L1533">
        <v>2</v>
      </c>
      <c r="M1533" t="s">
        <v>539</v>
      </c>
      <c r="N1533" t="s">
        <v>539</v>
      </c>
      <c r="O1533" t="s">
        <v>539</v>
      </c>
      <c r="P1533" s="2" t="str">
        <f t="shared" si="69"/>
        <v>07/10/2025 to 10/10/2025</v>
      </c>
      <c r="Q1533" s="3">
        <v>45936</v>
      </c>
      <c r="R1533" t="str">
        <f t="shared" si="70"/>
        <v>Late</v>
      </c>
      <c r="S1533" t="s">
        <v>954</v>
      </c>
      <c r="T1533">
        <v>19</v>
      </c>
      <c r="U1533" t="s">
        <v>79</v>
      </c>
      <c r="V1533" t="s">
        <v>72</v>
      </c>
      <c r="W1533" t="str">
        <f t="shared" ca="1" si="71"/>
        <v>At Risk</v>
      </c>
    </row>
    <row r="1534" spans="1:23" x14ac:dyDescent="0.2">
      <c r="A1534">
        <v>991</v>
      </c>
      <c r="B1534" t="s">
        <v>3043</v>
      </c>
      <c r="C1534" t="s">
        <v>3044</v>
      </c>
      <c r="D1534" s="1" t="s">
        <v>540</v>
      </c>
      <c r="E1534" t="s">
        <v>3045</v>
      </c>
      <c r="F1534" t="s">
        <v>159</v>
      </c>
      <c r="G1534" s="4" t="s">
        <v>5418</v>
      </c>
      <c r="H1534" t="s">
        <v>3046</v>
      </c>
      <c r="I1534" t="s">
        <v>59</v>
      </c>
      <c r="J1534" s="4" t="s">
        <v>74</v>
      </c>
      <c r="K1534" t="s">
        <v>3047</v>
      </c>
      <c r="L1534">
        <v>4</v>
      </c>
      <c r="M1534" t="s">
        <v>540</v>
      </c>
      <c r="N1534" t="s">
        <v>540</v>
      </c>
      <c r="O1534" t="s">
        <v>831</v>
      </c>
      <c r="P1534" s="2" t="str">
        <f t="shared" si="69"/>
        <v>08/10/2025 to 13/10/2025</v>
      </c>
      <c r="Q1534" s="3">
        <v>45940</v>
      </c>
      <c r="R1534" t="str">
        <f t="shared" si="70"/>
        <v>On-Time</v>
      </c>
      <c r="S1534" t="s">
        <v>467</v>
      </c>
      <c r="T1534">
        <v>43.5</v>
      </c>
      <c r="U1534" t="s">
        <v>79</v>
      </c>
      <c r="V1534" t="s">
        <v>80</v>
      </c>
      <c r="W1534" t="str">
        <f t="shared" ca="1" si="71"/>
        <v>At Risk</v>
      </c>
    </row>
    <row r="1535" spans="1:23" x14ac:dyDescent="0.2">
      <c r="A1535">
        <v>992</v>
      </c>
      <c r="B1535" t="s">
        <v>3043</v>
      </c>
      <c r="C1535" t="s">
        <v>3048</v>
      </c>
      <c r="D1535" s="1" t="s">
        <v>540</v>
      </c>
      <c r="E1535" t="s">
        <v>3045</v>
      </c>
      <c r="F1535" t="s">
        <v>159</v>
      </c>
      <c r="G1535" s="4" t="s">
        <v>5422</v>
      </c>
      <c r="H1535" t="s">
        <v>3046</v>
      </c>
      <c r="I1535" t="s">
        <v>59</v>
      </c>
      <c r="J1535" s="4" t="s">
        <v>68</v>
      </c>
      <c r="K1535" t="s">
        <v>3049</v>
      </c>
      <c r="L1535">
        <v>3</v>
      </c>
      <c r="M1535" t="s">
        <v>832</v>
      </c>
      <c r="N1535" t="s">
        <v>1371</v>
      </c>
      <c r="O1535" t="s">
        <v>1371</v>
      </c>
      <c r="P1535" s="2" t="str">
        <f t="shared" si="69"/>
        <v>10/10/2025 to 15/10/2025</v>
      </c>
      <c r="Q1535" s="3">
        <v>45941</v>
      </c>
      <c r="R1535" t="str">
        <f t="shared" si="70"/>
        <v>On-Time</v>
      </c>
      <c r="S1535" t="s">
        <v>477</v>
      </c>
      <c r="T1535">
        <v>25.5</v>
      </c>
      <c r="U1535" t="s">
        <v>79</v>
      </c>
      <c r="V1535" t="s">
        <v>80</v>
      </c>
      <c r="W1535" t="str">
        <f t="shared" ca="1" si="71"/>
        <v>At Risk</v>
      </c>
    </row>
    <row r="1536" spans="1:23" x14ac:dyDescent="0.2">
      <c r="A1536">
        <v>1771</v>
      </c>
      <c r="B1536" t="s">
        <v>4891</v>
      </c>
      <c r="C1536" t="s">
        <v>4892</v>
      </c>
      <c r="D1536" s="1" t="s">
        <v>540</v>
      </c>
      <c r="E1536" t="s">
        <v>4893</v>
      </c>
      <c r="F1536" t="s">
        <v>579</v>
      </c>
      <c r="G1536" s="4" t="s">
        <v>5427</v>
      </c>
      <c r="H1536" t="s">
        <v>4894</v>
      </c>
      <c r="I1536" t="s">
        <v>136</v>
      </c>
      <c r="J1536" s="4" t="s">
        <v>68</v>
      </c>
      <c r="K1536" t="s">
        <v>4895</v>
      </c>
      <c r="L1536">
        <v>3</v>
      </c>
      <c r="M1536" t="s">
        <v>831</v>
      </c>
      <c r="N1536" t="s">
        <v>831</v>
      </c>
      <c r="O1536" t="s">
        <v>834</v>
      </c>
      <c r="P1536" s="2" t="str">
        <f t="shared" si="69"/>
        <v>09/10/2025 to 14/10/2025</v>
      </c>
      <c r="Q1536" s="3">
        <v>45942</v>
      </c>
      <c r="R1536" t="str">
        <f t="shared" si="70"/>
        <v>On-Time</v>
      </c>
      <c r="S1536" t="s">
        <v>484</v>
      </c>
      <c r="T1536">
        <v>31</v>
      </c>
      <c r="U1536" t="s">
        <v>65</v>
      </c>
      <c r="V1536" t="s">
        <v>72</v>
      </c>
      <c r="W1536" t="str">
        <f t="shared" ca="1" si="71"/>
        <v>At Risk</v>
      </c>
    </row>
    <row r="1537" spans="1:23" x14ac:dyDescent="0.2">
      <c r="A1537">
        <v>1772</v>
      </c>
      <c r="B1537" t="s">
        <v>4891</v>
      </c>
      <c r="C1537" t="s">
        <v>4896</v>
      </c>
      <c r="D1537" s="1" t="s">
        <v>540</v>
      </c>
      <c r="E1537" t="s">
        <v>4893</v>
      </c>
      <c r="F1537" t="s">
        <v>579</v>
      </c>
      <c r="G1537" s="4" t="s">
        <v>5422</v>
      </c>
      <c r="H1537" t="s">
        <v>4894</v>
      </c>
      <c r="I1537" t="s">
        <v>136</v>
      </c>
      <c r="J1537" s="4" t="s">
        <v>68</v>
      </c>
      <c r="K1537" t="s">
        <v>6</v>
      </c>
      <c r="L1537">
        <v>1</v>
      </c>
      <c r="M1537" t="s">
        <v>831</v>
      </c>
      <c r="N1537" t="s">
        <v>834</v>
      </c>
      <c r="O1537" t="s">
        <v>831</v>
      </c>
      <c r="P1537" s="2" t="str">
        <f t="shared" si="69"/>
        <v>09/10/2025 to 14/10/2025</v>
      </c>
      <c r="Q1537" s="3">
        <v>45940</v>
      </c>
      <c r="R1537" t="str">
        <f t="shared" si="70"/>
        <v>On-Time</v>
      </c>
      <c r="S1537" t="s">
        <v>467</v>
      </c>
      <c r="T1537">
        <v>7.5</v>
      </c>
      <c r="U1537" t="s">
        <v>65</v>
      </c>
      <c r="V1537" t="s">
        <v>72</v>
      </c>
      <c r="W1537" t="str">
        <f t="shared" ca="1" si="71"/>
        <v>At Risk</v>
      </c>
    </row>
    <row r="1538" spans="1:23" x14ac:dyDescent="0.2">
      <c r="A1538">
        <v>1773</v>
      </c>
      <c r="B1538" t="s">
        <v>4891</v>
      </c>
      <c r="C1538" t="s">
        <v>4897</v>
      </c>
      <c r="D1538" s="1" t="s">
        <v>540</v>
      </c>
      <c r="E1538" t="s">
        <v>4893</v>
      </c>
      <c r="F1538" t="s">
        <v>579</v>
      </c>
      <c r="G1538" s="4" t="s">
        <v>5418</v>
      </c>
      <c r="H1538" t="s">
        <v>4894</v>
      </c>
      <c r="I1538" t="s">
        <v>136</v>
      </c>
      <c r="J1538" s="4" t="s">
        <v>68</v>
      </c>
      <c r="K1538" t="s">
        <v>18</v>
      </c>
      <c r="L1538">
        <v>1</v>
      </c>
      <c r="M1538" t="s">
        <v>831</v>
      </c>
      <c r="N1538" t="s">
        <v>834</v>
      </c>
      <c r="O1538" t="s">
        <v>834</v>
      </c>
      <c r="P1538" s="2" t="str">
        <f t="shared" ref="P1538:P1601" si="72">IF(ISBLANK(M1538), "", TEXT(WORKDAY(M1538, 7), "dd/mm/yyyy") &amp; " to " &amp; TEXT(WORKDAY(M1538, 10), "dd/mm/yyyy"))</f>
        <v>09/10/2025 to 14/10/2025</v>
      </c>
      <c r="Q1538" s="3">
        <v>45943</v>
      </c>
      <c r="R1538" t="str">
        <f t="shared" ref="R1538:R1601" si="73">IF(Q1538="","In Progress",
IF(AND(--Q1538&gt;=DATEVALUE(LEFT(P1538,10)),
       --Q1538&lt;=DATEVALUE(TRIM(MID(P1538,FIND("to",P1538)+3,10)))),
   "On-Time","Late"))</f>
        <v>On-Time</v>
      </c>
      <c r="S1538" t="s">
        <v>471</v>
      </c>
      <c r="T1538">
        <v>8.5</v>
      </c>
      <c r="U1538" t="s">
        <v>65</v>
      </c>
      <c r="V1538" t="s">
        <v>80</v>
      </c>
      <c r="W1538" t="str">
        <f t="shared" ca="1" si="71"/>
        <v>At Risk</v>
      </c>
    </row>
    <row r="1539" spans="1:23" x14ac:dyDescent="0.2">
      <c r="A1539">
        <v>1774</v>
      </c>
      <c r="B1539" t="s">
        <v>4891</v>
      </c>
      <c r="C1539" t="s">
        <v>4898</v>
      </c>
      <c r="D1539" s="1" t="s">
        <v>540</v>
      </c>
      <c r="E1539" t="s">
        <v>4893</v>
      </c>
      <c r="F1539" t="s">
        <v>579</v>
      </c>
      <c r="G1539" s="4" t="s">
        <v>5427</v>
      </c>
      <c r="H1539" t="s">
        <v>4894</v>
      </c>
      <c r="I1539" t="s">
        <v>136</v>
      </c>
      <c r="J1539" s="4" t="s">
        <v>68</v>
      </c>
      <c r="K1539" t="s">
        <v>4899</v>
      </c>
      <c r="L1539">
        <v>4</v>
      </c>
      <c r="M1539" t="s">
        <v>831</v>
      </c>
      <c r="N1539" t="s">
        <v>832</v>
      </c>
      <c r="O1539" t="s">
        <v>831</v>
      </c>
      <c r="P1539" s="2" t="str">
        <f t="shared" si="72"/>
        <v>09/10/2025 to 14/10/2025</v>
      </c>
      <c r="Q1539" s="3">
        <v>45941</v>
      </c>
      <c r="R1539" t="str">
        <f t="shared" si="73"/>
        <v>On-Time</v>
      </c>
      <c r="S1539" t="s">
        <v>471</v>
      </c>
      <c r="T1539">
        <v>39</v>
      </c>
      <c r="U1539" t="s">
        <v>79</v>
      </c>
      <c r="V1539" t="s">
        <v>80</v>
      </c>
      <c r="W1539" t="str">
        <f t="shared" ref="W1539:W1602" ca="1" si="74">IF(D1539="","",
IF(TODAY()-D1539&lt;=120,"Active",
IF(TODAY()-D1539&lt;=210,"At Risk",
IF(TODAY()-D1539&lt;=395,"Dormant",
IF(TODAY()-D1539&lt;=730,"Inactive","Archived")))))</f>
        <v>At Risk</v>
      </c>
    </row>
    <row r="1540" spans="1:23" x14ac:dyDescent="0.2">
      <c r="A1540">
        <v>1775</v>
      </c>
      <c r="B1540" t="s">
        <v>4891</v>
      </c>
      <c r="C1540" t="s">
        <v>4900</v>
      </c>
      <c r="D1540" s="1" t="s">
        <v>540</v>
      </c>
      <c r="E1540" t="s">
        <v>4893</v>
      </c>
      <c r="F1540" t="s">
        <v>579</v>
      </c>
      <c r="G1540" s="4" t="s">
        <v>5418</v>
      </c>
      <c r="H1540" t="s">
        <v>4894</v>
      </c>
      <c r="I1540" t="s">
        <v>136</v>
      </c>
      <c r="J1540" s="4" t="s">
        <v>74</v>
      </c>
      <c r="K1540" t="s">
        <v>4901</v>
      </c>
      <c r="L1540">
        <v>4</v>
      </c>
      <c r="M1540" t="s">
        <v>540</v>
      </c>
      <c r="N1540" t="s">
        <v>540</v>
      </c>
      <c r="O1540" t="s">
        <v>831</v>
      </c>
      <c r="P1540" s="2" t="str">
        <f t="shared" si="72"/>
        <v>08/10/2025 to 13/10/2025</v>
      </c>
      <c r="Q1540" s="3">
        <v>45943</v>
      </c>
      <c r="R1540" t="str">
        <f t="shared" si="73"/>
        <v>On-Time</v>
      </c>
      <c r="S1540" t="s">
        <v>472</v>
      </c>
      <c r="T1540">
        <v>43</v>
      </c>
      <c r="U1540" t="s">
        <v>79</v>
      </c>
      <c r="V1540" t="s">
        <v>72</v>
      </c>
      <c r="W1540" t="str">
        <f t="shared" ca="1" si="74"/>
        <v>At Risk</v>
      </c>
    </row>
    <row r="1541" spans="1:23" x14ac:dyDescent="0.2">
      <c r="A1541">
        <v>526</v>
      </c>
      <c r="B1541" t="s">
        <v>1891</v>
      </c>
      <c r="C1541" t="s">
        <v>1892</v>
      </c>
      <c r="D1541" s="1" t="s">
        <v>831</v>
      </c>
      <c r="E1541" t="s">
        <v>1893</v>
      </c>
      <c r="F1541" t="s">
        <v>159</v>
      </c>
      <c r="G1541" s="4" t="s">
        <v>5427</v>
      </c>
      <c r="H1541" t="s">
        <v>1894</v>
      </c>
      <c r="I1541" t="s">
        <v>112</v>
      </c>
      <c r="J1541" s="4" t="s">
        <v>68</v>
      </c>
      <c r="K1541" t="s">
        <v>1895</v>
      </c>
      <c r="L1541">
        <v>4</v>
      </c>
      <c r="M1541" t="s">
        <v>834</v>
      </c>
      <c r="N1541" t="s">
        <v>1183</v>
      </c>
      <c r="O1541" t="s">
        <v>1183</v>
      </c>
      <c r="P1541" s="2" t="str">
        <f t="shared" si="72"/>
        <v>13/10/2025 to 16/10/2025</v>
      </c>
      <c r="Q1541" s="3">
        <v>45947</v>
      </c>
      <c r="R1541" t="str">
        <f t="shared" si="73"/>
        <v>Late</v>
      </c>
      <c r="S1541" t="s">
        <v>680</v>
      </c>
      <c r="T1541">
        <v>40</v>
      </c>
      <c r="U1541" t="s">
        <v>65</v>
      </c>
      <c r="V1541" t="s">
        <v>72</v>
      </c>
      <c r="W1541" t="str">
        <f t="shared" ca="1" si="74"/>
        <v>At Risk</v>
      </c>
    </row>
    <row r="1542" spans="1:23" x14ac:dyDescent="0.2">
      <c r="A1542">
        <v>527</v>
      </c>
      <c r="B1542" t="s">
        <v>1891</v>
      </c>
      <c r="C1542" t="s">
        <v>1896</v>
      </c>
      <c r="D1542" s="1" t="s">
        <v>831</v>
      </c>
      <c r="E1542" t="s">
        <v>1893</v>
      </c>
      <c r="F1542" t="s">
        <v>159</v>
      </c>
      <c r="G1542" s="4" t="s">
        <v>5423</v>
      </c>
      <c r="H1542" t="s">
        <v>1894</v>
      </c>
      <c r="I1542" t="s">
        <v>112</v>
      </c>
      <c r="J1542" s="4" t="s">
        <v>68</v>
      </c>
      <c r="K1542" t="s">
        <v>1897</v>
      </c>
      <c r="L1542">
        <v>2</v>
      </c>
      <c r="M1542" t="s">
        <v>832</v>
      </c>
      <c r="N1542" t="s">
        <v>832</v>
      </c>
      <c r="O1542" t="s">
        <v>834</v>
      </c>
      <c r="P1542" s="2" t="str">
        <f t="shared" si="72"/>
        <v>10/10/2025 to 15/10/2025</v>
      </c>
      <c r="Q1542" s="3">
        <v>45945</v>
      </c>
      <c r="R1542" t="str">
        <f t="shared" si="73"/>
        <v>On-Time</v>
      </c>
      <c r="S1542" t="s">
        <v>680</v>
      </c>
      <c r="T1542">
        <v>18</v>
      </c>
      <c r="U1542" t="s">
        <v>79</v>
      </c>
      <c r="V1542" t="s">
        <v>80</v>
      </c>
      <c r="W1542" t="str">
        <f t="shared" ca="1" si="74"/>
        <v>At Risk</v>
      </c>
    </row>
    <row r="1543" spans="1:23" x14ac:dyDescent="0.2">
      <c r="A1543">
        <v>528</v>
      </c>
      <c r="B1543" t="s">
        <v>1891</v>
      </c>
      <c r="C1543" t="s">
        <v>1898</v>
      </c>
      <c r="D1543" s="1" t="s">
        <v>831</v>
      </c>
      <c r="E1543" t="s">
        <v>1893</v>
      </c>
      <c r="F1543" t="s">
        <v>159</v>
      </c>
      <c r="G1543" s="4" t="s">
        <v>38</v>
      </c>
      <c r="H1543" t="s">
        <v>1894</v>
      </c>
      <c r="I1543" t="s">
        <v>112</v>
      </c>
      <c r="J1543" s="4" t="s">
        <v>74</v>
      </c>
      <c r="K1543" t="s">
        <v>1899</v>
      </c>
      <c r="L1543">
        <v>3</v>
      </c>
      <c r="M1543" t="s">
        <v>832</v>
      </c>
      <c r="N1543" t="s">
        <v>1371</v>
      </c>
      <c r="O1543" t="s">
        <v>834</v>
      </c>
      <c r="P1543" s="2" t="str">
        <f t="shared" si="72"/>
        <v>10/10/2025 to 15/10/2025</v>
      </c>
      <c r="Q1543" s="3">
        <v>45942</v>
      </c>
      <c r="R1543" t="str">
        <f t="shared" si="73"/>
        <v>On-Time</v>
      </c>
      <c r="S1543" t="s">
        <v>471</v>
      </c>
      <c r="T1543">
        <v>27</v>
      </c>
      <c r="U1543" t="s">
        <v>79</v>
      </c>
      <c r="V1543" t="s">
        <v>66</v>
      </c>
      <c r="W1543" t="str">
        <f t="shared" ca="1" si="74"/>
        <v>At Risk</v>
      </c>
    </row>
    <row r="1544" spans="1:23" x14ac:dyDescent="0.2">
      <c r="A1544">
        <v>529</v>
      </c>
      <c r="B1544" t="s">
        <v>1891</v>
      </c>
      <c r="C1544" t="s">
        <v>1900</v>
      </c>
      <c r="D1544" s="1" t="s">
        <v>831</v>
      </c>
      <c r="E1544" t="s">
        <v>1893</v>
      </c>
      <c r="F1544" t="s">
        <v>159</v>
      </c>
      <c r="G1544" s="4" t="s">
        <v>5424</v>
      </c>
      <c r="H1544" t="s">
        <v>1894</v>
      </c>
      <c r="I1544" t="s">
        <v>112</v>
      </c>
      <c r="J1544" s="4" t="s">
        <v>68</v>
      </c>
      <c r="K1544" t="s">
        <v>1901</v>
      </c>
      <c r="L1544">
        <v>4</v>
      </c>
      <c r="M1544" t="s">
        <v>832</v>
      </c>
      <c r="N1544" t="s">
        <v>832</v>
      </c>
      <c r="O1544" t="s">
        <v>834</v>
      </c>
      <c r="P1544" s="2" t="str">
        <f t="shared" si="72"/>
        <v>10/10/2025 to 15/10/2025</v>
      </c>
      <c r="Q1544" s="3">
        <v>45943</v>
      </c>
      <c r="R1544" t="str">
        <f t="shared" si="73"/>
        <v>On-Time</v>
      </c>
      <c r="S1544" t="s">
        <v>472</v>
      </c>
      <c r="T1544">
        <v>34</v>
      </c>
      <c r="U1544" t="s">
        <v>79</v>
      </c>
      <c r="V1544" t="s">
        <v>66</v>
      </c>
      <c r="W1544" t="str">
        <f t="shared" ca="1" si="74"/>
        <v>At Risk</v>
      </c>
    </row>
    <row r="1545" spans="1:23" x14ac:dyDescent="0.2">
      <c r="A1545">
        <v>530</v>
      </c>
      <c r="B1545" t="s">
        <v>1891</v>
      </c>
      <c r="C1545" t="s">
        <v>1902</v>
      </c>
      <c r="D1545" s="1" t="s">
        <v>831</v>
      </c>
      <c r="E1545" t="s">
        <v>1893</v>
      </c>
      <c r="F1545" t="s">
        <v>159</v>
      </c>
      <c r="G1545" s="4" t="s">
        <v>5422</v>
      </c>
      <c r="H1545" t="s">
        <v>1894</v>
      </c>
      <c r="I1545" t="s">
        <v>112</v>
      </c>
      <c r="J1545" s="4" t="s">
        <v>60</v>
      </c>
      <c r="K1545" t="s">
        <v>1903</v>
      </c>
      <c r="L1545">
        <v>4</v>
      </c>
      <c r="M1545" t="s">
        <v>834</v>
      </c>
      <c r="N1545" t="s">
        <v>1183</v>
      </c>
      <c r="O1545" t="s">
        <v>1371</v>
      </c>
      <c r="P1545" s="2" t="str">
        <f t="shared" si="72"/>
        <v>13/10/2025 to 16/10/2025</v>
      </c>
      <c r="Q1545" s="3">
        <v>45944</v>
      </c>
      <c r="R1545" t="str">
        <f t="shared" si="73"/>
        <v>On-Time</v>
      </c>
      <c r="S1545" t="s">
        <v>679</v>
      </c>
      <c r="T1545">
        <v>37.5</v>
      </c>
      <c r="U1545" t="s">
        <v>65</v>
      </c>
      <c r="V1545" t="s">
        <v>72</v>
      </c>
      <c r="W1545" t="str">
        <f t="shared" ca="1" si="74"/>
        <v>At Risk</v>
      </c>
    </row>
    <row r="1546" spans="1:23" x14ac:dyDescent="0.2">
      <c r="A1546">
        <v>1924</v>
      </c>
      <c r="B1546" t="s">
        <v>5236</v>
      </c>
      <c r="C1546" t="s">
        <v>5237</v>
      </c>
      <c r="D1546" s="1" t="s">
        <v>831</v>
      </c>
      <c r="E1546" t="s">
        <v>5238</v>
      </c>
      <c r="F1546" t="s">
        <v>511</v>
      </c>
      <c r="G1546" s="4" t="s">
        <v>5428</v>
      </c>
      <c r="H1546" t="s">
        <v>1013</v>
      </c>
      <c r="I1546" t="s">
        <v>112</v>
      </c>
      <c r="J1546" s="4" t="s">
        <v>60</v>
      </c>
      <c r="K1546" t="s">
        <v>12</v>
      </c>
      <c r="L1546">
        <v>1</v>
      </c>
      <c r="M1546" t="s">
        <v>831</v>
      </c>
      <c r="N1546" t="s">
        <v>832</v>
      </c>
      <c r="O1546" t="s">
        <v>831</v>
      </c>
      <c r="P1546" s="2" t="str">
        <f t="shared" si="72"/>
        <v>09/10/2025 to 14/10/2025</v>
      </c>
      <c r="Q1546" s="3">
        <v>45937</v>
      </c>
      <c r="R1546" t="str">
        <f t="shared" si="73"/>
        <v>Late</v>
      </c>
      <c r="S1546" t="s">
        <v>744</v>
      </c>
      <c r="T1546">
        <v>9.5</v>
      </c>
      <c r="U1546" t="s">
        <v>79</v>
      </c>
      <c r="V1546" t="s">
        <v>80</v>
      </c>
      <c r="W1546" t="str">
        <f t="shared" ca="1" si="74"/>
        <v>At Risk</v>
      </c>
    </row>
    <row r="1547" spans="1:23" x14ac:dyDescent="0.2">
      <c r="A1547">
        <v>1925</v>
      </c>
      <c r="B1547" t="s">
        <v>5236</v>
      </c>
      <c r="C1547" t="s">
        <v>5239</v>
      </c>
      <c r="D1547" s="1" t="s">
        <v>831</v>
      </c>
      <c r="E1547" t="s">
        <v>5238</v>
      </c>
      <c r="F1547" t="s">
        <v>511</v>
      </c>
      <c r="G1547" s="4" t="s">
        <v>5426</v>
      </c>
      <c r="H1547" t="s">
        <v>1013</v>
      </c>
      <c r="I1547" t="s">
        <v>112</v>
      </c>
      <c r="J1547" s="4" t="s">
        <v>74</v>
      </c>
      <c r="K1547" t="s">
        <v>5240</v>
      </c>
      <c r="L1547">
        <v>4</v>
      </c>
      <c r="M1547" t="s">
        <v>831</v>
      </c>
      <c r="N1547" t="s">
        <v>831</v>
      </c>
      <c r="O1547" t="s">
        <v>831</v>
      </c>
      <c r="P1547" s="2" t="str">
        <f t="shared" si="72"/>
        <v>09/10/2025 to 14/10/2025</v>
      </c>
      <c r="Q1547" s="3">
        <v>45939</v>
      </c>
      <c r="R1547" t="str">
        <f t="shared" si="73"/>
        <v>On-Time</v>
      </c>
      <c r="S1547" t="s">
        <v>467</v>
      </c>
      <c r="T1547">
        <v>39</v>
      </c>
      <c r="U1547" t="s">
        <v>79</v>
      </c>
      <c r="V1547" t="s">
        <v>72</v>
      </c>
      <c r="W1547" t="str">
        <f t="shared" ca="1" si="74"/>
        <v>At Risk</v>
      </c>
    </row>
    <row r="1548" spans="1:23" x14ac:dyDescent="0.2">
      <c r="A1548">
        <v>1926</v>
      </c>
      <c r="B1548" t="s">
        <v>5236</v>
      </c>
      <c r="C1548" t="s">
        <v>5241</v>
      </c>
      <c r="D1548" s="1" t="s">
        <v>831</v>
      </c>
      <c r="E1548" t="s">
        <v>5238</v>
      </c>
      <c r="F1548" t="s">
        <v>511</v>
      </c>
      <c r="G1548" s="4" t="s">
        <v>5428</v>
      </c>
      <c r="H1548" t="s">
        <v>1013</v>
      </c>
      <c r="I1548" t="s">
        <v>112</v>
      </c>
      <c r="J1548" s="4" t="s">
        <v>74</v>
      </c>
      <c r="K1548" t="s">
        <v>1641</v>
      </c>
      <c r="L1548">
        <v>3</v>
      </c>
      <c r="M1548" t="s">
        <v>832</v>
      </c>
      <c r="N1548" t="s">
        <v>832</v>
      </c>
      <c r="O1548" t="s">
        <v>832</v>
      </c>
      <c r="P1548" s="2" t="str">
        <f t="shared" si="72"/>
        <v>10/10/2025 to 15/10/2025</v>
      </c>
      <c r="Q1548" s="3">
        <v>45944</v>
      </c>
      <c r="R1548" t="str">
        <f t="shared" si="73"/>
        <v>On-Time</v>
      </c>
      <c r="S1548" t="s">
        <v>679</v>
      </c>
      <c r="T1548">
        <v>35</v>
      </c>
      <c r="U1548" t="s">
        <v>65</v>
      </c>
      <c r="V1548" t="s">
        <v>80</v>
      </c>
      <c r="W1548" t="str">
        <f t="shared" ca="1" si="74"/>
        <v>At Risk</v>
      </c>
    </row>
    <row r="1549" spans="1:23" x14ac:dyDescent="0.2">
      <c r="A1549">
        <v>1927</v>
      </c>
      <c r="B1549" t="s">
        <v>5236</v>
      </c>
      <c r="C1549" t="s">
        <v>5242</v>
      </c>
      <c r="D1549" s="1" t="s">
        <v>831</v>
      </c>
      <c r="E1549" t="s">
        <v>5238</v>
      </c>
      <c r="F1549" t="s">
        <v>511</v>
      </c>
      <c r="G1549" s="4" t="s">
        <v>5423</v>
      </c>
      <c r="H1549" t="s">
        <v>1013</v>
      </c>
      <c r="I1549" t="s">
        <v>112</v>
      </c>
      <c r="J1549" s="4" t="s">
        <v>60</v>
      </c>
      <c r="K1549" t="s">
        <v>5243</v>
      </c>
      <c r="L1549">
        <v>4</v>
      </c>
      <c r="M1549" t="s">
        <v>832</v>
      </c>
      <c r="N1549" t="s">
        <v>834</v>
      </c>
      <c r="O1549" t="s">
        <v>834</v>
      </c>
      <c r="P1549" s="2" t="str">
        <f t="shared" si="72"/>
        <v>10/10/2025 to 15/10/2025</v>
      </c>
      <c r="Q1549" s="3">
        <v>45940</v>
      </c>
      <c r="R1549" t="str">
        <f t="shared" si="73"/>
        <v>On-Time</v>
      </c>
      <c r="S1549" t="s">
        <v>467</v>
      </c>
      <c r="T1549">
        <v>37</v>
      </c>
      <c r="U1549" t="s">
        <v>79</v>
      </c>
      <c r="V1549" t="s">
        <v>66</v>
      </c>
      <c r="W1549" t="str">
        <f t="shared" ca="1" si="74"/>
        <v>At Risk</v>
      </c>
    </row>
    <row r="1550" spans="1:23" x14ac:dyDescent="0.2">
      <c r="A1550">
        <v>1928</v>
      </c>
      <c r="B1550" t="s">
        <v>5236</v>
      </c>
      <c r="C1550" t="s">
        <v>5244</v>
      </c>
      <c r="D1550" s="1" t="s">
        <v>831</v>
      </c>
      <c r="E1550" t="s">
        <v>5238</v>
      </c>
      <c r="F1550" t="s">
        <v>511</v>
      </c>
      <c r="G1550" s="4" t="s">
        <v>38</v>
      </c>
      <c r="H1550" t="s">
        <v>1013</v>
      </c>
      <c r="I1550" t="s">
        <v>112</v>
      </c>
      <c r="J1550" s="4" t="s">
        <v>74</v>
      </c>
      <c r="K1550" t="s">
        <v>5245</v>
      </c>
      <c r="L1550">
        <v>4</v>
      </c>
      <c r="M1550" t="s">
        <v>832</v>
      </c>
      <c r="N1550" t="s">
        <v>1371</v>
      </c>
      <c r="O1550" t="s">
        <v>834</v>
      </c>
      <c r="P1550" s="2" t="str">
        <f t="shared" si="72"/>
        <v>10/10/2025 to 15/10/2025</v>
      </c>
      <c r="Q1550" s="3">
        <v>45945</v>
      </c>
      <c r="R1550" t="str">
        <f t="shared" si="73"/>
        <v>On-Time</v>
      </c>
      <c r="S1550" t="s">
        <v>680</v>
      </c>
      <c r="T1550">
        <v>38.5</v>
      </c>
      <c r="U1550" t="s">
        <v>65</v>
      </c>
      <c r="V1550" t="s">
        <v>72</v>
      </c>
      <c r="W1550" t="str">
        <f t="shared" ca="1" si="74"/>
        <v>At Risk</v>
      </c>
    </row>
    <row r="1551" spans="1:23" x14ac:dyDescent="0.2">
      <c r="A1551">
        <v>338</v>
      </c>
      <c r="B1551" t="s">
        <v>1367</v>
      </c>
      <c r="C1551" t="s">
        <v>1368</v>
      </c>
      <c r="D1551" s="1" t="s">
        <v>832</v>
      </c>
      <c r="E1551" t="s">
        <v>1369</v>
      </c>
      <c r="F1551" t="s">
        <v>371</v>
      </c>
      <c r="G1551" s="4" t="s">
        <v>5426</v>
      </c>
      <c r="H1551" t="s">
        <v>842</v>
      </c>
      <c r="I1551" t="s">
        <v>93</v>
      </c>
      <c r="J1551" s="4" t="s">
        <v>60</v>
      </c>
      <c r="K1551" t="s">
        <v>1370</v>
      </c>
      <c r="L1551">
        <v>4</v>
      </c>
      <c r="M1551" t="s">
        <v>832</v>
      </c>
      <c r="N1551" t="s">
        <v>1371</v>
      </c>
      <c r="O1551" t="s">
        <v>834</v>
      </c>
      <c r="P1551" s="2" t="str">
        <f t="shared" si="72"/>
        <v>10/10/2025 to 15/10/2025</v>
      </c>
      <c r="Q1551" s="3">
        <v>45944</v>
      </c>
      <c r="R1551" t="str">
        <f t="shared" si="73"/>
        <v>On-Time</v>
      </c>
      <c r="S1551" t="s">
        <v>679</v>
      </c>
      <c r="T1551">
        <v>33.5</v>
      </c>
      <c r="U1551" t="s">
        <v>65</v>
      </c>
      <c r="V1551" t="s">
        <v>72</v>
      </c>
      <c r="W1551" t="str">
        <f t="shared" ca="1" si="74"/>
        <v>At Risk</v>
      </c>
    </row>
    <row r="1552" spans="1:23" x14ac:dyDescent="0.2">
      <c r="A1552">
        <v>339</v>
      </c>
      <c r="B1552" t="s">
        <v>1367</v>
      </c>
      <c r="C1552" t="s">
        <v>1372</v>
      </c>
      <c r="D1552" s="1" t="s">
        <v>832</v>
      </c>
      <c r="E1552" t="s">
        <v>1369</v>
      </c>
      <c r="F1552" t="s">
        <v>371</v>
      </c>
      <c r="G1552" s="4" t="s">
        <v>5422</v>
      </c>
      <c r="H1552" t="s">
        <v>842</v>
      </c>
      <c r="I1552" t="s">
        <v>93</v>
      </c>
      <c r="J1552" s="4" t="s">
        <v>5417</v>
      </c>
      <c r="K1552" t="s">
        <v>1373</v>
      </c>
      <c r="L1552">
        <v>4</v>
      </c>
      <c r="M1552" t="s">
        <v>834</v>
      </c>
      <c r="N1552" t="s">
        <v>834</v>
      </c>
      <c r="O1552" t="s">
        <v>834</v>
      </c>
      <c r="P1552" s="2" t="str">
        <f t="shared" si="72"/>
        <v>13/10/2025 to 16/10/2025</v>
      </c>
      <c r="Q1552" s="3">
        <v>45940</v>
      </c>
      <c r="R1552" t="str">
        <f t="shared" si="73"/>
        <v>Late</v>
      </c>
      <c r="S1552" t="s">
        <v>467</v>
      </c>
      <c r="T1552">
        <v>36</v>
      </c>
      <c r="U1552" t="s">
        <v>65</v>
      </c>
      <c r="V1552" t="s">
        <v>80</v>
      </c>
      <c r="W1552" t="str">
        <f t="shared" ca="1" si="74"/>
        <v>At Risk</v>
      </c>
    </row>
    <row r="1553" spans="1:23" x14ac:dyDescent="0.2">
      <c r="A1553">
        <v>340</v>
      </c>
      <c r="B1553" t="s">
        <v>1367</v>
      </c>
      <c r="C1553" t="s">
        <v>1374</v>
      </c>
      <c r="D1553" s="1" t="s">
        <v>832</v>
      </c>
      <c r="E1553" t="s">
        <v>1369</v>
      </c>
      <c r="F1553" t="s">
        <v>371</v>
      </c>
      <c r="G1553" s="4" t="s">
        <v>5426</v>
      </c>
      <c r="H1553" t="s">
        <v>842</v>
      </c>
      <c r="I1553" t="s">
        <v>93</v>
      </c>
      <c r="J1553" s="4" t="s">
        <v>5417</v>
      </c>
      <c r="K1553" t="s">
        <v>12</v>
      </c>
      <c r="L1553">
        <v>1</v>
      </c>
      <c r="M1553" t="s">
        <v>832</v>
      </c>
      <c r="N1553" t="s">
        <v>834</v>
      </c>
      <c r="O1553" t="s">
        <v>1371</v>
      </c>
      <c r="P1553" s="2" t="str">
        <f t="shared" si="72"/>
        <v>10/10/2025 to 15/10/2025</v>
      </c>
      <c r="Q1553" s="3">
        <v>45942</v>
      </c>
      <c r="R1553" t="str">
        <f t="shared" si="73"/>
        <v>On-Time</v>
      </c>
      <c r="S1553" t="s">
        <v>477</v>
      </c>
      <c r="T1553">
        <v>9.5</v>
      </c>
      <c r="U1553" t="s">
        <v>65</v>
      </c>
      <c r="V1553" t="s">
        <v>66</v>
      </c>
      <c r="W1553" t="str">
        <f t="shared" ca="1" si="74"/>
        <v>At Risk</v>
      </c>
    </row>
    <row r="1554" spans="1:23" x14ac:dyDescent="0.2">
      <c r="A1554">
        <v>341</v>
      </c>
      <c r="B1554" t="s">
        <v>1367</v>
      </c>
      <c r="C1554" t="s">
        <v>1375</v>
      </c>
      <c r="D1554" s="1" t="s">
        <v>832</v>
      </c>
      <c r="E1554" t="s">
        <v>1369</v>
      </c>
      <c r="F1554" t="s">
        <v>371</v>
      </c>
      <c r="G1554" s="4" t="s">
        <v>5420</v>
      </c>
      <c r="H1554" t="s">
        <v>842</v>
      </c>
      <c r="I1554" t="s">
        <v>93</v>
      </c>
      <c r="J1554" s="4" t="s">
        <v>74</v>
      </c>
      <c r="K1554" t="s">
        <v>1376</v>
      </c>
      <c r="L1554">
        <v>3</v>
      </c>
      <c r="M1554" t="s">
        <v>1371</v>
      </c>
      <c r="N1554" t="s">
        <v>1371</v>
      </c>
      <c r="O1554" t="s">
        <v>1183</v>
      </c>
      <c r="P1554" s="2" t="str">
        <f t="shared" si="72"/>
        <v>14/10/2025 to 17/10/2025</v>
      </c>
      <c r="Q1554" s="3">
        <v>45941</v>
      </c>
      <c r="R1554" t="str">
        <f t="shared" si="73"/>
        <v>Late</v>
      </c>
      <c r="S1554" t="s">
        <v>467</v>
      </c>
      <c r="T1554">
        <v>26</v>
      </c>
      <c r="U1554" t="s">
        <v>79</v>
      </c>
      <c r="V1554" t="s">
        <v>80</v>
      </c>
      <c r="W1554" t="str">
        <f t="shared" ca="1" si="74"/>
        <v>At Risk</v>
      </c>
    </row>
    <row r="1555" spans="1:23" x14ac:dyDescent="0.2">
      <c r="A1555">
        <v>1197</v>
      </c>
      <c r="B1555" t="s">
        <v>3536</v>
      </c>
      <c r="C1555" t="s">
        <v>3537</v>
      </c>
      <c r="D1555" s="1" t="s">
        <v>832</v>
      </c>
      <c r="E1555" t="s">
        <v>3538</v>
      </c>
      <c r="F1555" t="s">
        <v>1756</v>
      </c>
      <c r="G1555" s="4" t="s">
        <v>5426</v>
      </c>
      <c r="H1555" t="s">
        <v>3539</v>
      </c>
      <c r="I1555" t="s">
        <v>112</v>
      </c>
      <c r="J1555" s="4" t="s">
        <v>5417</v>
      </c>
      <c r="K1555" t="s">
        <v>3540</v>
      </c>
      <c r="L1555">
        <v>3</v>
      </c>
      <c r="M1555" t="s">
        <v>832</v>
      </c>
      <c r="N1555" t="s">
        <v>832</v>
      </c>
      <c r="O1555" t="s">
        <v>832</v>
      </c>
      <c r="P1555" s="2" t="str">
        <f t="shared" si="72"/>
        <v>10/10/2025 to 15/10/2025</v>
      </c>
      <c r="Q1555" s="3">
        <v>45943</v>
      </c>
      <c r="R1555" t="str">
        <f t="shared" si="73"/>
        <v>On-Time</v>
      </c>
      <c r="S1555" t="s">
        <v>472</v>
      </c>
      <c r="T1555">
        <v>26.5</v>
      </c>
      <c r="U1555" t="s">
        <v>65</v>
      </c>
      <c r="V1555" t="s">
        <v>72</v>
      </c>
      <c r="W1555" t="str">
        <f t="shared" ca="1" si="74"/>
        <v>At Risk</v>
      </c>
    </row>
    <row r="1556" spans="1:23" x14ac:dyDescent="0.2">
      <c r="A1556">
        <v>1198</v>
      </c>
      <c r="B1556" t="s">
        <v>3536</v>
      </c>
      <c r="C1556" t="s">
        <v>3541</v>
      </c>
      <c r="D1556" s="1" t="s">
        <v>832</v>
      </c>
      <c r="E1556" t="s">
        <v>3538</v>
      </c>
      <c r="F1556" t="s">
        <v>1756</v>
      </c>
      <c r="G1556" s="4" t="s">
        <v>5423</v>
      </c>
      <c r="H1556" t="s">
        <v>3539</v>
      </c>
      <c r="I1556" t="s">
        <v>112</v>
      </c>
      <c r="J1556" s="4" t="s">
        <v>5417</v>
      </c>
      <c r="K1556" t="s">
        <v>3542</v>
      </c>
      <c r="L1556">
        <v>3</v>
      </c>
      <c r="M1556" t="s">
        <v>832</v>
      </c>
      <c r="N1556" t="s">
        <v>834</v>
      </c>
      <c r="O1556" t="s">
        <v>834</v>
      </c>
      <c r="P1556" s="2" t="str">
        <f t="shared" si="72"/>
        <v>10/10/2025 to 15/10/2025</v>
      </c>
      <c r="Q1556" s="3">
        <v>45943</v>
      </c>
      <c r="R1556" t="str">
        <f t="shared" si="73"/>
        <v>On-Time</v>
      </c>
      <c r="S1556" t="s">
        <v>484</v>
      </c>
      <c r="T1556">
        <v>27.5</v>
      </c>
      <c r="U1556" t="s">
        <v>79</v>
      </c>
      <c r="V1556" t="s">
        <v>72</v>
      </c>
      <c r="W1556" t="str">
        <f t="shared" ca="1" si="74"/>
        <v>At Risk</v>
      </c>
    </row>
    <row r="1557" spans="1:23" x14ac:dyDescent="0.2">
      <c r="A1557">
        <v>1433</v>
      </c>
      <c r="B1557" t="s">
        <v>4100</v>
      </c>
      <c r="C1557" t="s">
        <v>4101</v>
      </c>
      <c r="D1557" s="1" t="s">
        <v>832</v>
      </c>
      <c r="E1557" t="s">
        <v>4102</v>
      </c>
      <c r="F1557" t="s">
        <v>607</v>
      </c>
      <c r="G1557" s="4" t="s">
        <v>5422</v>
      </c>
      <c r="H1557" t="s">
        <v>4103</v>
      </c>
      <c r="I1557" t="s">
        <v>112</v>
      </c>
      <c r="J1557" s="4" t="s">
        <v>68</v>
      </c>
      <c r="K1557" t="s">
        <v>6</v>
      </c>
      <c r="L1557">
        <v>1</v>
      </c>
      <c r="M1557" t="s">
        <v>832</v>
      </c>
      <c r="N1557" t="s">
        <v>832</v>
      </c>
      <c r="O1557" t="s">
        <v>1371</v>
      </c>
      <c r="P1557" s="2" t="str">
        <f t="shared" si="72"/>
        <v>10/10/2025 to 15/10/2025</v>
      </c>
      <c r="Q1557" s="3">
        <v>45942</v>
      </c>
      <c r="R1557" t="str">
        <f t="shared" si="73"/>
        <v>On-Time</v>
      </c>
      <c r="S1557" t="s">
        <v>484</v>
      </c>
      <c r="T1557">
        <v>7.5</v>
      </c>
      <c r="U1557" t="s">
        <v>79</v>
      </c>
      <c r="V1557" t="s">
        <v>80</v>
      </c>
      <c r="W1557" t="str">
        <f t="shared" ca="1" si="74"/>
        <v>At Risk</v>
      </c>
    </row>
    <row r="1558" spans="1:23" x14ac:dyDescent="0.2">
      <c r="A1558">
        <v>671</v>
      </c>
      <c r="B1558" t="s">
        <v>2263</v>
      </c>
      <c r="C1558" t="s">
        <v>2264</v>
      </c>
      <c r="D1558" s="1" t="s">
        <v>834</v>
      </c>
      <c r="E1558" t="s">
        <v>2265</v>
      </c>
      <c r="F1558" t="s">
        <v>1785</v>
      </c>
      <c r="G1558" s="4" t="s">
        <v>5426</v>
      </c>
      <c r="H1558" t="s">
        <v>2266</v>
      </c>
      <c r="I1558" t="s">
        <v>93</v>
      </c>
      <c r="J1558" s="4" t="s">
        <v>5417</v>
      </c>
      <c r="K1558" t="s">
        <v>2267</v>
      </c>
      <c r="L1558">
        <v>3</v>
      </c>
      <c r="M1558" t="s">
        <v>1371</v>
      </c>
      <c r="N1558" t="s">
        <v>1184</v>
      </c>
      <c r="O1558" t="s">
        <v>1371</v>
      </c>
      <c r="P1558" s="2" t="str">
        <f t="shared" si="72"/>
        <v>14/10/2025 to 17/10/2025</v>
      </c>
      <c r="Q1558" s="3">
        <v>45946</v>
      </c>
      <c r="R1558" t="str">
        <f t="shared" si="73"/>
        <v>On-Time</v>
      </c>
      <c r="S1558" t="s">
        <v>1433</v>
      </c>
      <c r="T1558">
        <v>27.5</v>
      </c>
      <c r="U1558" t="s">
        <v>79</v>
      </c>
      <c r="V1558" t="s">
        <v>66</v>
      </c>
      <c r="W1558" t="str">
        <f t="shared" ca="1" si="74"/>
        <v>At Risk</v>
      </c>
    </row>
    <row r="1559" spans="1:23" x14ac:dyDescent="0.2">
      <c r="A1559">
        <v>1373</v>
      </c>
      <c r="B1559" t="s">
        <v>3957</v>
      </c>
      <c r="C1559" t="s">
        <v>3958</v>
      </c>
      <c r="D1559" s="1" t="s">
        <v>1371</v>
      </c>
      <c r="E1559" t="s">
        <v>3959</v>
      </c>
      <c r="F1559" t="s">
        <v>121</v>
      </c>
      <c r="G1559" s="4" t="s">
        <v>5422</v>
      </c>
      <c r="H1559" t="s">
        <v>3960</v>
      </c>
      <c r="I1559" t="s">
        <v>201</v>
      </c>
      <c r="J1559" s="4" t="s">
        <v>74</v>
      </c>
      <c r="K1559" t="s">
        <v>12</v>
      </c>
      <c r="L1559">
        <v>1</v>
      </c>
      <c r="M1559" t="s">
        <v>1184</v>
      </c>
      <c r="N1559" t="s">
        <v>954</v>
      </c>
      <c r="O1559" t="s">
        <v>954</v>
      </c>
      <c r="P1559" s="2" t="str">
        <f t="shared" si="72"/>
        <v>14/10/2025 to 17/10/2025</v>
      </c>
      <c r="Q1559" s="3">
        <v>45945</v>
      </c>
      <c r="R1559" t="str">
        <f t="shared" si="73"/>
        <v>On-Time</v>
      </c>
      <c r="S1559" t="s">
        <v>472</v>
      </c>
      <c r="T1559">
        <v>9.5</v>
      </c>
      <c r="U1559" t="s">
        <v>65</v>
      </c>
      <c r="V1559" t="s">
        <v>80</v>
      </c>
      <c r="W1559" t="str">
        <f t="shared" ca="1" si="74"/>
        <v>At Risk</v>
      </c>
    </row>
    <row r="1560" spans="1:23" x14ac:dyDescent="0.2">
      <c r="A1560">
        <v>1374</v>
      </c>
      <c r="B1560" t="s">
        <v>3957</v>
      </c>
      <c r="C1560" t="s">
        <v>3961</v>
      </c>
      <c r="D1560" s="1" t="s">
        <v>1371</v>
      </c>
      <c r="E1560" t="s">
        <v>3959</v>
      </c>
      <c r="F1560" t="s">
        <v>121</v>
      </c>
      <c r="G1560" s="4" t="s">
        <v>5427</v>
      </c>
      <c r="H1560" t="s">
        <v>3960</v>
      </c>
      <c r="I1560" t="s">
        <v>201</v>
      </c>
      <c r="J1560" s="4" t="s">
        <v>68</v>
      </c>
      <c r="K1560" t="s">
        <v>3962</v>
      </c>
      <c r="L1560">
        <v>3</v>
      </c>
      <c r="M1560" t="s">
        <v>1371</v>
      </c>
      <c r="N1560" t="s">
        <v>1183</v>
      </c>
      <c r="O1560" t="s">
        <v>1184</v>
      </c>
      <c r="P1560" s="2" t="str">
        <f t="shared" si="72"/>
        <v>14/10/2025 to 17/10/2025</v>
      </c>
      <c r="Q1560" s="3">
        <v>45944</v>
      </c>
      <c r="R1560" t="str">
        <f t="shared" si="73"/>
        <v>On-Time</v>
      </c>
      <c r="S1560" t="s">
        <v>472</v>
      </c>
      <c r="T1560">
        <v>26</v>
      </c>
      <c r="U1560" t="s">
        <v>79</v>
      </c>
      <c r="V1560" t="s">
        <v>80</v>
      </c>
      <c r="W1560" t="str">
        <f t="shared" ca="1" si="74"/>
        <v>At Risk</v>
      </c>
    </row>
    <row r="1561" spans="1:23" x14ac:dyDescent="0.2">
      <c r="A1561">
        <v>1842</v>
      </c>
      <c r="B1561" t="s">
        <v>5051</v>
      </c>
      <c r="C1561" t="s">
        <v>5052</v>
      </c>
      <c r="D1561" s="1" t="s">
        <v>1184</v>
      </c>
      <c r="E1561" t="s">
        <v>5053</v>
      </c>
      <c r="F1561" t="s">
        <v>910</v>
      </c>
      <c r="G1561" s="4" t="s">
        <v>5421</v>
      </c>
      <c r="H1561" t="s">
        <v>5054</v>
      </c>
      <c r="I1561" t="s">
        <v>93</v>
      </c>
      <c r="J1561" s="4" t="s">
        <v>68</v>
      </c>
      <c r="K1561" t="s">
        <v>5055</v>
      </c>
      <c r="L1561">
        <v>4</v>
      </c>
      <c r="M1561" t="s">
        <v>1184</v>
      </c>
      <c r="N1561" t="s">
        <v>958</v>
      </c>
      <c r="O1561" t="s">
        <v>1184</v>
      </c>
      <c r="P1561" s="2" t="str">
        <f t="shared" si="72"/>
        <v>14/10/2025 to 17/10/2025</v>
      </c>
      <c r="Q1561" s="3">
        <v>45946</v>
      </c>
      <c r="R1561" t="str">
        <f t="shared" si="73"/>
        <v>On-Time</v>
      </c>
      <c r="S1561" t="s">
        <v>679</v>
      </c>
      <c r="T1561">
        <v>39.5</v>
      </c>
      <c r="U1561" t="s">
        <v>65</v>
      </c>
      <c r="V1561" t="s">
        <v>80</v>
      </c>
      <c r="W1561" t="str">
        <f t="shared" ca="1" si="74"/>
        <v>At Risk</v>
      </c>
    </row>
    <row r="1562" spans="1:23" x14ac:dyDescent="0.2">
      <c r="A1562">
        <v>1843</v>
      </c>
      <c r="B1562" t="s">
        <v>5051</v>
      </c>
      <c r="C1562" t="s">
        <v>5056</v>
      </c>
      <c r="D1562" s="1" t="s">
        <v>1184</v>
      </c>
      <c r="E1562" t="s">
        <v>5053</v>
      </c>
      <c r="F1562" t="s">
        <v>910</v>
      </c>
      <c r="G1562" s="4" t="s">
        <v>5424</v>
      </c>
      <c r="H1562" t="s">
        <v>5054</v>
      </c>
      <c r="I1562" t="s">
        <v>93</v>
      </c>
      <c r="J1562" s="4" t="s">
        <v>68</v>
      </c>
      <c r="K1562" t="s">
        <v>10</v>
      </c>
      <c r="L1562">
        <v>1</v>
      </c>
      <c r="M1562" t="s">
        <v>1184</v>
      </c>
      <c r="N1562" t="s">
        <v>958</v>
      </c>
      <c r="O1562" t="s">
        <v>958</v>
      </c>
      <c r="P1562" s="2" t="str">
        <f t="shared" si="72"/>
        <v>14/10/2025 to 17/10/2025</v>
      </c>
      <c r="Q1562" s="3">
        <v>45949</v>
      </c>
      <c r="R1562" t="str">
        <f t="shared" si="73"/>
        <v>Late</v>
      </c>
      <c r="S1562" t="s">
        <v>943</v>
      </c>
      <c r="T1562">
        <v>10</v>
      </c>
      <c r="U1562" t="s">
        <v>65</v>
      </c>
      <c r="V1562" t="s">
        <v>72</v>
      </c>
      <c r="W1562" t="str">
        <f t="shared" ca="1" si="74"/>
        <v>At Risk</v>
      </c>
    </row>
    <row r="1563" spans="1:23" x14ac:dyDescent="0.2">
      <c r="A1563">
        <v>1844</v>
      </c>
      <c r="B1563" t="s">
        <v>5051</v>
      </c>
      <c r="C1563" t="s">
        <v>5057</v>
      </c>
      <c r="D1563" s="1" t="s">
        <v>1184</v>
      </c>
      <c r="E1563" t="s">
        <v>5053</v>
      </c>
      <c r="F1563" t="s">
        <v>910</v>
      </c>
      <c r="G1563" s="4" t="s">
        <v>5427</v>
      </c>
      <c r="H1563" t="s">
        <v>5054</v>
      </c>
      <c r="I1563" t="s">
        <v>93</v>
      </c>
      <c r="J1563" s="4" t="s">
        <v>74</v>
      </c>
      <c r="K1563" t="s">
        <v>4863</v>
      </c>
      <c r="L1563">
        <v>3</v>
      </c>
      <c r="M1563" t="s">
        <v>958</v>
      </c>
      <c r="N1563" t="s">
        <v>1838</v>
      </c>
      <c r="O1563" t="s">
        <v>1838</v>
      </c>
      <c r="P1563" s="2" t="str">
        <f t="shared" si="72"/>
        <v>16/10/2025 to 21/10/2025</v>
      </c>
      <c r="Q1563" s="3">
        <v>45952</v>
      </c>
      <c r="R1563" t="str">
        <f t="shared" si="73"/>
        <v>Late</v>
      </c>
      <c r="S1563" t="s">
        <v>485</v>
      </c>
      <c r="T1563">
        <v>25.5</v>
      </c>
      <c r="U1563" t="s">
        <v>79</v>
      </c>
      <c r="V1563" t="s">
        <v>80</v>
      </c>
      <c r="W1563" t="str">
        <f t="shared" ca="1" si="74"/>
        <v>At Risk</v>
      </c>
    </row>
    <row r="1564" spans="1:23" x14ac:dyDescent="0.2">
      <c r="A1564">
        <v>205</v>
      </c>
      <c r="B1564" t="s">
        <v>952</v>
      </c>
      <c r="C1564" t="s">
        <v>953</v>
      </c>
      <c r="D1564" s="1" t="s">
        <v>954</v>
      </c>
      <c r="E1564" t="s">
        <v>955</v>
      </c>
      <c r="F1564" t="s">
        <v>668</v>
      </c>
      <c r="G1564" s="4" t="s">
        <v>5418</v>
      </c>
      <c r="H1564" t="s">
        <v>956</v>
      </c>
      <c r="I1564" t="s">
        <v>112</v>
      </c>
      <c r="J1564" s="4" t="s">
        <v>74</v>
      </c>
      <c r="K1564" t="s">
        <v>957</v>
      </c>
      <c r="L1564">
        <v>3</v>
      </c>
      <c r="M1564" t="s">
        <v>958</v>
      </c>
      <c r="N1564" t="s">
        <v>958</v>
      </c>
      <c r="O1564" t="s">
        <v>958</v>
      </c>
      <c r="P1564" s="2" t="str">
        <f t="shared" si="72"/>
        <v>16/10/2025 to 21/10/2025</v>
      </c>
      <c r="Q1564" s="3">
        <v>45946</v>
      </c>
      <c r="R1564" t="str">
        <f t="shared" si="73"/>
        <v>On-Time</v>
      </c>
      <c r="S1564" t="s">
        <v>680</v>
      </c>
      <c r="T1564">
        <v>27.5</v>
      </c>
      <c r="U1564" t="s">
        <v>79</v>
      </c>
      <c r="V1564" t="s">
        <v>72</v>
      </c>
      <c r="W1564" t="str">
        <f t="shared" ca="1" si="74"/>
        <v>At Risk</v>
      </c>
    </row>
    <row r="1565" spans="1:23" x14ac:dyDescent="0.2">
      <c r="A1565">
        <v>505</v>
      </c>
      <c r="B1565" t="s">
        <v>1833</v>
      </c>
      <c r="C1565" t="s">
        <v>1834</v>
      </c>
      <c r="D1565" s="1" t="s">
        <v>744</v>
      </c>
      <c r="E1565" t="s">
        <v>1835</v>
      </c>
      <c r="F1565" t="s">
        <v>371</v>
      </c>
      <c r="G1565" s="4" t="s">
        <v>5423</v>
      </c>
      <c r="H1565" t="s">
        <v>1836</v>
      </c>
      <c r="I1565" t="s">
        <v>201</v>
      </c>
      <c r="J1565" s="4" t="s">
        <v>68</v>
      </c>
      <c r="K1565" t="s">
        <v>1837</v>
      </c>
      <c r="L1565">
        <v>3</v>
      </c>
      <c r="M1565" t="s">
        <v>1838</v>
      </c>
      <c r="N1565" t="s">
        <v>467</v>
      </c>
      <c r="O1565" t="s">
        <v>542</v>
      </c>
      <c r="P1565" s="2" t="str">
        <f t="shared" si="72"/>
        <v>20/10/2025 to 23/10/2025</v>
      </c>
      <c r="Q1565" s="3">
        <v>45950</v>
      </c>
      <c r="R1565" t="str">
        <f t="shared" si="73"/>
        <v>On-Time</v>
      </c>
      <c r="S1565" t="s">
        <v>485</v>
      </c>
      <c r="T1565">
        <v>29</v>
      </c>
      <c r="U1565" t="s">
        <v>65</v>
      </c>
      <c r="V1565" t="s">
        <v>72</v>
      </c>
      <c r="W1565" t="str">
        <f t="shared" ca="1" si="74"/>
        <v>At Risk</v>
      </c>
    </row>
    <row r="1566" spans="1:23" x14ac:dyDescent="0.2">
      <c r="A1566">
        <v>506</v>
      </c>
      <c r="B1566" t="s">
        <v>1833</v>
      </c>
      <c r="C1566" t="s">
        <v>1839</v>
      </c>
      <c r="D1566" s="1" t="s">
        <v>744</v>
      </c>
      <c r="E1566" t="s">
        <v>1835</v>
      </c>
      <c r="F1566" t="s">
        <v>371</v>
      </c>
      <c r="G1566" s="4" t="s">
        <v>5424</v>
      </c>
      <c r="H1566" t="s">
        <v>1836</v>
      </c>
      <c r="I1566" t="s">
        <v>201</v>
      </c>
      <c r="J1566" s="4" t="s">
        <v>60</v>
      </c>
      <c r="K1566" t="s">
        <v>12</v>
      </c>
      <c r="L1566">
        <v>1</v>
      </c>
      <c r="M1566" t="s">
        <v>1838</v>
      </c>
      <c r="N1566" t="s">
        <v>467</v>
      </c>
      <c r="O1566" t="s">
        <v>467</v>
      </c>
      <c r="P1566" s="2" t="str">
        <f t="shared" si="72"/>
        <v>20/10/2025 to 23/10/2025</v>
      </c>
      <c r="Q1566" s="3">
        <v>45949</v>
      </c>
      <c r="R1566" t="str">
        <f t="shared" si="73"/>
        <v>Late</v>
      </c>
      <c r="S1566" t="s">
        <v>948</v>
      </c>
      <c r="T1566">
        <v>9.5</v>
      </c>
      <c r="U1566" t="s">
        <v>65</v>
      </c>
      <c r="V1566" t="s">
        <v>72</v>
      </c>
      <c r="W1566" t="str">
        <f t="shared" ca="1" si="74"/>
        <v>At Risk</v>
      </c>
    </row>
    <row r="1567" spans="1:23" x14ac:dyDescent="0.2">
      <c r="A1567">
        <v>507</v>
      </c>
      <c r="B1567" t="s">
        <v>1833</v>
      </c>
      <c r="C1567" t="s">
        <v>1840</v>
      </c>
      <c r="D1567" s="1" t="s">
        <v>744</v>
      </c>
      <c r="E1567" t="s">
        <v>1835</v>
      </c>
      <c r="F1567" t="s">
        <v>371</v>
      </c>
      <c r="G1567" s="4" t="s">
        <v>5425</v>
      </c>
      <c r="H1567" t="s">
        <v>1836</v>
      </c>
      <c r="I1567" t="s">
        <v>201</v>
      </c>
      <c r="J1567" s="4" t="s">
        <v>74</v>
      </c>
      <c r="K1567" t="s">
        <v>1841</v>
      </c>
      <c r="L1567">
        <v>3</v>
      </c>
      <c r="M1567" t="s">
        <v>744</v>
      </c>
      <c r="N1567" t="s">
        <v>744</v>
      </c>
      <c r="O1567" t="s">
        <v>744</v>
      </c>
      <c r="P1567" s="2" t="str">
        <f t="shared" si="72"/>
        <v>17/10/2025 to 22/10/2025</v>
      </c>
      <c r="Q1567" s="3">
        <v>45949</v>
      </c>
      <c r="R1567" t="str">
        <f t="shared" si="73"/>
        <v>On-Time</v>
      </c>
      <c r="S1567" t="s">
        <v>947</v>
      </c>
      <c r="T1567">
        <v>27.5</v>
      </c>
      <c r="U1567" t="s">
        <v>65</v>
      </c>
      <c r="V1567" t="s">
        <v>66</v>
      </c>
      <c r="W1567" t="str">
        <f t="shared" ca="1" si="74"/>
        <v>At Risk</v>
      </c>
    </row>
    <row r="1568" spans="1:23" x14ac:dyDescent="0.2">
      <c r="A1568">
        <v>508</v>
      </c>
      <c r="B1568" t="s">
        <v>1833</v>
      </c>
      <c r="C1568" t="s">
        <v>1842</v>
      </c>
      <c r="D1568" s="1" t="s">
        <v>744</v>
      </c>
      <c r="E1568" t="s">
        <v>1835</v>
      </c>
      <c r="F1568" t="s">
        <v>371</v>
      </c>
      <c r="G1568" s="4" t="s">
        <v>5418</v>
      </c>
      <c r="H1568" t="s">
        <v>1836</v>
      </c>
      <c r="I1568" t="s">
        <v>201</v>
      </c>
      <c r="J1568" s="4" t="s">
        <v>5417</v>
      </c>
      <c r="K1568" t="s">
        <v>1843</v>
      </c>
      <c r="L1568">
        <v>4</v>
      </c>
      <c r="M1568" t="s">
        <v>744</v>
      </c>
      <c r="N1568" t="s">
        <v>744</v>
      </c>
      <c r="O1568" t="s">
        <v>542</v>
      </c>
      <c r="P1568" s="2" t="str">
        <f t="shared" si="72"/>
        <v>17/10/2025 to 22/10/2025</v>
      </c>
      <c r="Q1568" s="3">
        <v>45950</v>
      </c>
      <c r="R1568" t="str">
        <f t="shared" si="73"/>
        <v>On-Time</v>
      </c>
      <c r="S1568" t="s">
        <v>947</v>
      </c>
      <c r="T1568">
        <v>38.5</v>
      </c>
      <c r="U1568" t="s">
        <v>79</v>
      </c>
      <c r="V1568" t="s">
        <v>72</v>
      </c>
      <c r="W1568" t="str">
        <f t="shared" ca="1" si="74"/>
        <v>At Risk</v>
      </c>
    </row>
    <row r="1569" spans="1:23" x14ac:dyDescent="0.2">
      <c r="A1569">
        <v>509</v>
      </c>
      <c r="B1569" t="s">
        <v>1833</v>
      </c>
      <c r="C1569" t="s">
        <v>1844</v>
      </c>
      <c r="D1569" s="1" t="s">
        <v>744</v>
      </c>
      <c r="E1569" t="s">
        <v>1835</v>
      </c>
      <c r="F1569" t="s">
        <v>371</v>
      </c>
      <c r="G1569" s="4" t="s">
        <v>5427</v>
      </c>
      <c r="H1569" t="s">
        <v>1836</v>
      </c>
      <c r="I1569" t="s">
        <v>201</v>
      </c>
      <c r="J1569" s="4" t="s">
        <v>60</v>
      </c>
      <c r="K1569" t="s">
        <v>1845</v>
      </c>
      <c r="L1569">
        <v>2</v>
      </c>
      <c r="M1569" t="s">
        <v>542</v>
      </c>
      <c r="N1569" t="s">
        <v>477</v>
      </c>
      <c r="O1569" t="s">
        <v>467</v>
      </c>
      <c r="P1569" s="2" t="str">
        <f t="shared" si="72"/>
        <v>21/10/2025 to 24/10/2025</v>
      </c>
      <c r="Q1569" s="3">
        <v>45951</v>
      </c>
      <c r="R1569" t="str">
        <f t="shared" si="73"/>
        <v>On-Time</v>
      </c>
      <c r="S1569" t="s">
        <v>948</v>
      </c>
      <c r="T1569">
        <v>25</v>
      </c>
      <c r="U1569" t="s">
        <v>65</v>
      </c>
      <c r="V1569" t="s">
        <v>66</v>
      </c>
      <c r="W1569" t="str">
        <f t="shared" ca="1" si="74"/>
        <v>At Risk</v>
      </c>
    </row>
    <row r="1570" spans="1:23" x14ac:dyDescent="0.2">
      <c r="A1570">
        <v>1348</v>
      </c>
      <c r="B1570" t="s">
        <v>3895</v>
      </c>
      <c r="C1570" t="s">
        <v>3896</v>
      </c>
      <c r="D1570" s="1" t="s">
        <v>744</v>
      </c>
      <c r="E1570" t="s">
        <v>3897</v>
      </c>
      <c r="F1570" t="s">
        <v>406</v>
      </c>
      <c r="G1570" s="4" t="s">
        <v>5421</v>
      </c>
      <c r="H1570" t="s">
        <v>2404</v>
      </c>
      <c r="I1570" t="s">
        <v>201</v>
      </c>
      <c r="J1570" s="4" t="s">
        <v>5417</v>
      </c>
      <c r="K1570" t="s">
        <v>1554</v>
      </c>
      <c r="L1570">
        <v>3</v>
      </c>
      <c r="M1570" t="s">
        <v>542</v>
      </c>
      <c r="N1570" t="s">
        <v>542</v>
      </c>
      <c r="O1570" t="s">
        <v>542</v>
      </c>
      <c r="P1570" s="2" t="str">
        <f t="shared" si="72"/>
        <v>21/10/2025 to 24/10/2025</v>
      </c>
      <c r="Q1570" s="3">
        <v>45953</v>
      </c>
      <c r="R1570" t="str">
        <f t="shared" si="73"/>
        <v>On-Time</v>
      </c>
      <c r="S1570" t="s">
        <v>474</v>
      </c>
      <c r="T1570">
        <v>32.5</v>
      </c>
      <c r="U1570" t="s">
        <v>65</v>
      </c>
      <c r="V1570" t="s">
        <v>80</v>
      </c>
      <c r="W1570" t="str">
        <f t="shared" ca="1" si="74"/>
        <v>At Risk</v>
      </c>
    </row>
    <row r="1571" spans="1:23" x14ac:dyDescent="0.2">
      <c r="A1571">
        <v>1349</v>
      </c>
      <c r="B1571" t="s">
        <v>3895</v>
      </c>
      <c r="C1571" t="s">
        <v>3898</v>
      </c>
      <c r="D1571" s="1" t="s">
        <v>744</v>
      </c>
      <c r="E1571" t="s">
        <v>3897</v>
      </c>
      <c r="F1571" t="s">
        <v>406</v>
      </c>
      <c r="G1571" s="4" t="s">
        <v>5423</v>
      </c>
      <c r="H1571" t="s">
        <v>2404</v>
      </c>
      <c r="I1571" t="s">
        <v>201</v>
      </c>
      <c r="J1571" s="4" t="s">
        <v>74</v>
      </c>
      <c r="K1571" t="s">
        <v>3899</v>
      </c>
      <c r="L1571">
        <v>4</v>
      </c>
      <c r="M1571" t="s">
        <v>744</v>
      </c>
      <c r="N1571" t="s">
        <v>1838</v>
      </c>
      <c r="O1571" t="s">
        <v>744</v>
      </c>
      <c r="P1571" s="2" t="str">
        <f t="shared" si="72"/>
        <v>17/10/2025 to 22/10/2025</v>
      </c>
      <c r="Q1571" s="3">
        <v>45950</v>
      </c>
      <c r="R1571" t="str">
        <f t="shared" si="73"/>
        <v>On-Time</v>
      </c>
      <c r="S1571" t="s">
        <v>947</v>
      </c>
      <c r="T1571">
        <v>35</v>
      </c>
      <c r="U1571" t="s">
        <v>65</v>
      </c>
      <c r="V1571" t="s">
        <v>72</v>
      </c>
      <c r="W1571" t="str">
        <f t="shared" ca="1" si="74"/>
        <v>At Risk</v>
      </c>
    </row>
    <row r="1572" spans="1:23" x14ac:dyDescent="0.2">
      <c r="A1572">
        <v>1350</v>
      </c>
      <c r="B1572" t="s">
        <v>3895</v>
      </c>
      <c r="C1572" t="s">
        <v>3900</v>
      </c>
      <c r="D1572" s="1" t="s">
        <v>744</v>
      </c>
      <c r="E1572" t="s">
        <v>3897</v>
      </c>
      <c r="F1572" t="s">
        <v>406</v>
      </c>
      <c r="G1572" s="4" t="s">
        <v>5427</v>
      </c>
      <c r="H1572" t="s">
        <v>2404</v>
      </c>
      <c r="I1572" t="s">
        <v>201</v>
      </c>
      <c r="J1572" s="4" t="s">
        <v>5417</v>
      </c>
      <c r="K1572" t="s">
        <v>1092</v>
      </c>
      <c r="L1572">
        <v>2</v>
      </c>
      <c r="M1572" t="s">
        <v>744</v>
      </c>
      <c r="N1572" t="s">
        <v>542</v>
      </c>
      <c r="O1572" t="s">
        <v>1838</v>
      </c>
      <c r="P1572" s="2" t="str">
        <f t="shared" si="72"/>
        <v>17/10/2025 to 22/10/2025</v>
      </c>
      <c r="Q1572" s="3">
        <v>45949</v>
      </c>
      <c r="R1572" t="str">
        <f t="shared" si="73"/>
        <v>On-Time</v>
      </c>
      <c r="S1572" t="s">
        <v>948</v>
      </c>
      <c r="T1572">
        <v>18</v>
      </c>
      <c r="U1572" t="s">
        <v>65</v>
      </c>
      <c r="V1572" t="s">
        <v>80</v>
      </c>
      <c r="W1572" t="str">
        <f t="shared" ca="1" si="74"/>
        <v>At Risk</v>
      </c>
    </row>
    <row r="1573" spans="1:23" x14ac:dyDescent="0.2">
      <c r="A1573">
        <v>910</v>
      </c>
      <c r="B1573" t="s">
        <v>2841</v>
      </c>
      <c r="C1573" t="s">
        <v>2842</v>
      </c>
      <c r="D1573" s="1" t="s">
        <v>1838</v>
      </c>
      <c r="E1573" t="s">
        <v>2843</v>
      </c>
      <c r="F1573" t="s">
        <v>1723</v>
      </c>
      <c r="G1573" s="4" t="s">
        <v>5420</v>
      </c>
      <c r="H1573" t="s">
        <v>2844</v>
      </c>
      <c r="I1573" t="s">
        <v>136</v>
      </c>
      <c r="J1573" s="4" t="s">
        <v>68</v>
      </c>
      <c r="K1573" t="s">
        <v>24</v>
      </c>
      <c r="L1573">
        <v>1</v>
      </c>
      <c r="M1573" t="s">
        <v>467</v>
      </c>
      <c r="N1573" t="s">
        <v>477</v>
      </c>
      <c r="O1573" t="s">
        <v>471</v>
      </c>
      <c r="P1573" s="2" t="str">
        <f t="shared" si="72"/>
        <v>21/10/2025 to 24/10/2025</v>
      </c>
      <c r="Q1573" s="3">
        <v>45953</v>
      </c>
      <c r="R1573" t="str">
        <f t="shared" si="73"/>
        <v>On-Time</v>
      </c>
      <c r="S1573" t="s">
        <v>478</v>
      </c>
      <c r="T1573">
        <v>8</v>
      </c>
      <c r="U1573" t="s">
        <v>79</v>
      </c>
      <c r="V1573" t="s">
        <v>72</v>
      </c>
      <c r="W1573" t="str">
        <f t="shared" ca="1" si="74"/>
        <v>At Risk</v>
      </c>
    </row>
    <row r="1574" spans="1:23" x14ac:dyDescent="0.2">
      <c r="A1574">
        <v>911</v>
      </c>
      <c r="B1574" t="s">
        <v>2841</v>
      </c>
      <c r="C1574" t="s">
        <v>2845</v>
      </c>
      <c r="D1574" s="1" t="s">
        <v>1838</v>
      </c>
      <c r="E1574" t="s">
        <v>2843</v>
      </c>
      <c r="F1574" t="s">
        <v>1723</v>
      </c>
      <c r="G1574" s="4" t="s">
        <v>5422</v>
      </c>
      <c r="H1574" t="s">
        <v>2844</v>
      </c>
      <c r="I1574" t="s">
        <v>136</v>
      </c>
      <c r="J1574" s="4" t="s">
        <v>60</v>
      </c>
      <c r="K1574" t="s">
        <v>28</v>
      </c>
      <c r="L1574">
        <v>1</v>
      </c>
      <c r="M1574" t="s">
        <v>467</v>
      </c>
      <c r="N1574" t="s">
        <v>467</v>
      </c>
      <c r="O1574" t="s">
        <v>477</v>
      </c>
      <c r="P1574" s="2" t="str">
        <f t="shared" si="72"/>
        <v>21/10/2025 to 24/10/2025</v>
      </c>
      <c r="Q1574" s="3">
        <v>45949</v>
      </c>
      <c r="R1574" t="str">
        <f t="shared" si="73"/>
        <v>Late</v>
      </c>
      <c r="S1574" t="s">
        <v>948</v>
      </c>
      <c r="T1574">
        <v>9</v>
      </c>
      <c r="U1574" t="s">
        <v>65</v>
      </c>
      <c r="V1574" t="s">
        <v>66</v>
      </c>
      <c r="W1574" t="str">
        <f t="shared" ca="1" si="74"/>
        <v>At Risk</v>
      </c>
    </row>
    <row r="1575" spans="1:23" x14ac:dyDescent="0.2">
      <c r="A1575">
        <v>912</v>
      </c>
      <c r="B1575" t="s">
        <v>2841</v>
      </c>
      <c r="C1575" t="s">
        <v>2846</v>
      </c>
      <c r="D1575" s="1" t="s">
        <v>1838</v>
      </c>
      <c r="E1575" t="s">
        <v>2843</v>
      </c>
      <c r="F1575" t="s">
        <v>1723</v>
      </c>
      <c r="G1575" s="4" t="s">
        <v>5425</v>
      </c>
      <c r="H1575" t="s">
        <v>2844</v>
      </c>
      <c r="I1575" t="s">
        <v>136</v>
      </c>
      <c r="J1575" s="4" t="s">
        <v>60</v>
      </c>
      <c r="K1575" t="s">
        <v>2847</v>
      </c>
      <c r="L1575">
        <v>3</v>
      </c>
      <c r="M1575" t="s">
        <v>1838</v>
      </c>
      <c r="N1575" t="s">
        <v>467</v>
      </c>
      <c r="O1575" t="s">
        <v>542</v>
      </c>
      <c r="P1575" s="2" t="str">
        <f t="shared" si="72"/>
        <v>20/10/2025 to 23/10/2025</v>
      </c>
      <c r="Q1575" s="3">
        <v>45953</v>
      </c>
      <c r="R1575" t="str">
        <f t="shared" si="73"/>
        <v>On-Time</v>
      </c>
      <c r="S1575" t="s">
        <v>473</v>
      </c>
      <c r="T1575">
        <v>30</v>
      </c>
      <c r="U1575" t="s">
        <v>79</v>
      </c>
      <c r="V1575" t="s">
        <v>80</v>
      </c>
      <c r="W1575" t="str">
        <f t="shared" ca="1" si="74"/>
        <v>At Risk</v>
      </c>
    </row>
    <row r="1576" spans="1:23" x14ac:dyDescent="0.2">
      <c r="A1576">
        <v>1900</v>
      </c>
      <c r="B1576" t="s">
        <v>5177</v>
      </c>
      <c r="C1576" t="s">
        <v>5178</v>
      </c>
      <c r="D1576" s="1" t="s">
        <v>542</v>
      </c>
      <c r="E1576" t="s">
        <v>5179</v>
      </c>
      <c r="F1576" t="s">
        <v>2176</v>
      </c>
      <c r="G1576" s="4" t="s">
        <v>5422</v>
      </c>
      <c r="H1576" t="s">
        <v>1037</v>
      </c>
      <c r="I1576" t="s">
        <v>93</v>
      </c>
      <c r="J1576" s="4" t="s">
        <v>5417</v>
      </c>
      <c r="K1576" t="s">
        <v>5180</v>
      </c>
      <c r="L1576">
        <v>3</v>
      </c>
      <c r="M1576" t="s">
        <v>542</v>
      </c>
      <c r="N1576" t="s">
        <v>542</v>
      </c>
      <c r="O1576" t="s">
        <v>542</v>
      </c>
      <c r="P1576" s="2" t="str">
        <f t="shared" si="72"/>
        <v>21/10/2025 to 24/10/2025</v>
      </c>
      <c r="Q1576" s="3">
        <v>45953</v>
      </c>
      <c r="R1576" t="str">
        <f t="shared" si="73"/>
        <v>On-Time</v>
      </c>
      <c r="S1576" t="s">
        <v>474</v>
      </c>
      <c r="T1576">
        <v>25.5</v>
      </c>
      <c r="U1576" t="s">
        <v>65</v>
      </c>
      <c r="V1576" t="s">
        <v>66</v>
      </c>
      <c r="W1576" t="str">
        <f t="shared" ca="1" si="74"/>
        <v>At Risk</v>
      </c>
    </row>
    <row r="1577" spans="1:23" x14ac:dyDescent="0.2">
      <c r="A1577">
        <v>83</v>
      </c>
      <c r="B1577" t="s">
        <v>465</v>
      </c>
      <c r="C1577" t="s">
        <v>466</v>
      </c>
      <c r="D1577" s="1" t="s">
        <v>467</v>
      </c>
      <c r="E1577" t="s">
        <v>468</v>
      </c>
      <c r="F1577" t="s">
        <v>199</v>
      </c>
      <c r="G1577" s="4" t="s">
        <v>5425</v>
      </c>
      <c r="H1577" t="s">
        <v>469</v>
      </c>
      <c r="I1577" t="s">
        <v>112</v>
      </c>
      <c r="J1577" s="4" t="s">
        <v>74</v>
      </c>
      <c r="K1577" t="s">
        <v>470</v>
      </c>
      <c r="L1577">
        <v>4</v>
      </c>
      <c r="M1577" t="s">
        <v>471</v>
      </c>
      <c r="N1577" t="s">
        <v>472</v>
      </c>
      <c r="O1577" t="s">
        <v>471</v>
      </c>
      <c r="P1577" s="2" t="str">
        <f t="shared" si="72"/>
        <v>22/10/2025 to 27/10/2025</v>
      </c>
      <c r="Q1577" s="3">
        <v>45953</v>
      </c>
      <c r="R1577" t="str">
        <f t="shared" si="73"/>
        <v>On-Time</v>
      </c>
      <c r="S1577" t="s">
        <v>474</v>
      </c>
      <c r="T1577">
        <v>40.5</v>
      </c>
      <c r="U1577" t="s">
        <v>65</v>
      </c>
      <c r="V1577" t="s">
        <v>66</v>
      </c>
      <c r="W1577" t="str">
        <f t="shared" ca="1" si="74"/>
        <v>At Risk</v>
      </c>
    </row>
    <row r="1578" spans="1:23" x14ac:dyDescent="0.2">
      <c r="A1578">
        <v>84</v>
      </c>
      <c r="B1578" t="s">
        <v>465</v>
      </c>
      <c r="C1578" t="s">
        <v>475</v>
      </c>
      <c r="D1578" s="1" t="s">
        <v>467</v>
      </c>
      <c r="E1578" t="s">
        <v>468</v>
      </c>
      <c r="F1578" t="s">
        <v>199</v>
      </c>
      <c r="G1578" s="4" t="s">
        <v>5428</v>
      </c>
      <c r="H1578" t="s">
        <v>469</v>
      </c>
      <c r="I1578" t="s">
        <v>112</v>
      </c>
      <c r="J1578" s="4" t="s">
        <v>74</v>
      </c>
      <c r="K1578" t="s">
        <v>476</v>
      </c>
      <c r="L1578">
        <v>4</v>
      </c>
      <c r="M1578" t="s">
        <v>477</v>
      </c>
      <c r="N1578" t="s">
        <v>477</v>
      </c>
      <c r="O1578" t="s">
        <v>471</v>
      </c>
      <c r="P1578" s="2" t="str">
        <f t="shared" si="72"/>
        <v>21/10/2025 to 24/10/2025</v>
      </c>
      <c r="Q1578" s="3">
        <v>45953</v>
      </c>
      <c r="R1578" t="str">
        <f t="shared" si="73"/>
        <v>On-Time</v>
      </c>
      <c r="S1578" t="s">
        <v>478</v>
      </c>
      <c r="T1578">
        <v>38.5</v>
      </c>
      <c r="U1578" t="s">
        <v>79</v>
      </c>
      <c r="V1578" t="s">
        <v>72</v>
      </c>
      <c r="W1578" t="str">
        <f t="shared" ca="1" si="74"/>
        <v>At Risk</v>
      </c>
    </row>
    <row r="1579" spans="1:23" x14ac:dyDescent="0.2">
      <c r="A1579">
        <v>85</v>
      </c>
      <c r="B1579" t="s">
        <v>465</v>
      </c>
      <c r="C1579" t="s">
        <v>479</v>
      </c>
      <c r="D1579" s="1" t="s">
        <v>467</v>
      </c>
      <c r="E1579" t="s">
        <v>468</v>
      </c>
      <c r="F1579" t="s">
        <v>199</v>
      </c>
      <c r="G1579" s="4" t="s">
        <v>5427</v>
      </c>
      <c r="H1579" t="s">
        <v>469</v>
      </c>
      <c r="I1579" t="s">
        <v>112</v>
      </c>
      <c r="J1579" s="4" t="s">
        <v>68</v>
      </c>
      <c r="K1579" t="s">
        <v>480</v>
      </c>
      <c r="L1579">
        <v>2</v>
      </c>
      <c r="M1579" t="s">
        <v>471</v>
      </c>
      <c r="N1579" t="s">
        <v>472</v>
      </c>
      <c r="O1579" t="s">
        <v>472</v>
      </c>
      <c r="P1579" s="2" t="str">
        <f t="shared" si="72"/>
        <v>22/10/2025 to 27/10/2025</v>
      </c>
      <c r="Q1579" s="3">
        <v>45956</v>
      </c>
      <c r="R1579" t="str">
        <f t="shared" si="73"/>
        <v>On-Time</v>
      </c>
      <c r="S1579" t="s">
        <v>481</v>
      </c>
      <c r="T1579">
        <v>21</v>
      </c>
      <c r="U1579" t="s">
        <v>65</v>
      </c>
      <c r="V1579" t="s">
        <v>80</v>
      </c>
      <c r="W1579" t="str">
        <f t="shared" ca="1" si="74"/>
        <v>At Risk</v>
      </c>
    </row>
    <row r="1580" spans="1:23" x14ac:dyDescent="0.2">
      <c r="A1580">
        <v>86</v>
      </c>
      <c r="B1580" t="s">
        <v>465</v>
      </c>
      <c r="C1580" t="s">
        <v>482</v>
      </c>
      <c r="D1580" s="1" t="s">
        <v>467</v>
      </c>
      <c r="E1580" t="s">
        <v>468</v>
      </c>
      <c r="F1580" t="s">
        <v>199</v>
      </c>
      <c r="G1580" s="4" t="s">
        <v>5421</v>
      </c>
      <c r="H1580" t="s">
        <v>469</v>
      </c>
      <c r="I1580" t="s">
        <v>112</v>
      </c>
      <c r="J1580" s="4" t="s">
        <v>74</v>
      </c>
      <c r="K1580" t="s">
        <v>483</v>
      </c>
      <c r="L1580">
        <v>2</v>
      </c>
      <c r="M1580" t="s">
        <v>471</v>
      </c>
      <c r="N1580" t="s">
        <v>484</v>
      </c>
      <c r="O1580" t="s">
        <v>471</v>
      </c>
      <c r="P1580" s="2" t="str">
        <f t="shared" si="72"/>
        <v>22/10/2025 to 27/10/2025</v>
      </c>
      <c r="Q1580" s="3">
        <v>45952</v>
      </c>
      <c r="R1580" t="str">
        <f t="shared" si="73"/>
        <v>On-Time</v>
      </c>
      <c r="S1580" t="s">
        <v>473</v>
      </c>
      <c r="T1580">
        <v>19.5</v>
      </c>
      <c r="U1580" t="s">
        <v>79</v>
      </c>
      <c r="V1580" t="s">
        <v>66</v>
      </c>
      <c r="W1580" t="str">
        <f t="shared" ca="1" si="74"/>
        <v>At Risk</v>
      </c>
    </row>
    <row r="1581" spans="1:23" x14ac:dyDescent="0.2">
      <c r="A1581">
        <v>1153</v>
      </c>
      <c r="B1581" t="s">
        <v>3434</v>
      </c>
      <c r="C1581" t="s">
        <v>3435</v>
      </c>
      <c r="D1581" s="1" t="s">
        <v>467</v>
      </c>
      <c r="E1581" t="s">
        <v>3436</v>
      </c>
      <c r="F1581" t="s">
        <v>424</v>
      </c>
      <c r="G1581" s="4" t="s">
        <v>5427</v>
      </c>
      <c r="H1581" t="s">
        <v>3437</v>
      </c>
      <c r="I1581" t="s">
        <v>112</v>
      </c>
      <c r="J1581" s="4" t="s">
        <v>74</v>
      </c>
      <c r="K1581" t="s">
        <v>3438</v>
      </c>
      <c r="L1581">
        <v>3</v>
      </c>
      <c r="M1581" t="s">
        <v>471</v>
      </c>
      <c r="N1581" t="s">
        <v>471</v>
      </c>
      <c r="O1581" t="s">
        <v>471</v>
      </c>
      <c r="P1581" s="2" t="str">
        <f t="shared" si="72"/>
        <v>22/10/2025 to 27/10/2025</v>
      </c>
      <c r="Q1581" s="3">
        <v>45953</v>
      </c>
      <c r="R1581" t="str">
        <f t="shared" si="73"/>
        <v>On-Time</v>
      </c>
      <c r="S1581" t="s">
        <v>473</v>
      </c>
      <c r="T1581">
        <v>25.5</v>
      </c>
      <c r="U1581" t="s">
        <v>65</v>
      </c>
      <c r="V1581" t="s">
        <v>80</v>
      </c>
      <c r="W1581" t="str">
        <f t="shared" ca="1" si="74"/>
        <v>At Risk</v>
      </c>
    </row>
    <row r="1582" spans="1:23" x14ac:dyDescent="0.2">
      <c r="A1582">
        <v>1154</v>
      </c>
      <c r="B1582" t="s">
        <v>3434</v>
      </c>
      <c r="C1582" t="s">
        <v>3439</v>
      </c>
      <c r="D1582" s="1" t="s">
        <v>467</v>
      </c>
      <c r="E1582" t="s">
        <v>3436</v>
      </c>
      <c r="F1582" t="s">
        <v>424</v>
      </c>
      <c r="G1582" s="4" t="s">
        <v>5428</v>
      </c>
      <c r="H1582" t="s">
        <v>3437</v>
      </c>
      <c r="I1582" t="s">
        <v>112</v>
      </c>
      <c r="J1582" s="4" t="s">
        <v>68</v>
      </c>
      <c r="K1582" t="s">
        <v>10</v>
      </c>
      <c r="L1582">
        <v>1</v>
      </c>
      <c r="M1582" t="s">
        <v>477</v>
      </c>
      <c r="N1582" t="s">
        <v>477</v>
      </c>
      <c r="O1582" t="s">
        <v>484</v>
      </c>
      <c r="P1582" s="2" t="str">
        <f t="shared" si="72"/>
        <v>21/10/2025 to 24/10/2025</v>
      </c>
      <c r="Q1582" s="3">
        <v>45951</v>
      </c>
      <c r="R1582" t="str">
        <f t="shared" si="73"/>
        <v>On-Time</v>
      </c>
      <c r="S1582" t="s">
        <v>485</v>
      </c>
      <c r="T1582">
        <v>10</v>
      </c>
      <c r="U1582" t="s">
        <v>79</v>
      </c>
      <c r="V1582" t="s">
        <v>80</v>
      </c>
      <c r="W1582" t="str">
        <f t="shared" ca="1" si="74"/>
        <v>At Risk</v>
      </c>
    </row>
    <row r="1583" spans="1:23" x14ac:dyDescent="0.2">
      <c r="A1583">
        <v>1155</v>
      </c>
      <c r="B1583" t="s">
        <v>3434</v>
      </c>
      <c r="C1583" t="s">
        <v>3440</v>
      </c>
      <c r="D1583" s="1" t="s">
        <v>467</v>
      </c>
      <c r="E1583" t="s">
        <v>3436</v>
      </c>
      <c r="F1583" t="s">
        <v>424</v>
      </c>
      <c r="G1583" s="4" t="s">
        <v>5422</v>
      </c>
      <c r="H1583" t="s">
        <v>3437</v>
      </c>
      <c r="I1583" t="s">
        <v>112</v>
      </c>
      <c r="J1583" s="4" t="s">
        <v>60</v>
      </c>
      <c r="K1583" t="s">
        <v>3441</v>
      </c>
      <c r="L1583">
        <v>2</v>
      </c>
      <c r="M1583" t="s">
        <v>477</v>
      </c>
      <c r="N1583" t="s">
        <v>484</v>
      </c>
      <c r="O1583" t="s">
        <v>477</v>
      </c>
      <c r="P1583" s="2" t="str">
        <f t="shared" si="72"/>
        <v>21/10/2025 to 24/10/2025</v>
      </c>
      <c r="Q1583" s="3">
        <v>45951</v>
      </c>
      <c r="R1583" t="str">
        <f t="shared" si="73"/>
        <v>On-Time</v>
      </c>
      <c r="S1583" t="s">
        <v>473</v>
      </c>
      <c r="T1583">
        <v>23</v>
      </c>
      <c r="U1583" t="s">
        <v>79</v>
      </c>
      <c r="V1583" t="s">
        <v>66</v>
      </c>
      <c r="W1583" t="str">
        <f t="shared" ca="1" si="74"/>
        <v>At Risk</v>
      </c>
    </row>
    <row r="1584" spans="1:23" x14ac:dyDescent="0.2">
      <c r="A1584">
        <v>1156</v>
      </c>
      <c r="B1584" t="s">
        <v>3434</v>
      </c>
      <c r="C1584" t="s">
        <v>3442</v>
      </c>
      <c r="D1584" s="1" t="s">
        <v>467</v>
      </c>
      <c r="E1584" t="s">
        <v>3436</v>
      </c>
      <c r="F1584" t="s">
        <v>424</v>
      </c>
      <c r="G1584" s="4" t="s">
        <v>5427</v>
      </c>
      <c r="H1584" t="s">
        <v>3437</v>
      </c>
      <c r="I1584" t="s">
        <v>112</v>
      </c>
      <c r="J1584" s="4" t="s">
        <v>74</v>
      </c>
      <c r="K1584" t="s">
        <v>3443</v>
      </c>
      <c r="L1584">
        <v>4</v>
      </c>
      <c r="M1584" t="s">
        <v>467</v>
      </c>
      <c r="N1584" t="s">
        <v>477</v>
      </c>
      <c r="O1584" t="s">
        <v>471</v>
      </c>
      <c r="P1584" s="2" t="str">
        <f t="shared" si="72"/>
        <v>21/10/2025 to 24/10/2025</v>
      </c>
      <c r="Q1584" s="3">
        <v>45953</v>
      </c>
      <c r="R1584" t="str">
        <f t="shared" si="73"/>
        <v>On-Time</v>
      </c>
      <c r="S1584" t="s">
        <v>478</v>
      </c>
      <c r="T1584">
        <v>43.5</v>
      </c>
      <c r="U1584" t="s">
        <v>79</v>
      </c>
      <c r="V1584" t="s">
        <v>72</v>
      </c>
      <c r="W1584" t="str">
        <f t="shared" ca="1" si="74"/>
        <v>At Risk</v>
      </c>
    </row>
    <row r="1585" spans="1:23" x14ac:dyDescent="0.2">
      <c r="A1585">
        <v>1157</v>
      </c>
      <c r="B1585" t="s">
        <v>3434</v>
      </c>
      <c r="C1585" t="s">
        <v>3444</v>
      </c>
      <c r="D1585" s="1" t="s">
        <v>467</v>
      </c>
      <c r="E1585" t="s">
        <v>3436</v>
      </c>
      <c r="F1585" t="s">
        <v>424</v>
      </c>
      <c r="G1585" s="4" t="s">
        <v>5426</v>
      </c>
      <c r="H1585" t="s">
        <v>3437</v>
      </c>
      <c r="I1585" t="s">
        <v>112</v>
      </c>
      <c r="J1585" s="4" t="s">
        <v>5417</v>
      </c>
      <c r="K1585" t="s">
        <v>3445</v>
      </c>
      <c r="L1585">
        <v>3</v>
      </c>
      <c r="M1585" t="s">
        <v>477</v>
      </c>
      <c r="N1585" t="s">
        <v>484</v>
      </c>
      <c r="O1585" t="s">
        <v>477</v>
      </c>
      <c r="P1585" s="2" t="str">
        <f t="shared" si="72"/>
        <v>21/10/2025 to 24/10/2025</v>
      </c>
      <c r="Q1585" s="3">
        <v>45949</v>
      </c>
      <c r="R1585" t="str">
        <f t="shared" si="73"/>
        <v>Late</v>
      </c>
      <c r="S1585" t="s">
        <v>948</v>
      </c>
      <c r="T1585">
        <v>27.5</v>
      </c>
      <c r="U1585" t="s">
        <v>79</v>
      </c>
      <c r="V1585" t="s">
        <v>72</v>
      </c>
      <c r="W1585" t="str">
        <f t="shared" ca="1" si="74"/>
        <v>At Risk</v>
      </c>
    </row>
    <row r="1586" spans="1:23" x14ac:dyDescent="0.2">
      <c r="A1586">
        <v>1490</v>
      </c>
      <c r="B1586" t="s">
        <v>4245</v>
      </c>
      <c r="C1586" t="s">
        <v>4246</v>
      </c>
      <c r="D1586" s="1" t="s">
        <v>467</v>
      </c>
      <c r="E1586" t="s">
        <v>4247</v>
      </c>
      <c r="F1586" t="s">
        <v>1139</v>
      </c>
      <c r="G1586" s="4" t="s">
        <v>5424</v>
      </c>
      <c r="H1586" t="s">
        <v>4248</v>
      </c>
      <c r="I1586" t="s">
        <v>136</v>
      </c>
      <c r="J1586" s="4" t="s">
        <v>74</v>
      </c>
      <c r="K1586" t="s">
        <v>4249</v>
      </c>
      <c r="L1586">
        <v>3</v>
      </c>
      <c r="M1586" t="s">
        <v>471</v>
      </c>
      <c r="N1586" t="s">
        <v>472</v>
      </c>
      <c r="O1586" t="s">
        <v>484</v>
      </c>
      <c r="P1586" s="2" t="str">
        <f t="shared" si="72"/>
        <v>22/10/2025 to 27/10/2025</v>
      </c>
      <c r="Q1586" s="3">
        <v>45954</v>
      </c>
      <c r="R1586" t="str">
        <f t="shared" si="73"/>
        <v>On-Time</v>
      </c>
      <c r="S1586" t="s">
        <v>481</v>
      </c>
      <c r="T1586">
        <v>27.5</v>
      </c>
      <c r="U1586" t="s">
        <v>65</v>
      </c>
      <c r="V1586" t="s">
        <v>72</v>
      </c>
      <c r="W1586" t="str">
        <f t="shared" ca="1" si="74"/>
        <v>At Risk</v>
      </c>
    </row>
    <row r="1587" spans="1:23" x14ac:dyDescent="0.2">
      <c r="A1587">
        <v>1491</v>
      </c>
      <c r="B1587" t="s">
        <v>4245</v>
      </c>
      <c r="C1587" t="s">
        <v>4250</v>
      </c>
      <c r="D1587" s="1" t="s">
        <v>467</v>
      </c>
      <c r="E1587" t="s">
        <v>4247</v>
      </c>
      <c r="F1587" t="s">
        <v>1139</v>
      </c>
      <c r="G1587" s="4" t="s">
        <v>5424</v>
      </c>
      <c r="H1587" t="s">
        <v>4248</v>
      </c>
      <c r="I1587" t="s">
        <v>136</v>
      </c>
      <c r="J1587" s="4" t="s">
        <v>60</v>
      </c>
      <c r="K1587" t="s">
        <v>4042</v>
      </c>
      <c r="L1587">
        <v>3</v>
      </c>
      <c r="M1587" t="s">
        <v>467</v>
      </c>
      <c r="N1587" t="s">
        <v>471</v>
      </c>
      <c r="O1587" t="s">
        <v>477</v>
      </c>
      <c r="P1587" s="2" t="str">
        <f t="shared" si="72"/>
        <v>21/10/2025 to 24/10/2025</v>
      </c>
      <c r="Q1587" s="3">
        <v>45955</v>
      </c>
      <c r="R1587" t="str">
        <f t="shared" si="73"/>
        <v>Late</v>
      </c>
      <c r="S1587" t="s">
        <v>681</v>
      </c>
      <c r="T1587">
        <v>31.5</v>
      </c>
      <c r="U1587" t="s">
        <v>79</v>
      </c>
      <c r="V1587" t="s">
        <v>80</v>
      </c>
      <c r="W1587" t="str">
        <f t="shared" ca="1" si="74"/>
        <v>At Risk</v>
      </c>
    </row>
    <row r="1588" spans="1:23" x14ac:dyDescent="0.2">
      <c r="A1588">
        <v>1492</v>
      </c>
      <c r="B1588" t="s">
        <v>4245</v>
      </c>
      <c r="C1588" t="s">
        <v>4251</v>
      </c>
      <c r="D1588" s="1" t="s">
        <v>467</v>
      </c>
      <c r="E1588" t="s">
        <v>4247</v>
      </c>
      <c r="F1588" t="s">
        <v>1139</v>
      </c>
      <c r="G1588" s="4" t="s">
        <v>5426</v>
      </c>
      <c r="H1588" t="s">
        <v>4248</v>
      </c>
      <c r="I1588" t="s">
        <v>136</v>
      </c>
      <c r="J1588" s="4" t="s">
        <v>74</v>
      </c>
      <c r="K1588" t="s">
        <v>4086</v>
      </c>
      <c r="L1588">
        <v>2</v>
      </c>
      <c r="M1588" t="s">
        <v>467</v>
      </c>
      <c r="N1588" t="s">
        <v>471</v>
      </c>
      <c r="O1588" t="s">
        <v>467</v>
      </c>
      <c r="P1588" s="2" t="str">
        <f t="shared" si="72"/>
        <v>21/10/2025 to 24/10/2025</v>
      </c>
      <c r="Q1588" s="3">
        <v>45953</v>
      </c>
      <c r="R1588" t="str">
        <f t="shared" si="73"/>
        <v>On-Time</v>
      </c>
      <c r="S1588" t="s">
        <v>474</v>
      </c>
      <c r="T1588">
        <v>21.5</v>
      </c>
      <c r="U1588" t="s">
        <v>79</v>
      </c>
      <c r="V1588" t="s">
        <v>80</v>
      </c>
      <c r="W1588" t="str">
        <f t="shared" ca="1" si="74"/>
        <v>At Risk</v>
      </c>
    </row>
    <row r="1589" spans="1:23" x14ac:dyDescent="0.2">
      <c r="A1589">
        <v>1493</v>
      </c>
      <c r="B1589" t="s">
        <v>4245</v>
      </c>
      <c r="C1589" t="s">
        <v>4252</v>
      </c>
      <c r="D1589" s="1" t="s">
        <v>467</v>
      </c>
      <c r="E1589" t="s">
        <v>4247</v>
      </c>
      <c r="F1589" t="s">
        <v>1139</v>
      </c>
      <c r="G1589" s="4" t="s">
        <v>5423</v>
      </c>
      <c r="H1589" t="s">
        <v>4248</v>
      </c>
      <c r="I1589" t="s">
        <v>136</v>
      </c>
      <c r="J1589" s="4" t="s">
        <v>60</v>
      </c>
      <c r="K1589" t="s">
        <v>22</v>
      </c>
      <c r="L1589">
        <v>1</v>
      </c>
      <c r="M1589" t="s">
        <v>471</v>
      </c>
      <c r="N1589" t="s">
        <v>471</v>
      </c>
      <c r="O1589" t="s">
        <v>472</v>
      </c>
      <c r="P1589" s="2" t="str">
        <f t="shared" si="72"/>
        <v>22/10/2025 to 27/10/2025</v>
      </c>
      <c r="Q1589" s="3">
        <v>45955</v>
      </c>
      <c r="R1589" t="str">
        <f t="shared" si="73"/>
        <v>On-Time</v>
      </c>
      <c r="S1589" t="s">
        <v>681</v>
      </c>
      <c r="T1589">
        <v>8</v>
      </c>
      <c r="U1589" t="s">
        <v>79</v>
      </c>
      <c r="V1589" t="s">
        <v>80</v>
      </c>
      <c r="W1589" t="str">
        <f t="shared" ca="1" si="74"/>
        <v>At Risk</v>
      </c>
    </row>
    <row r="1590" spans="1:23" x14ac:dyDescent="0.2">
      <c r="A1590">
        <v>366</v>
      </c>
      <c r="B1590" t="s">
        <v>1441</v>
      </c>
      <c r="C1590" t="s">
        <v>1442</v>
      </c>
      <c r="D1590" s="1" t="s">
        <v>477</v>
      </c>
      <c r="E1590" t="s">
        <v>1443</v>
      </c>
      <c r="F1590" t="s">
        <v>1077</v>
      </c>
      <c r="G1590" s="4" t="s">
        <v>5419</v>
      </c>
      <c r="H1590" t="s">
        <v>1444</v>
      </c>
      <c r="I1590" t="s">
        <v>136</v>
      </c>
      <c r="J1590" s="4" t="s">
        <v>74</v>
      </c>
      <c r="K1590" t="s">
        <v>1445</v>
      </c>
      <c r="L1590">
        <v>3</v>
      </c>
      <c r="M1590" t="s">
        <v>484</v>
      </c>
      <c r="N1590" t="s">
        <v>679</v>
      </c>
      <c r="O1590" t="s">
        <v>472</v>
      </c>
      <c r="P1590" s="2" t="str">
        <f t="shared" si="72"/>
        <v>23/10/2025 to 28/10/2025</v>
      </c>
      <c r="Q1590" s="3">
        <v>45957</v>
      </c>
      <c r="R1590" t="str">
        <f t="shared" si="73"/>
        <v>On-Time</v>
      </c>
      <c r="S1590" t="s">
        <v>951</v>
      </c>
      <c r="T1590">
        <v>25.5</v>
      </c>
      <c r="U1590" t="s">
        <v>79</v>
      </c>
      <c r="V1590" t="s">
        <v>72</v>
      </c>
      <c r="W1590" t="str">
        <f t="shared" ca="1" si="74"/>
        <v>At Risk</v>
      </c>
    </row>
    <row r="1591" spans="1:23" x14ac:dyDescent="0.2">
      <c r="A1591">
        <v>367</v>
      </c>
      <c r="B1591" t="s">
        <v>1441</v>
      </c>
      <c r="C1591" t="s">
        <v>1446</v>
      </c>
      <c r="D1591" s="1" t="s">
        <v>477</v>
      </c>
      <c r="E1591" t="s">
        <v>1443</v>
      </c>
      <c r="F1591" t="s">
        <v>1077</v>
      </c>
      <c r="G1591" s="4" t="s">
        <v>5425</v>
      </c>
      <c r="H1591" t="s">
        <v>1444</v>
      </c>
      <c r="I1591" t="s">
        <v>136</v>
      </c>
      <c r="J1591" s="4" t="s">
        <v>74</v>
      </c>
      <c r="K1591" t="s">
        <v>1447</v>
      </c>
      <c r="L1591">
        <v>2</v>
      </c>
      <c r="M1591" t="s">
        <v>471</v>
      </c>
      <c r="N1591" t="s">
        <v>472</v>
      </c>
      <c r="O1591" t="s">
        <v>471</v>
      </c>
      <c r="P1591" s="2" t="str">
        <f t="shared" si="72"/>
        <v>22/10/2025 to 27/10/2025</v>
      </c>
      <c r="Q1591" s="3">
        <v>45950</v>
      </c>
      <c r="R1591" t="str">
        <f t="shared" si="73"/>
        <v>Late</v>
      </c>
      <c r="S1591" t="s">
        <v>485</v>
      </c>
      <c r="T1591">
        <v>17.5</v>
      </c>
      <c r="U1591" t="s">
        <v>65</v>
      </c>
      <c r="V1591" t="s">
        <v>72</v>
      </c>
      <c r="W1591" t="str">
        <f t="shared" ca="1" si="74"/>
        <v>At Risk</v>
      </c>
    </row>
    <row r="1592" spans="1:23" x14ac:dyDescent="0.2">
      <c r="A1592">
        <v>368</v>
      </c>
      <c r="B1592" t="s">
        <v>1441</v>
      </c>
      <c r="C1592" t="s">
        <v>1448</v>
      </c>
      <c r="D1592" s="1" t="s">
        <v>477</v>
      </c>
      <c r="E1592" t="s">
        <v>1443</v>
      </c>
      <c r="F1592" t="s">
        <v>1077</v>
      </c>
      <c r="G1592" s="4" t="s">
        <v>5427</v>
      </c>
      <c r="H1592" t="s">
        <v>1444</v>
      </c>
      <c r="I1592" t="s">
        <v>136</v>
      </c>
      <c r="J1592" s="4" t="s">
        <v>74</v>
      </c>
      <c r="K1592" t="s">
        <v>373</v>
      </c>
      <c r="L1592">
        <v>2</v>
      </c>
      <c r="M1592" t="s">
        <v>484</v>
      </c>
      <c r="N1592" t="s">
        <v>472</v>
      </c>
      <c r="O1592" t="s">
        <v>484</v>
      </c>
      <c r="P1592" s="2" t="str">
        <f t="shared" si="72"/>
        <v>23/10/2025 to 28/10/2025</v>
      </c>
      <c r="Q1592" s="3">
        <v>45954</v>
      </c>
      <c r="R1592" t="str">
        <f t="shared" si="73"/>
        <v>On-Time</v>
      </c>
      <c r="S1592" t="s">
        <v>481</v>
      </c>
      <c r="T1592">
        <v>19.5</v>
      </c>
      <c r="U1592" t="s">
        <v>79</v>
      </c>
      <c r="V1592" t="s">
        <v>72</v>
      </c>
      <c r="W1592" t="str">
        <f t="shared" ca="1" si="74"/>
        <v>At Risk</v>
      </c>
    </row>
    <row r="1593" spans="1:23" x14ac:dyDescent="0.2">
      <c r="A1593">
        <v>1422</v>
      </c>
      <c r="B1593" t="s">
        <v>4073</v>
      </c>
      <c r="C1593" t="s">
        <v>4074</v>
      </c>
      <c r="D1593" s="1" t="s">
        <v>477</v>
      </c>
      <c r="E1593" t="s">
        <v>4075</v>
      </c>
      <c r="F1593" t="s">
        <v>356</v>
      </c>
      <c r="G1593" s="4" t="s">
        <v>5424</v>
      </c>
      <c r="H1593" t="s">
        <v>4076</v>
      </c>
      <c r="I1593" t="s">
        <v>112</v>
      </c>
      <c r="J1593" s="4" t="s">
        <v>5417</v>
      </c>
      <c r="K1593" t="s">
        <v>24</v>
      </c>
      <c r="L1593">
        <v>1</v>
      </c>
      <c r="M1593" t="s">
        <v>471</v>
      </c>
      <c r="N1593" t="s">
        <v>484</v>
      </c>
      <c r="O1593" t="s">
        <v>472</v>
      </c>
      <c r="P1593" s="2" t="str">
        <f t="shared" si="72"/>
        <v>22/10/2025 to 27/10/2025</v>
      </c>
      <c r="Q1593" s="3">
        <v>45952</v>
      </c>
      <c r="R1593" t="str">
        <f t="shared" si="73"/>
        <v>On-Time</v>
      </c>
      <c r="S1593" t="s">
        <v>485</v>
      </c>
      <c r="T1593">
        <v>8</v>
      </c>
      <c r="U1593" t="s">
        <v>65</v>
      </c>
      <c r="V1593" t="s">
        <v>66</v>
      </c>
      <c r="W1593" t="str">
        <f t="shared" ca="1" si="74"/>
        <v>At Risk</v>
      </c>
    </row>
    <row r="1594" spans="1:23" x14ac:dyDescent="0.2">
      <c r="A1594">
        <v>1423</v>
      </c>
      <c r="B1594" t="s">
        <v>4073</v>
      </c>
      <c r="C1594" t="s">
        <v>4077</v>
      </c>
      <c r="D1594" s="1" t="s">
        <v>477</v>
      </c>
      <c r="E1594" t="s">
        <v>4075</v>
      </c>
      <c r="F1594" t="s">
        <v>356</v>
      </c>
      <c r="G1594" s="4" t="s">
        <v>5428</v>
      </c>
      <c r="H1594" t="s">
        <v>4076</v>
      </c>
      <c r="I1594" t="s">
        <v>112</v>
      </c>
      <c r="J1594" s="4" t="s">
        <v>60</v>
      </c>
      <c r="K1594" t="s">
        <v>3531</v>
      </c>
      <c r="L1594">
        <v>2</v>
      </c>
      <c r="M1594" t="s">
        <v>484</v>
      </c>
      <c r="N1594" t="s">
        <v>484</v>
      </c>
      <c r="O1594" t="s">
        <v>472</v>
      </c>
      <c r="P1594" s="2" t="str">
        <f t="shared" si="72"/>
        <v>23/10/2025 to 28/10/2025</v>
      </c>
      <c r="Q1594" s="3">
        <v>45952</v>
      </c>
      <c r="R1594" t="str">
        <f t="shared" si="73"/>
        <v>Late</v>
      </c>
      <c r="S1594" t="s">
        <v>478</v>
      </c>
      <c r="T1594">
        <v>17.5</v>
      </c>
      <c r="U1594" t="s">
        <v>65</v>
      </c>
      <c r="V1594" t="s">
        <v>80</v>
      </c>
      <c r="W1594" t="str">
        <f t="shared" ca="1" si="74"/>
        <v>At Risk</v>
      </c>
    </row>
    <row r="1595" spans="1:23" x14ac:dyDescent="0.2">
      <c r="A1595">
        <v>128</v>
      </c>
      <c r="B1595" t="s">
        <v>674</v>
      </c>
      <c r="C1595" t="s">
        <v>675</v>
      </c>
      <c r="D1595" s="1" t="s">
        <v>471</v>
      </c>
      <c r="E1595" t="s">
        <v>676</v>
      </c>
      <c r="F1595" t="s">
        <v>229</v>
      </c>
      <c r="G1595" s="4" t="s">
        <v>5418</v>
      </c>
      <c r="H1595" t="s">
        <v>677</v>
      </c>
      <c r="I1595" t="s">
        <v>112</v>
      </c>
      <c r="J1595" s="4" t="s">
        <v>60</v>
      </c>
      <c r="K1595" t="s">
        <v>678</v>
      </c>
      <c r="L1595">
        <v>3</v>
      </c>
      <c r="M1595" t="s">
        <v>472</v>
      </c>
      <c r="N1595" t="s">
        <v>679</v>
      </c>
      <c r="O1595" t="s">
        <v>680</v>
      </c>
      <c r="P1595" s="2" t="str">
        <f t="shared" si="72"/>
        <v>24/10/2025 to 29/10/2025</v>
      </c>
      <c r="Q1595" s="3">
        <v>45955</v>
      </c>
      <c r="R1595" t="str">
        <f t="shared" si="73"/>
        <v>On-Time</v>
      </c>
      <c r="S1595" t="s">
        <v>681</v>
      </c>
      <c r="T1595">
        <v>26</v>
      </c>
      <c r="U1595" t="s">
        <v>65</v>
      </c>
      <c r="V1595" t="s">
        <v>72</v>
      </c>
      <c r="W1595" t="str">
        <f t="shared" ca="1" si="74"/>
        <v>At Risk</v>
      </c>
    </row>
    <row r="1596" spans="1:23" x14ac:dyDescent="0.2">
      <c r="A1596">
        <v>129</v>
      </c>
      <c r="B1596" t="s">
        <v>674</v>
      </c>
      <c r="C1596" t="s">
        <v>682</v>
      </c>
      <c r="D1596" s="1" t="s">
        <v>471</v>
      </c>
      <c r="E1596" t="s">
        <v>676</v>
      </c>
      <c r="F1596" t="s">
        <v>229</v>
      </c>
      <c r="G1596" s="4" t="s">
        <v>38</v>
      </c>
      <c r="H1596" t="s">
        <v>677</v>
      </c>
      <c r="I1596" t="s">
        <v>112</v>
      </c>
      <c r="J1596" s="4" t="s">
        <v>60</v>
      </c>
      <c r="K1596" t="s">
        <v>8</v>
      </c>
      <c r="L1596">
        <v>1</v>
      </c>
      <c r="M1596" t="s">
        <v>484</v>
      </c>
      <c r="N1596" t="s">
        <v>484</v>
      </c>
      <c r="O1596" t="s">
        <v>472</v>
      </c>
      <c r="P1596" s="2" t="str">
        <f t="shared" si="72"/>
        <v>23/10/2025 to 28/10/2025</v>
      </c>
      <c r="Q1596" s="3">
        <v>45955</v>
      </c>
      <c r="R1596" t="str">
        <f t="shared" si="73"/>
        <v>On-Time</v>
      </c>
      <c r="S1596" t="s">
        <v>481</v>
      </c>
      <c r="T1596">
        <v>9</v>
      </c>
      <c r="U1596" t="s">
        <v>65</v>
      </c>
      <c r="V1596" t="s">
        <v>72</v>
      </c>
      <c r="W1596" t="str">
        <f t="shared" ca="1" si="74"/>
        <v>At Risk</v>
      </c>
    </row>
    <row r="1597" spans="1:23" x14ac:dyDescent="0.2">
      <c r="A1597">
        <v>130</v>
      </c>
      <c r="B1597" t="s">
        <v>674</v>
      </c>
      <c r="C1597" t="s">
        <v>683</v>
      </c>
      <c r="D1597" s="1" t="s">
        <v>471</v>
      </c>
      <c r="E1597" t="s">
        <v>676</v>
      </c>
      <c r="F1597" t="s">
        <v>229</v>
      </c>
      <c r="G1597" s="4" t="s">
        <v>5421</v>
      </c>
      <c r="H1597" t="s">
        <v>677</v>
      </c>
      <c r="I1597" t="s">
        <v>112</v>
      </c>
      <c r="J1597" s="4" t="s">
        <v>60</v>
      </c>
      <c r="K1597" t="s">
        <v>684</v>
      </c>
      <c r="L1597">
        <v>4</v>
      </c>
      <c r="M1597" t="s">
        <v>472</v>
      </c>
      <c r="N1597" t="s">
        <v>679</v>
      </c>
      <c r="O1597" t="s">
        <v>472</v>
      </c>
      <c r="P1597" s="2" t="str">
        <f t="shared" si="72"/>
        <v>24/10/2025 to 29/10/2025</v>
      </c>
      <c r="Q1597" s="3">
        <v>45953</v>
      </c>
      <c r="R1597" t="str">
        <f t="shared" si="73"/>
        <v>Late</v>
      </c>
      <c r="S1597" t="s">
        <v>478</v>
      </c>
      <c r="T1597">
        <v>44.5</v>
      </c>
      <c r="U1597" t="s">
        <v>79</v>
      </c>
      <c r="V1597" t="s">
        <v>72</v>
      </c>
      <c r="W1597" t="str">
        <f t="shared" ca="1" si="74"/>
        <v>At Risk</v>
      </c>
    </row>
    <row r="1598" spans="1:23" x14ac:dyDescent="0.2">
      <c r="A1598">
        <v>131</v>
      </c>
      <c r="B1598" t="s">
        <v>674</v>
      </c>
      <c r="C1598" t="s">
        <v>685</v>
      </c>
      <c r="D1598" s="1" t="s">
        <v>471</v>
      </c>
      <c r="E1598" t="s">
        <v>676</v>
      </c>
      <c r="F1598" t="s">
        <v>229</v>
      </c>
      <c r="G1598" s="4" t="s">
        <v>5419</v>
      </c>
      <c r="H1598" t="s">
        <v>677</v>
      </c>
      <c r="I1598" t="s">
        <v>112</v>
      </c>
      <c r="J1598" s="4" t="s">
        <v>5417</v>
      </c>
      <c r="K1598" t="s">
        <v>686</v>
      </c>
      <c r="L1598">
        <v>3</v>
      </c>
      <c r="M1598" t="s">
        <v>471</v>
      </c>
      <c r="N1598" t="s">
        <v>484</v>
      </c>
      <c r="O1598" t="s">
        <v>472</v>
      </c>
      <c r="P1598" s="2" t="str">
        <f t="shared" si="72"/>
        <v>22/10/2025 to 27/10/2025</v>
      </c>
      <c r="Q1598" s="3">
        <v>45955</v>
      </c>
      <c r="R1598" t="str">
        <f t="shared" si="73"/>
        <v>On-Time</v>
      </c>
      <c r="S1598" t="s">
        <v>474</v>
      </c>
      <c r="T1598">
        <v>26</v>
      </c>
      <c r="U1598" t="s">
        <v>79</v>
      </c>
      <c r="V1598" t="s">
        <v>66</v>
      </c>
      <c r="W1598" t="str">
        <f t="shared" ca="1" si="74"/>
        <v>At Risk</v>
      </c>
    </row>
    <row r="1599" spans="1:23" x14ac:dyDescent="0.2">
      <c r="A1599">
        <v>158</v>
      </c>
      <c r="B1599" t="s">
        <v>800</v>
      </c>
      <c r="C1599" t="s">
        <v>801</v>
      </c>
      <c r="D1599" s="1" t="s">
        <v>471</v>
      </c>
      <c r="E1599" t="s">
        <v>802</v>
      </c>
      <c r="F1599" t="s">
        <v>803</v>
      </c>
      <c r="G1599" s="4" t="s">
        <v>5423</v>
      </c>
      <c r="H1599" t="s">
        <v>804</v>
      </c>
      <c r="I1599" t="s">
        <v>201</v>
      </c>
      <c r="J1599" s="4" t="s">
        <v>5417</v>
      </c>
      <c r="K1599" t="s">
        <v>32</v>
      </c>
      <c r="L1599">
        <v>1</v>
      </c>
      <c r="M1599" t="s">
        <v>484</v>
      </c>
      <c r="N1599" t="s">
        <v>679</v>
      </c>
      <c r="O1599" t="s">
        <v>472</v>
      </c>
      <c r="P1599" s="2" t="str">
        <f t="shared" si="72"/>
        <v>23/10/2025 to 28/10/2025</v>
      </c>
      <c r="Q1599" s="3">
        <v>45953</v>
      </c>
      <c r="R1599" t="str">
        <f t="shared" si="73"/>
        <v>On-Time</v>
      </c>
      <c r="S1599" t="s">
        <v>473</v>
      </c>
      <c r="T1599">
        <v>14</v>
      </c>
      <c r="U1599" t="s">
        <v>65</v>
      </c>
      <c r="V1599" t="s">
        <v>66</v>
      </c>
      <c r="W1599" t="str">
        <f t="shared" ca="1" si="74"/>
        <v>At Risk</v>
      </c>
    </row>
    <row r="1600" spans="1:23" x14ac:dyDescent="0.2">
      <c r="A1600">
        <v>159</v>
      </c>
      <c r="B1600" t="s">
        <v>800</v>
      </c>
      <c r="C1600" t="s">
        <v>805</v>
      </c>
      <c r="D1600" s="1" t="s">
        <v>471</v>
      </c>
      <c r="E1600" t="s">
        <v>802</v>
      </c>
      <c r="F1600" t="s">
        <v>803</v>
      </c>
      <c r="G1600" s="4" t="s">
        <v>5421</v>
      </c>
      <c r="H1600" t="s">
        <v>804</v>
      </c>
      <c r="I1600" t="s">
        <v>201</v>
      </c>
      <c r="J1600" s="4" t="s">
        <v>68</v>
      </c>
      <c r="K1600" t="s">
        <v>806</v>
      </c>
      <c r="L1600">
        <v>3</v>
      </c>
      <c r="M1600" t="s">
        <v>472</v>
      </c>
      <c r="N1600" t="s">
        <v>680</v>
      </c>
      <c r="O1600" t="s">
        <v>679</v>
      </c>
      <c r="P1600" s="2" t="str">
        <f t="shared" si="72"/>
        <v>24/10/2025 to 29/10/2025</v>
      </c>
      <c r="Q1600" s="3">
        <v>45958</v>
      </c>
      <c r="R1600" t="str">
        <f t="shared" si="73"/>
        <v>On-Time</v>
      </c>
      <c r="S1600" t="s">
        <v>807</v>
      </c>
      <c r="T1600">
        <v>25</v>
      </c>
      <c r="U1600" t="s">
        <v>79</v>
      </c>
      <c r="V1600" t="s">
        <v>66</v>
      </c>
      <c r="W1600" t="str">
        <f t="shared" ca="1" si="74"/>
        <v>At Risk</v>
      </c>
    </row>
    <row r="1601" spans="1:23" x14ac:dyDescent="0.2">
      <c r="A1601">
        <v>160</v>
      </c>
      <c r="B1601" t="s">
        <v>800</v>
      </c>
      <c r="C1601" t="s">
        <v>808</v>
      </c>
      <c r="D1601" s="1" t="s">
        <v>471</v>
      </c>
      <c r="E1601" t="s">
        <v>802</v>
      </c>
      <c r="F1601" t="s">
        <v>803</v>
      </c>
      <c r="G1601" s="4" t="s">
        <v>5420</v>
      </c>
      <c r="H1601" t="s">
        <v>804</v>
      </c>
      <c r="I1601" t="s">
        <v>201</v>
      </c>
      <c r="J1601" s="4" t="s">
        <v>5417</v>
      </c>
      <c r="K1601" t="s">
        <v>16</v>
      </c>
      <c r="L1601">
        <v>1</v>
      </c>
      <c r="M1601" t="s">
        <v>471</v>
      </c>
      <c r="N1601" t="s">
        <v>484</v>
      </c>
      <c r="O1601" t="s">
        <v>472</v>
      </c>
      <c r="P1601" s="2" t="str">
        <f t="shared" si="72"/>
        <v>22/10/2025 to 27/10/2025</v>
      </c>
      <c r="Q1601" s="3">
        <v>45953</v>
      </c>
      <c r="R1601" t="str">
        <f t="shared" si="73"/>
        <v>On-Time</v>
      </c>
      <c r="S1601" t="s">
        <v>478</v>
      </c>
      <c r="T1601">
        <v>11</v>
      </c>
      <c r="U1601" t="s">
        <v>65</v>
      </c>
      <c r="V1601" t="s">
        <v>80</v>
      </c>
      <c r="W1601" t="str">
        <f t="shared" ca="1" si="74"/>
        <v>At Risk</v>
      </c>
    </row>
    <row r="1602" spans="1:23" x14ac:dyDescent="0.2">
      <c r="A1602">
        <v>161</v>
      </c>
      <c r="B1602" t="s">
        <v>800</v>
      </c>
      <c r="C1602" t="s">
        <v>809</v>
      </c>
      <c r="D1602" s="1" t="s">
        <v>471</v>
      </c>
      <c r="E1602" t="s">
        <v>802</v>
      </c>
      <c r="F1602" t="s">
        <v>803</v>
      </c>
      <c r="G1602" s="4" t="s">
        <v>5423</v>
      </c>
      <c r="H1602" t="s">
        <v>804</v>
      </c>
      <c r="I1602" t="s">
        <v>201</v>
      </c>
      <c r="J1602" s="4" t="s">
        <v>74</v>
      </c>
      <c r="K1602" t="s">
        <v>24</v>
      </c>
      <c r="L1602">
        <v>1</v>
      </c>
      <c r="M1602" t="s">
        <v>472</v>
      </c>
      <c r="N1602" t="s">
        <v>679</v>
      </c>
      <c r="O1602" t="s">
        <v>679</v>
      </c>
      <c r="P1602" s="2" t="str">
        <f t="shared" ref="P1602:P1665" si="75">IF(ISBLANK(M1602), "", TEXT(WORKDAY(M1602, 7), "dd/mm/yyyy") &amp; " to " &amp; TEXT(WORKDAY(M1602, 10), "dd/mm/yyyy"))</f>
        <v>24/10/2025 to 29/10/2025</v>
      </c>
      <c r="Q1602" s="3">
        <v>45953</v>
      </c>
      <c r="R1602" t="str">
        <f t="shared" ref="R1602:R1665" si="76">IF(Q1602="","In Progress",
IF(AND(--Q1602&gt;=DATEVALUE(LEFT(P1602,10)),
       --Q1602&lt;=DATEVALUE(TRIM(MID(P1602,FIND("to",P1602)+3,10)))),
   "On-Time","Late"))</f>
        <v>Late</v>
      </c>
      <c r="S1602" t="s">
        <v>478</v>
      </c>
      <c r="T1602">
        <v>8</v>
      </c>
      <c r="U1602" t="s">
        <v>65</v>
      </c>
      <c r="V1602" t="s">
        <v>80</v>
      </c>
      <c r="W1602" t="str">
        <f t="shared" ca="1" si="74"/>
        <v>At Risk</v>
      </c>
    </row>
    <row r="1603" spans="1:23" x14ac:dyDescent="0.2">
      <c r="A1603">
        <v>180</v>
      </c>
      <c r="B1603" t="s">
        <v>869</v>
      </c>
      <c r="C1603" t="s">
        <v>870</v>
      </c>
      <c r="D1603" s="1" t="s">
        <v>471</v>
      </c>
      <c r="E1603" t="s">
        <v>871</v>
      </c>
      <c r="F1603" t="s">
        <v>872</v>
      </c>
      <c r="G1603" s="4" t="s">
        <v>5418</v>
      </c>
      <c r="H1603" t="s">
        <v>873</v>
      </c>
      <c r="I1603" t="s">
        <v>93</v>
      </c>
      <c r="J1603" s="4" t="s">
        <v>60</v>
      </c>
      <c r="K1603" t="s">
        <v>874</v>
      </c>
      <c r="L1603">
        <v>4</v>
      </c>
      <c r="M1603" t="s">
        <v>484</v>
      </c>
      <c r="N1603" t="s">
        <v>679</v>
      </c>
      <c r="O1603" t="s">
        <v>484</v>
      </c>
      <c r="P1603" s="2" t="str">
        <f t="shared" si="75"/>
        <v>23/10/2025 to 28/10/2025</v>
      </c>
      <c r="Q1603" s="3">
        <v>45956</v>
      </c>
      <c r="R1603" t="str">
        <f t="shared" si="76"/>
        <v>On-Time</v>
      </c>
      <c r="S1603" t="s">
        <v>807</v>
      </c>
      <c r="T1603">
        <v>41.5</v>
      </c>
      <c r="U1603" t="s">
        <v>79</v>
      </c>
      <c r="V1603" t="s">
        <v>72</v>
      </c>
      <c r="W1603" t="str">
        <f t="shared" ref="W1603:W1666" ca="1" si="77">IF(D1603="","",
IF(TODAY()-D1603&lt;=120,"Active",
IF(TODAY()-D1603&lt;=210,"At Risk",
IF(TODAY()-D1603&lt;=395,"Dormant",
IF(TODAY()-D1603&lt;=730,"Inactive","Archived")))))</f>
        <v>At Risk</v>
      </c>
    </row>
    <row r="1604" spans="1:23" x14ac:dyDescent="0.2">
      <c r="A1604">
        <v>181</v>
      </c>
      <c r="B1604" t="s">
        <v>869</v>
      </c>
      <c r="C1604" t="s">
        <v>875</v>
      </c>
      <c r="D1604" s="1" t="s">
        <v>471</v>
      </c>
      <c r="E1604" t="s">
        <v>871</v>
      </c>
      <c r="F1604" t="s">
        <v>872</v>
      </c>
      <c r="G1604" s="4" t="s">
        <v>5427</v>
      </c>
      <c r="H1604" t="s">
        <v>873</v>
      </c>
      <c r="I1604" t="s">
        <v>93</v>
      </c>
      <c r="J1604" s="4" t="s">
        <v>60</v>
      </c>
      <c r="K1604" t="s">
        <v>876</v>
      </c>
      <c r="L1604">
        <v>4</v>
      </c>
      <c r="M1604" t="s">
        <v>484</v>
      </c>
      <c r="N1604" t="s">
        <v>679</v>
      </c>
      <c r="O1604" t="s">
        <v>679</v>
      </c>
      <c r="P1604" s="2" t="str">
        <f t="shared" si="75"/>
        <v>23/10/2025 to 28/10/2025</v>
      </c>
      <c r="Q1604" s="3">
        <v>45955</v>
      </c>
      <c r="R1604" t="str">
        <f t="shared" si="76"/>
        <v>On-Time</v>
      </c>
      <c r="S1604" t="s">
        <v>474</v>
      </c>
      <c r="T1604">
        <v>36</v>
      </c>
      <c r="U1604" t="s">
        <v>79</v>
      </c>
      <c r="V1604" t="s">
        <v>72</v>
      </c>
      <c r="W1604" t="str">
        <f t="shared" ca="1" si="77"/>
        <v>At Risk</v>
      </c>
    </row>
    <row r="1605" spans="1:23" x14ac:dyDescent="0.2">
      <c r="A1605">
        <v>182</v>
      </c>
      <c r="B1605" t="s">
        <v>869</v>
      </c>
      <c r="C1605" t="s">
        <v>877</v>
      </c>
      <c r="D1605" s="1" t="s">
        <v>471</v>
      </c>
      <c r="E1605" t="s">
        <v>871</v>
      </c>
      <c r="F1605" t="s">
        <v>872</v>
      </c>
      <c r="G1605" s="4" t="s">
        <v>5421</v>
      </c>
      <c r="H1605" t="s">
        <v>873</v>
      </c>
      <c r="I1605" t="s">
        <v>93</v>
      </c>
      <c r="J1605" s="4" t="s">
        <v>60</v>
      </c>
      <c r="K1605" t="s">
        <v>8</v>
      </c>
      <c r="L1605">
        <v>1</v>
      </c>
      <c r="M1605" t="s">
        <v>471</v>
      </c>
      <c r="N1605" t="s">
        <v>472</v>
      </c>
      <c r="O1605" t="s">
        <v>472</v>
      </c>
      <c r="P1605" s="2" t="str">
        <f t="shared" si="75"/>
        <v>22/10/2025 to 27/10/2025</v>
      </c>
      <c r="Q1605" s="3">
        <v>45957</v>
      </c>
      <c r="R1605" t="str">
        <f t="shared" si="76"/>
        <v>On-Time</v>
      </c>
      <c r="S1605" t="s">
        <v>681</v>
      </c>
      <c r="T1605">
        <v>9</v>
      </c>
      <c r="U1605" t="s">
        <v>79</v>
      </c>
      <c r="V1605" t="s">
        <v>72</v>
      </c>
      <c r="W1605" t="str">
        <f t="shared" ca="1" si="77"/>
        <v>At Risk</v>
      </c>
    </row>
    <row r="1606" spans="1:23" x14ac:dyDescent="0.2">
      <c r="A1606">
        <v>1762</v>
      </c>
      <c r="B1606" t="s">
        <v>4874</v>
      </c>
      <c r="C1606" t="s">
        <v>4875</v>
      </c>
      <c r="D1606" s="1" t="s">
        <v>471</v>
      </c>
      <c r="E1606" t="s">
        <v>4876</v>
      </c>
      <c r="F1606" t="s">
        <v>579</v>
      </c>
      <c r="G1606" s="4" t="s">
        <v>5419</v>
      </c>
      <c r="H1606" t="s">
        <v>4877</v>
      </c>
      <c r="I1606" t="s">
        <v>201</v>
      </c>
      <c r="J1606" s="4" t="s">
        <v>5417</v>
      </c>
      <c r="K1606" t="s">
        <v>3217</v>
      </c>
      <c r="L1606">
        <v>2</v>
      </c>
      <c r="M1606" t="s">
        <v>471</v>
      </c>
      <c r="N1606" t="s">
        <v>472</v>
      </c>
      <c r="O1606" t="s">
        <v>472</v>
      </c>
      <c r="P1606" s="2" t="str">
        <f t="shared" si="75"/>
        <v>22/10/2025 to 27/10/2025</v>
      </c>
      <c r="Q1606" s="3">
        <v>45958</v>
      </c>
      <c r="R1606" t="str">
        <f t="shared" si="76"/>
        <v>Late</v>
      </c>
      <c r="S1606" t="s">
        <v>807</v>
      </c>
      <c r="T1606">
        <v>17.5</v>
      </c>
      <c r="U1606" t="s">
        <v>65</v>
      </c>
      <c r="V1606" t="s">
        <v>72</v>
      </c>
      <c r="W1606" t="str">
        <f t="shared" ca="1" si="77"/>
        <v>At Risk</v>
      </c>
    </row>
    <row r="1607" spans="1:23" x14ac:dyDescent="0.2">
      <c r="A1607">
        <v>1763</v>
      </c>
      <c r="B1607" t="s">
        <v>4874</v>
      </c>
      <c r="C1607" t="s">
        <v>4878</v>
      </c>
      <c r="D1607" s="1" t="s">
        <v>471</v>
      </c>
      <c r="E1607" t="s">
        <v>4876</v>
      </c>
      <c r="F1607" t="s">
        <v>579</v>
      </c>
      <c r="G1607" s="4" t="s">
        <v>5420</v>
      </c>
      <c r="H1607" t="s">
        <v>4877</v>
      </c>
      <c r="I1607" t="s">
        <v>201</v>
      </c>
      <c r="J1607" s="4" t="s">
        <v>68</v>
      </c>
      <c r="K1607" t="s">
        <v>4879</v>
      </c>
      <c r="L1607">
        <v>4</v>
      </c>
      <c r="M1607" t="s">
        <v>471</v>
      </c>
      <c r="N1607" t="s">
        <v>484</v>
      </c>
      <c r="O1607" t="s">
        <v>472</v>
      </c>
      <c r="P1607" s="2" t="str">
        <f t="shared" si="75"/>
        <v>22/10/2025 to 27/10/2025</v>
      </c>
      <c r="Q1607" s="3">
        <v>45953</v>
      </c>
      <c r="R1607" t="str">
        <f t="shared" si="76"/>
        <v>On-Time</v>
      </c>
      <c r="S1607" t="s">
        <v>478</v>
      </c>
      <c r="T1607">
        <v>40.5</v>
      </c>
      <c r="U1607" t="s">
        <v>79</v>
      </c>
      <c r="V1607" t="s">
        <v>72</v>
      </c>
      <c r="W1607" t="str">
        <f t="shared" ca="1" si="77"/>
        <v>At Risk</v>
      </c>
    </row>
    <row r="1608" spans="1:23" x14ac:dyDescent="0.2">
      <c r="A1608">
        <v>1764</v>
      </c>
      <c r="B1608" t="s">
        <v>4874</v>
      </c>
      <c r="C1608" t="s">
        <v>4880</v>
      </c>
      <c r="D1608" s="1" t="s">
        <v>471</v>
      </c>
      <c r="E1608" t="s">
        <v>4876</v>
      </c>
      <c r="F1608" t="s">
        <v>579</v>
      </c>
      <c r="G1608" s="4" t="s">
        <v>5426</v>
      </c>
      <c r="H1608" t="s">
        <v>4877</v>
      </c>
      <c r="I1608" t="s">
        <v>201</v>
      </c>
      <c r="J1608" s="4" t="s">
        <v>74</v>
      </c>
      <c r="K1608" t="s">
        <v>8</v>
      </c>
      <c r="L1608">
        <v>1</v>
      </c>
      <c r="M1608" t="s">
        <v>472</v>
      </c>
      <c r="N1608" t="s">
        <v>679</v>
      </c>
      <c r="O1608" t="s">
        <v>472</v>
      </c>
      <c r="P1608" s="2" t="str">
        <f t="shared" si="75"/>
        <v>24/10/2025 to 29/10/2025</v>
      </c>
      <c r="Q1608" s="3">
        <v>45953</v>
      </c>
      <c r="R1608" t="str">
        <f t="shared" si="76"/>
        <v>Late</v>
      </c>
      <c r="S1608" t="s">
        <v>473</v>
      </c>
      <c r="T1608">
        <v>9</v>
      </c>
      <c r="U1608" t="s">
        <v>65</v>
      </c>
      <c r="V1608" t="s">
        <v>80</v>
      </c>
      <c r="W1608" t="str">
        <f t="shared" ca="1" si="77"/>
        <v>At Risk</v>
      </c>
    </row>
    <row r="1609" spans="1:23" x14ac:dyDescent="0.2">
      <c r="A1609">
        <v>1765</v>
      </c>
      <c r="B1609" t="s">
        <v>4874</v>
      </c>
      <c r="C1609" t="s">
        <v>4881</v>
      </c>
      <c r="D1609" s="1" t="s">
        <v>471</v>
      </c>
      <c r="E1609" t="s">
        <v>4876</v>
      </c>
      <c r="F1609" t="s">
        <v>579</v>
      </c>
      <c r="G1609" s="4" t="s">
        <v>38</v>
      </c>
      <c r="H1609" t="s">
        <v>4877</v>
      </c>
      <c r="I1609" t="s">
        <v>201</v>
      </c>
      <c r="J1609" s="4" t="s">
        <v>5417</v>
      </c>
      <c r="K1609" t="s">
        <v>292</v>
      </c>
      <c r="L1609">
        <v>2</v>
      </c>
      <c r="M1609" t="s">
        <v>471</v>
      </c>
      <c r="N1609" t="s">
        <v>472</v>
      </c>
      <c r="O1609" t="s">
        <v>471</v>
      </c>
      <c r="P1609" s="2" t="str">
        <f t="shared" si="75"/>
        <v>22/10/2025 to 27/10/2025</v>
      </c>
      <c r="Q1609" s="3">
        <v>45955</v>
      </c>
      <c r="R1609" t="str">
        <f t="shared" si="76"/>
        <v>On-Time</v>
      </c>
      <c r="S1609" t="s">
        <v>474</v>
      </c>
      <c r="T1609">
        <v>18.5</v>
      </c>
      <c r="U1609" t="s">
        <v>79</v>
      </c>
      <c r="V1609" t="s">
        <v>72</v>
      </c>
      <c r="W1609" t="str">
        <f t="shared" ca="1" si="77"/>
        <v>At Risk</v>
      </c>
    </row>
    <row r="1610" spans="1:23" x14ac:dyDescent="0.2">
      <c r="A1610">
        <v>1766</v>
      </c>
      <c r="B1610" t="s">
        <v>4874</v>
      </c>
      <c r="C1610" t="s">
        <v>4882</v>
      </c>
      <c r="D1610" s="1" t="s">
        <v>471</v>
      </c>
      <c r="E1610" t="s">
        <v>4876</v>
      </c>
      <c r="F1610" t="s">
        <v>579</v>
      </c>
      <c r="G1610" s="4" t="s">
        <v>5420</v>
      </c>
      <c r="H1610" t="s">
        <v>4877</v>
      </c>
      <c r="I1610" t="s">
        <v>201</v>
      </c>
      <c r="J1610" s="4" t="s">
        <v>60</v>
      </c>
      <c r="K1610" t="s">
        <v>1719</v>
      </c>
      <c r="L1610">
        <v>2</v>
      </c>
      <c r="M1610" t="s">
        <v>472</v>
      </c>
      <c r="N1610" t="s">
        <v>679</v>
      </c>
      <c r="O1610" t="s">
        <v>679</v>
      </c>
      <c r="P1610" s="2" t="str">
        <f t="shared" si="75"/>
        <v>24/10/2025 to 29/10/2025</v>
      </c>
      <c r="Q1610" s="3">
        <v>45956</v>
      </c>
      <c r="R1610" t="str">
        <f t="shared" si="76"/>
        <v>On-Time</v>
      </c>
      <c r="S1610" t="s">
        <v>681</v>
      </c>
      <c r="T1610">
        <v>21</v>
      </c>
      <c r="U1610" t="s">
        <v>79</v>
      </c>
      <c r="V1610" t="s">
        <v>66</v>
      </c>
      <c r="W1610" t="str">
        <f t="shared" ca="1" si="77"/>
        <v>At Risk</v>
      </c>
    </row>
    <row r="1611" spans="1:23" x14ac:dyDescent="0.2">
      <c r="A1611">
        <v>622</v>
      </c>
      <c r="B1611" t="s">
        <v>2141</v>
      </c>
      <c r="C1611" t="s">
        <v>2142</v>
      </c>
      <c r="D1611" s="1" t="s">
        <v>484</v>
      </c>
      <c r="E1611" t="s">
        <v>2143</v>
      </c>
      <c r="F1611" t="s">
        <v>356</v>
      </c>
      <c r="G1611" s="4" t="s">
        <v>5423</v>
      </c>
      <c r="H1611" t="s">
        <v>710</v>
      </c>
      <c r="I1611" t="s">
        <v>112</v>
      </c>
      <c r="J1611" s="4" t="s">
        <v>74</v>
      </c>
      <c r="K1611" t="s">
        <v>2144</v>
      </c>
      <c r="L1611">
        <v>2</v>
      </c>
      <c r="M1611" t="s">
        <v>472</v>
      </c>
      <c r="N1611" t="s">
        <v>679</v>
      </c>
      <c r="O1611" t="s">
        <v>679</v>
      </c>
      <c r="P1611" s="2" t="str">
        <f t="shared" si="75"/>
        <v>24/10/2025 to 29/10/2025</v>
      </c>
      <c r="Q1611" s="3">
        <v>45954</v>
      </c>
      <c r="R1611" t="str">
        <f t="shared" si="76"/>
        <v>On-Time</v>
      </c>
      <c r="S1611" t="s">
        <v>478</v>
      </c>
      <c r="T1611">
        <v>21.5</v>
      </c>
      <c r="U1611" t="s">
        <v>65</v>
      </c>
      <c r="V1611" t="s">
        <v>72</v>
      </c>
      <c r="W1611" t="str">
        <f t="shared" ca="1" si="77"/>
        <v>At Risk</v>
      </c>
    </row>
    <row r="1612" spans="1:23" x14ac:dyDescent="0.2">
      <c r="A1612">
        <v>623</v>
      </c>
      <c r="B1612" t="s">
        <v>2141</v>
      </c>
      <c r="C1612" t="s">
        <v>2145</v>
      </c>
      <c r="D1612" s="1" t="s">
        <v>484</v>
      </c>
      <c r="E1612" t="s">
        <v>2143</v>
      </c>
      <c r="F1612" t="s">
        <v>356</v>
      </c>
      <c r="G1612" s="4" t="s">
        <v>5423</v>
      </c>
      <c r="H1612" t="s">
        <v>710</v>
      </c>
      <c r="I1612" t="s">
        <v>112</v>
      </c>
      <c r="J1612" s="4" t="s">
        <v>60</v>
      </c>
      <c r="K1612" t="s">
        <v>20</v>
      </c>
      <c r="L1612">
        <v>1</v>
      </c>
      <c r="M1612" t="s">
        <v>484</v>
      </c>
      <c r="N1612" t="s">
        <v>472</v>
      </c>
      <c r="O1612" t="s">
        <v>679</v>
      </c>
      <c r="P1612" s="2" t="str">
        <f t="shared" si="75"/>
        <v>23/10/2025 to 28/10/2025</v>
      </c>
      <c r="Q1612" s="3">
        <v>45957</v>
      </c>
      <c r="R1612" t="str">
        <f t="shared" si="76"/>
        <v>On-Time</v>
      </c>
      <c r="S1612" t="s">
        <v>681</v>
      </c>
      <c r="T1612">
        <v>10.5</v>
      </c>
      <c r="U1612" t="s">
        <v>79</v>
      </c>
      <c r="V1612" t="s">
        <v>66</v>
      </c>
      <c r="W1612" t="str">
        <f t="shared" ca="1" si="77"/>
        <v>At Risk</v>
      </c>
    </row>
    <row r="1613" spans="1:23" x14ac:dyDescent="0.2">
      <c r="A1613">
        <v>624</v>
      </c>
      <c r="B1613" t="s">
        <v>2141</v>
      </c>
      <c r="C1613" t="s">
        <v>2146</v>
      </c>
      <c r="D1613" s="1" t="s">
        <v>484</v>
      </c>
      <c r="E1613" t="s">
        <v>2143</v>
      </c>
      <c r="F1613" t="s">
        <v>356</v>
      </c>
      <c r="G1613" s="4" t="s">
        <v>5425</v>
      </c>
      <c r="H1613" t="s">
        <v>710</v>
      </c>
      <c r="I1613" t="s">
        <v>112</v>
      </c>
      <c r="J1613" s="4" t="s">
        <v>5417</v>
      </c>
      <c r="K1613" t="s">
        <v>28</v>
      </c>
      <c r="L1613">
        <v>1</v>
      </c>
      <c r="M1613" t="s">
        <v>472</v>
      </c>
      <c r="N1613" t="s">
        <v>472</v>
      </c>
      <c r="O1613" t="s">
        <v>679</v>
      </c>
      <c r="P1613" s="2" t="str">
        <f t="shared" si="75"/>
        <v>24/10/2025 to 29/10/2025</v>
      </c>
      <c r="Q1613" s="3">
        <v>45957</v>
      </c>
      <c r="R1613" t="str">
        <f t="shared" si="76"/>
        <v>On-Time</v>
      </c>
      <c r="S1613" t="s">
        <v>681</v>
      </c>
      <c r="T1613">
        <v>9</v>
      </c>
      <c r="U1613" t="s">
        <v>65</v>
      </c>
      <c r="V1613" t="s">
        <v>80</v>
      </c>
      <c r="W1613" t="str">
        <f t="shared" ca="1" si="77"/>
        <v>At Risk</v>
      </c>
    </row>
    <row r="1614" spans="1:23" x14ac:dyDescent="0.2">
      <c r="A1614">
        <v>1113</v>
      </c>
      <c r="B1614" t="s">
        <v>3331</v>
      </c>
      <c r="C1614" t="s">
        <v>3332</v>
      </c>
      <c r="D1614" s="1" t="s">
        <v>472</v>
      </c>
      <c r="E1614" t="s">
        <v>3333</v>
      </c>
      <c r="F1614" t="s">
        <v>1267</v>
      </c>
      <c r="G1614" s="4" t="s">
        <v>5423</v>
      </c>
      <c r="H1614" t="s">
        <v>3334</v>
      </c>
      <c r="I1614" t="s">
        <v>201</v>
      </c>
      <c r="J1614" s="4" t="s">
        <v>68</v>
      </c>
      <c r="K1614" t="s">
        <v>28</v>
      </c>
      <c r="L1614">
        <v>1</v>
      </c>
      <c r="M1614" t="s">
        <v>680</v>
      </c>
      <c r="N1614" t="s">
        <v>1433</v>
      </c>
      <c r="O1614" t="s">
        <v>680</v>
      </c>
      <c r="P1614" s="2" t="str">
        <f t="shared" si="75"/>
        <v>28/10/2025 to 31/10/2025</v>
      </c>
      <c r="Q1614" s="3">
        <v>45954</v>
      </c>
      <c r="R1614" t="str">
        <f t="shared" si="76"/>
        <v>Late</v>
      </c>
      <c r="S1614" t="s">
        <v>481</v>
      </c>
      <c r="T1614">
        <v>9</v>
      </c>
      <c r="U1614" t="s">
        <v>79</v>
      </c>
      <c r="V1614" t="s">
        <v>66</v>
      </c>
      <c r="W1614" t="str">
        <f t="shared" ca="1" si="77"/>
        <v>At Risk</v>
      </c>
    </row>
    <row r="1615" spans="1:23" x14ac:dyDescent="0.2">
      <c r="A1615">
        <v>1114</v>
      </c>
      <c r="B1615" t="s">
        <v>3331</v>
      </c>
      <c r="C1615" t="s">
        <v>3335</v>
      </c>
      <c r="D1615" s="1" t="s">
        <v>472</v>
      </c>
      <c r="E1615" t="s">
        <v>3333</v>
      </c>
      <c r="F1615" t="s">
        <v>1267</v>
      </c>
      <c r="G1615" s="4" t="s">
        <v>5419</v>
      </c>
      <c r="H1615" t="s">
        <v>3334</v>
      </c>
      <c r="I1615" t="s">
        <v>201</v>
      </c>
      <c r="J1615" s="4" t="s">
        <v>74</v>
      </c>
      <c r="K1615" t="s">
        <v>3336</v>
      </c>
      <c r="L1615">
        <v>4</v>
      </c>
      <c r="M1615" t="s">
        <v>679</v>
      </c>
      <c r="N1615" t="s">
        <v>1433</v>
      </c>
      <c r="O1615" t="s">
        <v>1433</v>
      </c>
      <c r="P1615" s="2" t="str">
        <f t="shared" si="75"/>
        <v>27/10/2025 to 30/10/2025</v>
      </c>
      <c r="Q1615" s="3">
        <v>45957</v>
      </c>
      <c r="R1615" t="str">
        <f t="shared" si="76"/>
        <v>On-Time</v>
      </c>
      <c r="S1615" t="s">
        <v>681</v>
      </c>
      <c r="T1615">
        <v>37.5</v>
      </c>
      <c r="U1615" t="s">
        <v>65</v>
      </c>
      <c r="V1615" t="s">
        <v>72</v>
      </c>
      <c r="W1615" t="str">
        <f t="shared" ca="1" si="77"/>
        <v>At Risk</v>
      </c>
    </row>
    <row r="1616" spans="1:23" x14ac:dyDescent="0.2">
      <c r="A1616">
        <v>1115</v>
      </c>
      <c r="B1616" t="s">
        <v>3331</v>
      </c>
      <c r="C1616" t="s">
        <v>3337</v>
      </c>
      <c r="D1616" s="1" t="s">
        <v>472</v>
      </c>
      <c r="E1616" t="s">
        <v>3333</v>
      </c>
      <c r="F1616" t="s">
        <v>1267</v>
      </c>
      <c r="G1616" s="4" t="s">
        <v>5422</v>
      </c>
      <c r="H1616" t="s">
        <v>3334</v>
      </c>
      <c r="I1616" t="s">
        <v>201</v>
      </c>
      <c r="J1616" s="4" t="s">
        <v>68</v>
      </c>
      <c r="K1616" t="s">
        <v>3338</v>
      </c>
      <c r="L1616">
        <v>3</v>
      </c>
      <c r="M1616" t="s">
        <v>472</v>
      </c>
      <c r="N1616" t="s">
        <v>679</v>
      </c>
      <c r="O1616" t="s">
        <v>679</v>
      </c>
      <c r="P1616" s="2" t="str">
        <f t="shared" si="75"/>
        <v>24/10/2025 to 29/10/2025</v>
      </c>
      <c r="Q1616" s="3">
        <v>45956</v>
      </c>
      <c r="R1616" t="str">
        <f t="shared" si="76"/>
        <v>On-Time</v>
      </c>
      <c r="S1616" t="s">
        <v>481</v>
      </c>
      <c r="T1616">
        <v>26</v>
      </c>
      <c r="U1616" t="s">
        <v>65</v>
      </c>
      <c r="V1616" t="s">
        <v>72</v>
      </c>
      <c r="W1616" t="str">
        <f t="shared" ca="1" si="77"/>
        <v>At Risk</v>
      </c>
    </row>
    <row r="1617" spans="1:23" x14ac:dyDescent="0.2">
      <c r="A1617">
        <v>1592</v>
      </c>
      <c r="B1617" t="s">
        <v>4485</v>
      </c>
      <c r="C1617" t="s">
        <v>4486</v>
      </c>
      <c r="D1617" s="1" t="s">
        <v>680</v>
      </c>
      <c r="E1617" t="s">
        <v>4487</v>
      </c>
      <c r="F1617" t="s">
        <v>57</v>
      </c>
      <c r="G1617" s="4" t="s">
        <v>5423</v>
      </c>
      <c r="H1617" t="s">
        <v>4488</v>
      </c>
      <c r="I1617" t="s">
        <v>93</v>
      </c>
      <c r="J1617" s="4" t="s">
        <v>5417</v>
      </c>
      <c r="K1617" t="s">
        <v>4489</v>
      </c>
      <c r="L1617">
        <v>4</v>
      </c>
      <c r="M1617" t="s">
        <v>680</v>
      </c>
      <c r="N1617" t="s">
        <v>680</v>
      </c>
      <c r="O1617" t="s">
        <v>1433</v>
      </c>
      <c r="P1617" s="2" t="str">
        <f t="shared" si="75"/>
        <v>28/10/2025 to 31/10/2025</v>
      </c>
      <c r="Q1617" s="3">
        <v>45957</v>
      </c>
      <c r="R1617" t="str">
        <f t="shared" si="76"/>
        <v>Late</v>
      </c>
      <c r="S1617" t="s">
        <v>951</v>
      </c>
      <c r="T1617">
        <v>33.5</v>
      </c>
      <c r="U1617" t="s">
        <v>65</v>
      </c>
      <c r="V1617" t="s">
        <v>66</v>
      </c>
      <c r="W1617" t="str">
        <f t="shared" ca="1" si="77"/>
        <v>At Risk</v>
      </c>
    </row>
    <row r="1618" spans="1:23" x14ac:dyDescent="0.2">
      <c r="A1618">
        <v>1593</v>
      </c>
      <c r="B1618" t="s">
        <v>4485</v>
      </c>
      <c r="C1618" t="s">
        <v>4490</v>
      </c>
      <c r="D1618" s="1" t="s">
        <v>680</v>
      </c>
      <c r="E1618" t="s">
        <v>4487</v>
      </c>
      <c r="F1618" t="s">
        <v>57</v>
      </c>
      <c r="G1618" s="4" t="s">
        <v>5421</v>
      </c>
      <c r="H1618" t="s">
        <v>4488</v>
      </c>
      <c r="I1618" t="s">
        <v>93</v>
      </c>
      <c r="J1618" s="4" t="s">
        <v>60</v>
      </c>
      <c r="K1618" t="s">
        <v>4491</v>
      </c>
      <c r="L1618">
        <v>3</v>
      </c>
      <c r="M1618" t="s">
        <v>680</v>
      </c>
      <c r="N1618" t="s">
        <v>943</v>
      </c>
      <c r="O1618" t="s">
        <v>943</v>
      </c>
      <c r="P1618" s="2" t="str">
        <f t="shared" si="75"/>
        <v>28/10/2025 to 31/10/2025</v>
      </c>
      <c r="Q1618" s="3">
        <v>45957</v>
      </c>
      <c r="R1618" t="str">
        <f t="shared" si="76"/>
        <v>Late</v>
      </c>
      <c r="S1618" t="s">
        <v>951</v>
      </c>
      <c r="T1618">
        <v>26.5</v>
      </c>
      <c r="U1618" t="s">
        <v>65</v>
      </c>
      <c r="V1618" t="s">
        <v>80</v>
      </c>
      <c r="W1618" t="str">
        <f t="shared" ca="1" si="77"/>
        <v>At Risk</v>
      </c>
    </row>
    <row r="1619" spans="1:23" x14ac:dyDescent="0.2">
      <c r="A1619">
        <v>362</v>
      </c>
      <c r="B1619" t="s">
        <v>1431</v>
      </c>
      <c r="C1619" t="s">
        <v>1432</v>
      </c>
      <c r="D1619" s="1" t="s">
        <v>1433</v>
      </c>
      <c r="E1619" t="s">
        <v>1434</v>
      </c>
      <c r="F1619" t="s">
        <v>1154</v>
      </c>
      <c r="G1619" s="4" t="s">
        <v>5427</v>
      </c>
      <c r="H1619" t="s">
        <v>1435</v>
      </c>
      <c r="I1619" t="s">
        <v>93</v>
      </c>
      <c r="J1619" s="4" t="s">
        <v>60</v>
      </c>
      <c r="K1619" t="s">
        <v>520</v>
      </c>
      <c r="L1619">
        <v>2</v>
      </c>
      <c r="M1619" t="s">
        <v>1433</v>
      </c>
      <c r="N1619" t="s">
        <v>943</v>
      </c>
      <c r="O1619" t="s">
        <v>1433</v>
      </c>
      <c r="P1619" s="2" t="str">
        <f t="shared" si="75"/>
        <v>28/10/2025 to 31/10/2025</v>
      </c>
      <c r="Q1619" s="3">
        <v>45961</v>
      </c>
      <c r="R1619" t="str">
        <f t="shared" si="76"/>
        <v>On-Time</v>
      </c>
      <c r="S1619" t="s">
        <v>396</v>
      </c>
      <c r="T1619">
        <v>17</v>
      </c>
      <c r="U1619" t="s">
        <v>79</v>
      </c>
      <c r="V1619" t="s">
        <v>80</v>
      </c>
      <c r="W1619" t="str">
        <f t="shared" ca="1" si="77"/>
        <v>At Risk</v>
      </c>
    </row>
    <row r="1620" spans="1:23" x14ac:dyDescent="0.2">
      <c r="A1620">
        <v>1638</v>
      </c>
      <c r="B1620" t="s">
        <v>4596</v>
      </c>
      <c r="C1620" t="s">
        <v>4597</v>
      </c>
      <c r="D1620" s="1" t="s">
        <v>1433</v>
      </c>
      <c r="E1620" t="s">
        <v>4598</v>
      </c>
      <c r="F1620" t="s">
        <v>1756</v>
      </c>
      <c r="G1620" s="4" t="s">
        <v>5423</v>
      </c>
      <c r="H1620" t="s">
        <v>3294</v>
      </c>
      <c r="I1620" t="s">
        <v>112</v>
      </c>
      <c r="J1620" s="4" t="s">
        <v>60</v>
      </c>
      <c r="K1620" t="s">
        <v>30</v>
      </c>
      <c r="L1620">
        <v>1</v>
      </c>
      <c r="M1620" t="s">
        <v>943</v>
      </c>
      <c r="N1620" t="s">
        <v>943</v>
      </c>
      <c r="O1620" t="s">
        <v>943</v>
      </c>
      <c r="P1620" s="2" t="str">
        <f t="shared" si="75"/>
        <v>28/10/2025 to 31/10/2025</v>
      </c>
      <c r="Q1620" s="3">
        <v>45962</v>
      </c>
      <c r="R1620" t="str">
        <f t="shared" si="76"/>
        <v>Late</v>
      </c>
      <c r="S1620" t="s">
        <v>395</v>
      </c>
      <c r="T1620">
        <v>12</v>
      </c>
      <c r="U1620" t="s">
        <v>79</v>
      </c>
      <c r="V1620" t="s">
        <v>80</v>
      </c>
      <c r="W1620" t="str">
        <f t="shared" ca="1" si="77"/>
        <v>At Risk</v>
      </c>
    </row>
    <row r="1621" spans="1:23" x14ac:dyDescent="0.2">
      <c r="A1621">
        <v>1639</v>
      </c>
      <c r="B1621" t="s">
        <v>4596</v>
      </c>
      <c r="C1621" t="s">
        <v>4599</v>
      </c>
      <c r="D1621" s="1" t="s">
        <v>1433</v>
      </c>
      <c r="E1621" t="s">
        <v>4598</v>
      </c>
      <c r="F1621" t="s">
        <v>1756</v>
      </c>
      <c r="G1621" s="4" t="s">
        <v>5421</v>
      </c>
      <c r="H1621" t="s">
        <v>3294</v>
      </c>
      <c r="I1621" t="s">
        <v>112</v>
      </c>
      <c r="J1621" s="4" t="s">
        <v>5417</v>
      </c>
      <c r="K1621" t="s">
        <v>3441</v>
      </c>
      <c r="L1621">
        <v>2</v>
      </c>
      <c r="M1621" t="s">
        <v>1433</v>
      </c>
      <c r="N1621" t="s">
        <v>947</v>
      </c>
      <c r="O1621" t="s">
        <v>1433</v>
      </c>
      <c r="P1621" s="2" t="str">
        <f t="shared" si="75"/>
        <v>28/10/2025 to 31/10/2025</v>
      </c>
      <c r="Q1621" s="3">
        <v>45958</v>
      </c>
      <c r="R1621" t="str">
        <f t="shared" si="76"/>
        <v>On-Time</v>
      </c>
      <c r="S1621" t="s">
        <v>391</v>
      </c>
      <c r="T1621">
        <v>23</v>
      </c>
      <c r="U1621" t="s">
        <v>65</v>
      </c>
      <c r="V1621" t="s">
        <v>80</v>
      </c>
      <c r="W1621" t="str">
        <f t="shared" ca="1" si="77"/>
        <v>At Risk</v>
      </c>
    </row>
    <row r="1622" spans="1:23" x14ac:dyDescent="0.2">
      <c r="A1622">
        <v>1640</v>
      </c>
      <c r="B1622" t="s">
        <v>4596</v>
      </c>
      <c r="C1622" t="s">
        <v>4600</v>
      </c>
      <c r="D1622" s="1" t="s">
        <v>1433</v>
      </c>
      <c r="E1622" t="s">
        <v>4598</v>
      </c>
      <c r="F1622" t="s">
        <v>1756</v>
      </c>
      <c r="G1622" s="4" t="s">
        <v>5418</v>
      </c>
      <c r="H1622" t="s">
        <v>3294</v>
      </c>
      <c r="I1622" t="s">
        <v>112</v>
      </c>
      <c r="J1622" s="4" t="s">
        <v>74</v>
      </c>
      <c r="K1622" t="s">
        <v>22</v>
      </c>
      <c r="L1622">
        <v>1</v>
      </c>
      <c r="M1622" t="s">
        <v>947</v>
      </c>
      <c r="N1622" t="s">
        <v>485</v>
      </c>
      <c r="O1622" t="s">
        <v>485</v>
      </c>
      <c r="P1622" s="2" t="str">
        <f t="shared" si="75"/>
        <v>29/10/2025 to 03/11/2025</v>
      </c>
      <c r="Q1622" s="3">
        <v>45961</v>
      </c>
      <c r="R1622" t="str">
        <f t="shared" si="76"/>
        <v>On-Time</v>
      </c>
      <c r="S1622" t="s">
        <v>396</v>
      </c>
      <c r="T1622">
        <v>8</v>
      </c>
      <c r="U1622" t="s">
        <v>65</v>
      </c>
      <c r="V1622" t="s">
        <v>72</v>
      </c>
      <c r="W1622" t="str">
        <f t="shared" ca="1" si="77"/>
        <v>At Risk</v>
      </c>
    </row>
    <row r="1623" spans="1:23" x14ac:dyDescent="0.2">
      <c r="A1623">
        <v>1641</v>
      </c>
      <c r="B1623" t="s">
        <v>4596</v>
      </c>
      <c r="C1623" t="s">
        <v>4601</v>
      </c>
      <c r="D1623" s="1" t="s">
        <v>1433</v>
      </c>
      <c r="E1623" t="s">
        <v>4598</v>
      </c>
      <c r="F1623" t="s">
        <v>1756</v>
      </c>
      <c r="G1623" s="4" t="s">
        <v>5427</v>
      </c>
      <c r="H1623" t="s">
        <v>3294</v>
      </c>
      <c r="I1623" t="s">
        <v>112</v>
      </c>
      <c r="J1623" s="4" t="s">
        <v>60</v>
      </c>
      <c r="K1623" t="s">
        <v>20</v>
      </c>
      <c r="L1623">
        <v>1</v>
      </c>
      <c r="M1623" t="s">
        <v>947</v>
      </c>
      <c r="N1623" t="s">
        <v>485</v>
      </c>
      <c r="O1623" t="s">
        <v>947</v>
      </c>
      <c r="P1623" s="2" t="str">
        <f t="shared" si="75"/>
        <v>29/10/2025 to 03/11/2025</v>
      </c>
      <c r="Q1623" s="3">
        <v>45960</v>
      </c>
      <c r="R1623" t="str">
        <f t="shared" si="76"/>
        <v>On-Time</v>
      </c>
      <c r="S1623" t="s">
        <v>395</v>
      </c>
      <c r="T1623">
        <v>10.5</v>
      </c>
      <c r="U1623" t="s">
        <v>79</v>
      </c>
      <c r="V1623" t="s">
        <v>72</v>
      </c>
      <c r="W1623" t="str">
        <f t="shared" ca="1" si="77"/>
        <v>At Risk</v>
      </c>
    </row>
    <row r="1624" spans="1:23" x14ac:dyDescent="0.2">
      <c r="A1624">
        <v>1767</v>
      </c>
      <c r="B1624" t="s">
        <v>4883</v>
      </c>
      <c r="C1624" t="s">
        <v>4884</v>
      </c>
      <c r="D1624" s="1" t="s">
        <v>1433</v>
      </c>
      <c r="E1624" t="s">
        <v>4885</v>
      </c>
      <c r="F1624" t="s">
        <v>406</v>
      </c>
      <c r="G1624" s="4" t="s">
        <v>38</v>
      </c>
      <c r="H1624" t="s">
        <v>2546</v>
      </c>
      <c r="I1624" t="s">
        <v>93</v>
      </c>
      <c r="J1624" s="4" t="s">
        <v>68</v>
      </c>
      <c r="K1624" t="s">
        <v>4886</v>
      </c>
      <c r="L1624">
        <v>4</v>
      </c>
      <c r="M1624" t="s">
        <v>1433</v>
      </c>
      <c r="N1624" t="s">
        <v>947</v>
      </c>
      <c r="O1624" t="s">
        <v>1433</v>
      </c>
      <c r="P1624" s="2" t="str">
        <f t="shared" si="75"/>
        <v>28/10/2025 to 31/10/2025</v>
      </c>
      <c r="Q1624" s="3">
        <v>45958</v>
      </c>
      <c r="R1624" t="str">
        <f t="shared" si="76"/>
        <v>On-Time</v>
      </c>
      <c r="S1624" t="s">
        <v>391</v>
      </c>
      <c r="T1624">
        <v>41</v>
      </c>
      <c r="U1624" t="s">
        <v>79</v>
      </c>
      <c r="V1624" t="s">
        <v>66</v>
      </c>
      <c r="W1624" t="str">
        <f t="shared" ca="1" si="77"/>
        <v>At Risk</v>
      </c>
    </row>
    <row r="1625" spans="1:23" x14ac:dyDescent="0.2">
      <c r="A1625">
        <v>1768</v>
      </c>
      <c r="B1625" t="s">
        <v>4883</v>
      </c>
      <c r="C1625" t="s">
        <v>4887</v>
      </c>
      <c r="D1625" s="1" t="s">
        <v>1433</v>
      </c>
      <c r="E1625" t="s">
        <v>4885</v>
      </c>
      <c r="F1625" t="s">
        <v>406</v>
      </c>
      <c r="G1625" s="4" t="s">
        <v>5418</v>
      </c>
      <c r="H1625" t="s">
        <v>2546</v>
      </c>
      <c r="I1625" t="s">
        <v>93</v>
      </c>
      <c r="J1625" s="4" t="s">
        <v>60</v>
      </c>
      <c r="K1625" t="s">
        <v>1498</v>
      </c>
      <c r="L1625">
        <v>2</v>
      </c>
      <c r="M1625" t="s">
        <v>947</v>
      </c>
      <c r="N1625" t="s">
        <v>485</v>
      </c>
      <c r="O1625" t="s">
        <v>485</v>
      </c>
      <c r="P1625" s="2" t="str">
        <f t="shared" si="75"/>
        <v>29/10/2025 to 03/11/2025</v>
      </c>
      <c r="Q1625" s="3">
        <v>45960</v>
      </c>
      <c r="R1625" t="str">
        <f t="shared" si="76"/>
        <v>On-Time</v>
      </c>
      <c r="S1625" t="s">
        <v>400</v>
      </c>
      <c r="T1625">
        <v>17</v>
      </c>
      <c r="U1625" t="s">
        <v>79</v>
      </c>
      <c r="V1625" t="s">
        <v>66</v>
      </c>
      <c r="W1625" t="str">
        <f t="shared" ca="1" si="77"/>
        <v>At Risk</v>
      </c>
    </row>
    <row r="1626" spans="1:23" x14ac:dyDescent="0.2">
      <c r="A1626">
        <v>1769</v>
      </c>
      <c r="B1626" t="s">
        <v>4883</v>
      </c>
      <c r="C1626" t="s">
        <v>4888</v>
      </c>
      <c r="D1626" s="1" t="s">
        <v>1433</v>
      </c>
      <c r="E1626" t="s">
        <v>4885</v>
      </c>
      <c r="F1626" t="s">
        <v>406</v>
      </c>
      <c r="G1626" s="4" t="s">
        <v>5428</v>
      </c>
      <c r="H1626" t="s">
        <v>2546</v>
      </c>
      <c r="I1626" t="s">
        <v>93</v>
      </c>
      <c r="J1626" s="4" t="s">
        <v>5417</v>
      </c>
      <c r="K1626" t="s">
        <v>1255</v>
      </c>
      <c r="L1626">
        <v>2</v>
      </c>
      <c r="M1626" t="s">
        <v>943</v>
      </c>
      <c r="N1626" t="s">
        <v>943</v>
      </c>
      <c r="O1626" t="s">
        <v>947</v>
      </c>
      <c r="P1626" s="2" t="str">
        <f t="shared" si="75"/>
        <v>28/10/2025 to 31/10/2025</v>
      </c>
      <c r="Q1626" s="3">
        <v>45959</v>
      </c>
      <c r="R1626" t="str">
        <f t="shared" si="76"/>
        <v>On-Time</v>
      </c>
      <c r="S1626" t="s">
        <v>400</v>
      </c>
      <c r="T1626">
        <v>16.5</v>
      </c>
      <c r="U1626" t="s">
        <v>65</v>
      </c>
      <c r="V1626" t="s">
        <v>66</v>
      </c>
      <c r="W1626" t="str">
        <f t="shared" ca="1" si="77"/>
        <v>At Risk</v>
      </c>
    </row>
    <row r="1627" spans="1:23" x14ac:dyDescent="0.2">
      <c r="A1627">
        <v>1770</v>
      </c>
      <c r="B1627" t="s">
        <v>4883</v>
      </c>
      <c r="C1627" t="s">
        <v>4889</v>
      </c>
      <c r="D1627" s="1" t="s">
        <v>1433</v>
      </c>
      <c r="E1627" t="s">
        <v>4885</v>
      </c>
      <c r="F1627" t="s">
        <v>406</v>
      </c>
      <c r="G1627" s="4" t="s">
        <v>5428</v>
      </c>
      <c r="H1627" t="s">
        <v>2546</v>
      </c>
      <c r="I1627" t="s">
        <v>93</v>
      </c>
      <c r="J1627" s="4" t="s">
        <v>5417</v>
      </c>
      <c r="K1627" t="s">
        <v>4890</v>
      </c>
      <c r="L1627">
        <v>3</v>
      </c>
      <c r="M1627" t="s">
        <v>947</v>
      </c>
      <c r="N1627" t="s">
        <v>947</v>
      </c>
      <c r="O1627" t="s">
        <v>485</v>
      </c>
      <c r="P1627" s="2" t="str">
        <f t="shared" si="75"/>
        <v>29/10/2025 to 03/11/2025</v>
      </c>
      <c r="Q1627" s="3">
        <v>45964</v>
      </c>
      <c r="R1627" t="str">
        <f t="shared" si="76"/>
        <v>On-Time</v>
      </c>
      <c r="S1627" t="s">
        <v>1550</v>
      </c>
      <c r="T1627">
        <v>36.5</v>
      </c>
      <c r="U1627" t="s">
        <v>65</v>
      </c>
      <c r="V1627" t="s">
        <v>80</v>
      </c>
      <c r="W1627" t="str">
        <f t="shared" ca="1" si="77"/>
        <v>At Risk</v>
      </c>
    </row>
    <row r="1628" spans="1:23" x14ac:dyDescent="0.2">
      <c r="A1628">
        <v>202</v>
      </c>
      <c r="B1628" t="s">
        <v>941</v>
      </c>
      <c r="C1628" t="s">
        <v>942</v>
      </c>
      <c r="D1628" s="1" t="s">
        <v>943</v>
      </c>
      <c r="E1628" t="s">
        <v>944</v>
      </c>
      <c r="F1628" t="s">
        <v>229</v>
      </c>
      <c r="G1628" s="4" t="s">
        <v>5426</v>
      </c>
      <c r="H1628" t="s">
        <v>945</v>
      </c>
      <c r="I1628" t="s">
        <v>59</v>
      </c>
      <c r="J1628" s="4" t="s">
        <v>5417</v>
      </c>
      <c r="K1628" t="s">
        <v>946</v>
      </c>
      <c r="L1628">
        <v>4</v>
      </c>
      <c r="M1628" t="s">
        <v>943</v>
      </c>
      <c r="N1628" t="s">
        <v>947</v>
      </c>
      <c r="O1628" t="s">
        <v>948</v>
      </c>
      <c r="P1628" s="2" t="str">
        <f t="shared" si="75"/>
        <v>28/10/2025 to 31/10/2025</v>
      </c>
      <c r="Q1628" s="3">
        <v>45960</v>
      </c>
      <c r="R1628" t="str">
        <f t="shared" si="76"/>
        <v>On-Time</v>
      </c>
      <c r="S1628" t="s">
        <v>391</v>
      </c>
      <c r="T1628">
        <v>35</v>
      </c>
      <c r="U1628" t="s">
        <v>79</v>
      </c>
      <c r="V1628" t="s">
        <v>72</v>
      </c>
      <c r="W1628" t="str">
        <f t="shared" ca="1" si="77"/>
        <v>At Risk</v>
      </c>
    </row>
    <row r="1629" spans="1:23" x14ac:dyDescent="0.2">
      <c r="A1629">
        <v>203</v>
      </c>
      <c r="B1629" t="s">
        <v>941</v>
      </c>
      <c r="C1629" t="s">
        <v>949</v>
      </c>
      <c r="D1629" s="1" t="s">
        <v>943</v>
      </c>
      <c r="E1629" t="s">
        <v>944</v>
      </c>
      <c r="F1629" t="s">
        <v>229</v>
      </c>
      <c r="G1629" s="4" t="s">
        <v>5421</v>
      </c>
      <c r="H1629" t="s">
        <v>945</v>
      </c>
      <c r="I1629" t="s">
        <v>59</v>
      </c>
      <c r="J1629" s="4" t="s">
        <v>60</v>
      </c>
      <c r="K1629" t="s">
        <v>28</v>
      </c>
      <c r="L1629">
        <v>1</v>
      </c>
      <c r="M1629" t="s">
        <v>943</v>
      </c>
      <c r="N1629" t="s">
        <v>947</v>
      </c>
      <c r="O1629" t="s">
        <v>948</v>
      </c>
      <c r="P1629" s="2" t="str">
        <f t="shared" si="75"/>
        <v>28/10/2025 to 31/10/2025</v>
      </c>
      <c r="Q1629" s="3">
        <v>45958</v>
      </c>
      <c r="R1629" t="str">
        <f t="shared" si="76"/>
        <v>On-Time</v>
      </c>
      <c r="S1629" t="s">
        <v>807</v>
      </c>
      <c r="T1629">
        <v>9</v>
      </c>
      <c r="U1629" t="s">
        <v>65</v>
      </c>
      <c r="V1629" t="s">
        <v>72</v>
      </c>
      <c r="W1629" t="str">
        <f t="shared" ca="1" si="77"/>
        <v>At Risk</v>
      </c>
    </row>
    <row r="1630" spans="1:23" x14ac:dyDescent="0.2">
      <c r="A1630">
        <v>204</v>
      </c>
      <c r="B1630" t="s">
        <v>941</v>
      </c>
      <c r="C1630" t="s">
        <v>950</v>
      </c>
      <c r="D1630" s="1" t="s">
        <v>943</v>
      </c>
      <c r="E1630" t="s">
        <v>944</v>
      </c>
      <c r="F1630" t="s">
        <v>229</v>
      </c>
      <c r="G1630" s="4" t="s">
        <v>5426</v>
      </c>
      <c r="H1630" t="s">
        <v>945</v>
      </c>
      <c r="I1630" t="s">
        <v>59</v>
      </c>
      <c r="J1630" s="4" t="s">
        <v>5417</v>
      </c>
      <c r="K1630" t="s">
        <v>26</v>
      </c>
      <c r="L1630">
        <v>1</v>
      </c>
      <c r="M1630" t="s">
        <v>943</v>
      </c>
      <c r="N1630" t="s">
        <v>948</v>
      </c>
      <c r="O1630" t="s">
        <v>943</v>
      </c>
      <c r="P1630" s="2" t="str">
        <f t="shared" si="75"/>
        <v>28/10/2025 to 31/10/2025</v>
      </c>
      <c r="Q1630" s="3">
        <v>45959</v>
      </c>
      <c r="R1630" t="str">
        <f t="shared" si="76"/>
        <v>On-Time</v>
      </c>
      <c r="S1630" t="s">
        <v>951</v>
      </c>
      <c r="T1630">
        <v>9</v>
      </c>
      <c r="U1630" t="s">
        <v>65</v>
      </c>
      <c r="V1630" t="s">
        <v>72</v>
      </c>
      <c r="W1630" t="str">
        <f t="shared" ca="1" si="77"/>
        <v>At Risk</v>
      </c>
    </row>
    <row r="1631" spans="1:23" x14ac:dyDescent="0.2">
      <c r="A1631">
        <v>399</v>
      </c>
      <c r="B1631" t="s">
        <v>1538</v>
      </c>
      <c r="C1631" t="s">
        <v>1539</v>
      </c>
      <c r="D1631" s="1" t="s">
        <v>943</v>
      </c>
      <c r="E1631" t="s">
        <v>1540</v>
      </c>
      <c r="F1631" t="s">
        <v>1267</v>
      </c>
      <c r="G1631" s="4" t="s">
        <v>5422</v>
      </c>
      <c r="H1631" t="s">
        <v>1541</v>
      </c>
      <c r="I1631" t="s">
        <v>201</v>
      </c>
      <c r="J1631" s="4" t="s">
        <v>68</v>
      </c>
      <c r="K1631" t="s">
        <v>1542</v>
      </c>
      <c r="L1631">
        <v>2</v>
      </c>
      <c r="M1631" t="s">
        <v>943</v>
      </c>
      <c r="N1631" t="s">
        <v>948</v>
      </c>
      <c r="O1631" t="s">
        <v>943</v>
      </c>
      <c r="P1631" s="2" t="str">
        <f t="shared" si="75"/>
        <v>28/10/2025 to 31/10/2025</v>
      </c>
      <c r="Q1631" s="3">
        <v>45957</v>
      </c>
      <c r="R1631" t="str">
        <f t="shared" si="76"/>
        <v>Late</v>
      </c>
      <c r="S1631" t="s">
        <v>681</v>
      </c>
      <c r="T1631">
        <v>25</v>
      </c>
      <c r="U1631" t="s">
        <v>65</v>
      </c>
      <c r="V1631" t="s">
        <v>72</v>
      </c>
      <c r="W1631" t="str">
        <f t="shared" ca="1" si="77"/>
        <v>At Risk</v>
      </c>
    </row>
    <row r="1632" spans="1:23" x14ac:dyDescent="0.2">
      <c r="A1632">
        <v>400</v>
      </c>
      <c r="B1632" t="s">
        <v>1538</v>
      </c>
      <c r="C1632" t="s">
        <v>1543</v>
      </c>
      <c r="D1632" s="1" t="s">
        <v>943</v>
      </c>
      <c r="E1632" t="s">
        <v>1540</v>
      </c>
      <c r="F1632" t="s">
        <v>1267</v>
      </c>
      <c r="G1632" s="4" t="s">
        <v>5425</v>
      </c>
      <c r="H1632" t="s">
        <v>1541</v>
      </c>
      <c r="I1632" t="s">
        <v>201</v>
      </c>
      <c r="J1632" s="4" t="s">
        <v>60</v>
      </c>
      <c r="K1632" t="s">
        <v>1544</v>
      </c>
      <c r="L1632">
        <v>4</v>
      </c>
      <c r="M1632" t="s">
        <v>943</v>
      </c>
      <c r="N1632" t="s">
        <v>943</v>
      </c>
      <c r="O1632" t="s">
        <v>947</v>
      </c>
      <c r="P1632" s="2" t="str">
        <f t="shared" si="75"/>
        <v>28/10/2025 to 31/10/2025</v>
      </c>
      <c r="Q1632" s="3">
        <v>45960</v>
      </c>
      <c r="R1632" t="str">
        <f t="shared" si="76"/>
        <v>On-Time</v>
      </c>
      <c r="S1632" t="s">
        <v>400</v>
      </c>
      <c r="T1632">
        <v>34.5</v>
      </c>
      <c r="U1632" t="s">
        <v>65</v>
      </c>
      <c r="V1632" t="s">
        <v>72</v>
      </c>
      <c r="W1632" t="str">
        <f t="shared" ca="1" si="77"/>
        <v>At Risk</v>
      </c>
    </row>
    <row r="1633" spans="1:23" x14ac:dyDescent="0.2">
      <c r="A1633">
        <v>1391</v>
      </c>
      <c r="B1633" t="s">
        <v>4002</v>
      </c>
      <c r="C1633" t="s">
        <v>4003</v>
      </c>
      <c r="D1633" s="1" t="s">
        <v>943</v>
      </c>
      <c r="E1633" t="s">
        <v>4004</v>
      </c>
      <c r="F1633" t="s">
        <v>335</v>
      </c>
      <c r="G1633" s="4" t="s">
        <v>5420</v>
      </c>
      <c r="H1633" t="s">
        <v>4005</v>
      </c>
      <c r="I1633" t="s">
        <v>93</v>
      </c>
      <c r="J1633" s="4" t="s">
        <v>60</v>
      </c>
      <c r="K1633" t="s">
        <v>4006</v>
      </c>
      <c r="L1633">
        <v>4</v>
      </c>
      <c r="M1633" t="s">
        <v>948</v>
      </c>
      <c r="N1633" t="s">
        <v>485</v>
      </c>
      <c r="O1633" t="s">
        <v>473</v>
      </c>
      <c r="P1633" s="2" t="str">
        <f t="shared" si="75"/>
        <v>30/10/2025 to 04/11/2025</v>
      </c>
      <c r="Q1633" s="3">
        <v>45960</v>
      </c>
      <c r="R1633" t="str">
        <f t="shared" si="76"/>
        <v>On-Time</v>
      </c>
      <c r="S1633" t="s">
        <v>395</v>
      </c>
      <c r="T1633">
        <v>38</v>
      </c>
      <c r="U1633" t="s">
        <v>65</v>
      </c>
      <c r="V1633" t="s">
        <v>80</v>
      </c>
      <c r="W1633" t="str">
        <f t="shared" ca="1" si="77"/>
        <v>At Risk</v>
      </c>
    </row>
    <row r="1634" spans="1:23" x14ac:dyDescent="0.2">
      <c r="A1634">
        <v>1392</v>
      </c>
      <c r="B1634" t="s">
        <v>4002</v>
      </c>
      <c r="C1634" t="s">
        <v>4007</v>
      </c>
      <c r="D1634" s="1" t="s">
        <v>943</v>
      </c>
      <c r="E1634" t="s">
        <v>4004</v>
      </c>
      <c r="F1634" t="s">
        <v>335</v>
      </c>
      <c r="G1634" s="4" t="s">
        <v>5420</v>
      </c>
      <c r="H1634" t="s">
        <v>4005</v>
      </c>
      <c r="I1634" t="s">
        <v>93</v>
      </c>
      <c r="J1634" s="4" t="s">
        <v>5417</v>
      </c>
      <c r="K1634" t="s">
        <v>4008</v>
      </c>
      <c r="L1634">
        <v>3</v>
      </c>
      <c r="M1634" t="s">
        <v>947</v>
      </c>
      <c r="N1634" t="s">
        <v>485</v>
      </c>
      <c r="O1634" t="s">
        <v>947</v>
      </c>
      <c r="P1634" s="2" t="str">
        <f t="shared" si="75"/>
        <v>29/10/2025 to 03/11/2025</v>
      </c>
      <c r="Q1634" s="3">
        <v>45963</v>
      </c>
      <c r="R1634" t="str">
        <f t="shared" si="76"/>
        <v>On-Time</v>
      </c>
      <c r="S1634" t="s">
        <v>1532</v>
      </c>
      <c r="T1634">
        <v>31</v>
      </c>
      <c r="U1634" t="s">
        <v>79</v>
      </c>
      <c r="V1634" t="s">
        <v>80</v>
      </c>
      <c r="W1634" t="str">
        <f t="shared" ca="1" si="77"/>
        <v>At Risk</v>
      </c>
    </row>
    <row r="1635" spans="1:23" x14ac:dyDescent="0.2">
      <c r="A1635">
        <v>1393</v>
      </c>
      <c r="B1635" t="s">
        <v>4002</v>
      </c>
      <c r="C1635" t="s">
        <v>4009</v>
      </c>
      <c r="D1635" s="1" t="s">
        <v>943</v>
      </c>
      <c r="E1635" t="s">
        <v>4004</v>
      </c>
      <c r="F1635" t="s">
        <v>335</v>
      </c>
      <c r="G1635" s="4" t="s">
        <v>5423</v>
      </c>
      <c r="H1635" t="s">
        <v>4005</v>
      </c>
      <c r="I1635" t="s">
        <v>93</v>
      </c>
      <c r="J1635" s="4" t="s">
        <v>60</v>
      </c>
      <c r="K1635" t="s">
        <v>4010</v>
      </c>
      <c r="L1635">
        <v>2</v>
      </c>
      <c r="M1635" t="s">
        <v>943</v>
      </c>
      <c r="N1635" t="s">
        <v>943</v>
      </c>
      <c r="O1635" t="s">
        <v>943</v>
      </c>
      <c r="P1635" s="2" t="str">
        <f t="shared" si="75"/>
        <v>28/10/2025 to 31/10/2025</v>
      </c>
      <c r="Q1635" s="3">
        <v>45956</v>
      </c>
      <c r="R1635" t="str">
        <f t="shared" si="76"/>
        <v>Late</v>
      </c>
      <c r="S1635" t="s">
        <v>681</v>
      </c>
      <c r="T1635">
        <v>20.5</v>
      </c>
      <c r="U1635" t="s">
        <v>65</v>
      </c>
      <c r="V1635" t="s">
        <v>72</v>
      </c>
      <c r="W1635" t="str">
        <f t="shared" ca="1" si="77"/>
        <v>At Risk</v>
      </c>
    </row>
    <row r="1636" spans="1:23" x14ac:dyDescent="0.2">
      <c r="A1636">
        <v>394</v>
      </c>
      <c r="B1636" t="s">
        <v>1525</v>
      </c>
      <c r="C1636" t="s">
        <v>1526</v>
      </c>
      <c r="D1636" s="1" t="s">
        <v>947</v>
      </c>
      <c r="E1636" t="s">
        <v>1527</v>
      </c>
      <c r="F1636" t="s">
        <v>910</v>
      </c>
      <c r="G1636" s="4" t="s">
        <v>5421</v>
      </c>
      <c r="H1636" t="s">
        <v>1528</v>
      </c>
      <c r="I1636" t="s">
        <v>136</v>
      </c>
      <c r="J1636" s="4" t="s">
        <v>74</v>
      </c>
      <c r="K1636" t="s">
        <v>1529</v>
      </c>
      <c r="L1636">
        <v>3</v>
      </c>
      <c r="M1636" t="s">
        <v>948</v>
      </c>
      <c r="N1636" t="s">
        <v>948</v>
      </c>
      <c r="O1636" t="s">
        <v>948</v>
      </c>
      <c r="P1636" s="2" t="str">
        <f t="shared" si="75"/>
        <v>30/10/2025 to 04/11/2025</v>
      </c>
      <c r="Q1636" s="3">
        <v>45959</v>
      </c>
      <c r="R1636" t="str">
        <f t="shared" si="76"/>
        <v>Late</v>
      </c>
      <c r="S1636" t="s">
        <v>400</v>
      </c>
      <c r="T1636">
        <v>29</v>
      </c>
      <c r="U1636" t="s">
        <v>65</v>
      </c>
      <c r="V1636" t="s">
        <v>72</v>
      </c>
      <c r="W1636" t="str">
        <f t="shared" ca="1" si="77"/>
        <v>At Risk</v>
      </c>
    </row>
    <row r="1637" spans="1:23" x14ac:dyDescent="0.2">
      <c r="A1637">
        <v>395</v>
      </c>
      <c r="B1637" t="s">
        <v>1525</v>
      </c>
      <c r="C1637" t="s">
        <v>1530</v>
      </c>
      <c r="D1637" s="1" t="s">
        <v>947</v>
      </c>
      <c r="E1637" t="s">
        <v>1527</v>
      </c>
      <c r="F1637" t="s">
        <v>910</v>
      </c>
      <c r="G1637" s="4" t="s">
        <v>5426</v>
      </c>
      <c r="H1637" t="s">
        <v>1528</v>
      </c>
      <c r="I1637" t="s">
        <v>136</v>
      </c>
      <c r="J1637" s="4" t="s">
        <v>68</v>
      </c>
      <c r="K1637" t="s">
        <v>1531</v>
      </c>
      <c r="L1637">
        <v>4</v>
      </c>
      <c r="M1637" t="s">
        <v>948</v>
      </c>
      <c r="N1637" t="s">
        <v>473</v>
      </c>
      <c r="O1637" t="s">
        <v>473</v>
      </c>
      <c r="P1637" s="2" t="str">
        <f t="shared" si="75"/>
        <v>30/10/2025 to 04/11/2025</v>
      </c>
      <c r="Q1637" s="3">
        <v>45965</v>
      </c>
      <c r="R1637" t="str">
        <f t="shared" si="76"/>
        <v>On-Time</v>
      </c>
      <c r="S1637" t="s">
        <v>1532</v>
      </c>
      <c r="T1637">
        <v>38</v>
      </c>
      <c r="U1637" t="s">
        <v>79</v>
      </c>
      <c r="V1637" t="s">
        <v>66</v>
      </c>
      <c r="W1637" t="str">
        <f t="shared" ca="1" si="77"/>
        <v>At Risk</v>
      </c>
    </row>
    <row r="1638" spans="1:23" x14ac:dyDescent="0.2">
      <c r="A1638">
        <v>396</v>
      </c>
      <c r="B1638" t="s">
        <v>1525</v>
      </c>
      <c r="C1638" t="s">
        <v>1533</v>
      </c>
      <c r="D1638" s="1" t="s">
        <v>947</v>
      </c>
      <c r="E1638" t="s">
        <v>1527</v>
      </c>
      <c r="F1638" t="s">
        <v>910</v>
      </c>
      <c r="G1638" s="4" t="s">
        <v>38</v>
      </c>
      <c r="H1638" t="s">
        <v>1528</v>
      </c>
      <c r="I1638" t="s">
        <v>136</v>
      </c>
      <c r="J1638" s="4" t="s">
        <v>5417</v>
      </c>
      <c r="K1638" t="s">
        <v>1534</v>
      </c>
      <c r="L1638">
        <v>3</v>
      </c>
      <c r="M1638" t="s">
        <v>485</v>
      </c>
      <c r="N1638" t="s">
        <v>485</v>
      </c>
      <c r="O1638" t="s">
        <v>473</v>
      </c>
      <c r="P1638" s="2" t="str">
        <f t="shared" si="75"/>
        <v>31/10/2025 to 05/11/2025</v>
      </c>
      <c r="Q1638" s="3">
        <v>45960</v>
      </c>
      <c r="R1638" t="str">
        <f t="shared" si="76"/>
        <v>Late</v>
      </c>
      <c r="S1638" t="s">
        <v>391</v>
      </c>
      <c r="T1638">
        <v>25.5</v>
      </c>
      <c r="U1638" t="s">
        <v>65</v>
      </c>
      <c r="V1638" t="s">
        <v>66</v>
      </c>
      <c r="W1638" t="str">
        <f t="shared" ca="1" si="77"/>
        <v>At Risk</v>
      </c>
    </row>
    <row r="1639" spans="1:23" x14ac:dyDescent="0.2">
      <c r="A1639">
        <v>397</v>
      </c>
      <c r="B1639" t="s">
        <v>1525</v>
      </c>
      <c r="C1639" t="s">
        <v>1535</v>
      </c>
      <c r="D1639" s="1" t="s">
        <v>947</v>
      </c>
      <c r="E1639" t="s">
        <v>1527</v>
      </c>
      <c r="F1639" t="s">
        <v>910</v>
      </c>
      <c r="G1639" s="4" t="s">
        <v>38</v>
      </c>
      <c r="H1639" t="s">
        <v>1528</v>
      </c>
      <c r="I1639" t="s">
        <v>136</v>
      </c>
      <c r="J1639" s="4" t="s">
        <v>5417</v>
      </c>
      <c r="K1639" t="s">
        <v>1536</v>
      </c>
      <c r="L1639">
        <v>3</v>
      </c>
      <c r="M1639" t="s">
        <v>947</v>
      </c>
      <c r="N1639" t="s">
        <v>485</v>
      </c>
      <c r="O1639" t="s">
        <v>485</v>
      </c>
      <c r="P1639" s="2" t="str">
        <f t="shared" si="75"/>
        <v>29/10/2025 to 03/11/2025</v>
      </c>
      <c r="Q1639" s="3">
        <v>45959</v>
      </c>
      <c r="R1639" t="str">
        <f t="shared" si="76"/>
        <v>On-Time</v>
      </c>
      <c r="S1639" t="s">
        <v>391</v>
      </c>
      <c r="T1639">
        <v>27</v>
      </c>
      <c r="U1639" t="s">
        <v>65</v>
      </c>
      <c r="V1639" t="s">
        <v>80</v>
      </c>
      <c r="W1639" t="str">
        <f t="shared" ca="1" si="77"/>
        <v>At Risk</v>
      </c>
    </row>
    <row r="1640" spans="1:23" x14ac:dyDescent="0.2">
      <c r="A1640">
        <v>398</v>
      </c>
      <c r="B1640" t="s">
        <v>1525</v>
      </c>
      <c r="C1640" t="s">
        <v>1537</v>
      </c>
      <c r="D1640" s="1" t="s">
        <v>947</v>
      </c>
      <c r="E1640" t="s">
        <v>1527</v>
      </c>
      <c r="F1640" t="s">
        <v>910</v>
      </c>
      <c r="G1640" s="4" t="s">
        <v>5427</v>
      </c>
      <c r="H1640" t="s">
        <v>1528</v>
      </c>
      <c r="I1640" t="s">
        <v>136</v>
      </c>
      <c r="J1640" s="4" t="s">
        <v>74</v>
      </c>
      <c r="K1640" t="s">
        <v>1223</v>
      </c>
      <c r="L1640">
        <v>2</v>
      </c>
      <c r="M1640" t="s">
        <v>948</v>
      </c>
      <c r="N1640" t="s">
        <v>948</v>
      </c>
      <c r="O1640" t="s">
        <v>473</v>
      </c>
      <c r="P1640" s="2" t="str">
        <f t="shared" si="75"/>
        <v>30/10/2025 to 04/11/2025</v>
      </c>
      <c r="Q1640" s="3">
        <v>45960</v>
      </c>
      <c r="R1640" t="str">
        <f t="shared" si="76"/>
        <v>On-Time</v>
      </c>
      <c r="S1640" t="s">
        <v>391</v>
      </c>
      <c r="T1640">
        <v>19</v>
      </c>
      <c r="U1640" t="s">
        <v>79</v>
      </c>
      <c r="V1640" t="s">
        <v>80</v>
      </c>
      <c r="W1640" t="str">
        <f t="shared" ca="1" si="77"/>
        <v>At Risk</v>
      </c>
    </row>
    <row r="1641" spans="1:23" x14ac:dyDescent="0.2">
      <c r="A1641">
        <v>1362</v>
      </c>
      <c r="B1641" t="s">
        <v>3926</v>
      </c>
      <c r="C1641" t="s">
        <v>3927</v>
      </c>
      <c r="D1641" s="1" t="s">
        <v>947</v>
      </c>
      <c r="E1641" t="s">
        <v>3928</v>
      </c>
      <c r="F1641" t="s">
        <v>1204</v>
      </c>
      <c r="G1641" s="4" t="s">
        <v>5423</v>
      </c>
      <c r="H1641" t="s">
        <v>703</v>
      </c>
      <c r="I1641" t="s">
        <v>136</v>
      </c>
      <c r="J1641" s="4" t="s">
        <v>5417</v>
      </c>
      <c r="K1641" t="s">
        <v>3929</v>
      </c>
      <c r="L1641">
        <v>3</v>
      </c>
      <c r="M1641" t="s">
        <v>485</v>
      </c>
      <c r="N1641" t="s">
        <v>473</v>
      </c>
      <c r="O1641" t="s">
        <v>473</v>
      </c>
      <c r="P1641" s="2" t="str">
        <f t="shared" si="75"/>
        <v>31/10/2025 to 05/11/2025</v>
      </c>
      <c r="Q1641" s="3">
        <v>45966</v>
      </c>
      <c r="R1641" t="str">
        <f t="shared" si="76"/>
        <v>On-Time</v>
      </c>
      <c r="S1641" t="s">
        <v>374</v>
      </c>
      <c r="T1641">
        <v>27</v>
      </c>
      <c r="U1641" t="s">
        <v>79</v>
      </c>
      <c r="V1641" t="s">
        <v>66</v>
      </c>
      <c r="W1641" t="str">
        <f t="shared" ca="1" si="77"/>
        <v>At Risk</v>
      </c>
    </row>
    <row r="1642" spans="1:23" x14ac:dyDescent="0.2">
      <c r="A1642">
        <v>1363</v>
      </c>
      <c r="B1642" t="s">
        <v>3926</v>
      </c>
      <c r="C1642" t="s">
        <v>3930</v>
      </c>
      <c r="D1642" s="1" t="s">
        <v>947</v>
      </c>
      <c r="E1642" t="s">
        <v>3928</v>
      </c>
      <c r="F1642" t="s">
        <v>1204</v>
      </c>
      <c r="G1642" s="4" t="s">
        <v>5424</v>
      </c>
      <c r="H1642" t="s">
        <v>703</v>
      </c>
      <c r="I1642" t="s">
        <v>136</v>
      </c>
      <c r="J1642" s="4" t="s">
        <v>68</v>
      </c>
      <c r="K1642" t="s">
        <v>824</v>
      </c>
      <c r="L1642">
        <v>2</v>
      </c>
      <c r="M1642" t="s">
        <v>948</v>
      </c>
      <c r="N1642" t="s">
        <v>473</v>
      </c>
      <c r="O1642" t="s">
        <v>485</v>
      </c>
      <c r="P1642" s="2" t="str">
        <f t="shared" si="75"/>
        <v>30/10/2025 to 04/11/2025</v>
      </c>
      <c r="Q1642" s="3">
        <v>45964</v>
      </c>
      <c r="R1642" t="str">
        <f t="shared" si="76"/>
        <v>On-Time</v>
      </c>
      <c r="S1642" t="s">
        <v>1532</v>
      </c>
      <c r="T1642">
        <v>21</v>
      </c>
      <c r="U1642" t="s">
        <v>65</v>
      </c>
      <c r="V1642" t="s">
        <v>66</v>
      </c>
      <c r="W1642" t="str">
        <f t="shared" ca="1" si="77"/>
        <v>At Risk</v>
      </c>
    </row>
    <row r="1643" spans="1:23" x14ac:dyDescent="0.2">
      <c r="A1643">
        <v>1343</v>
      </c>
      <c r="B1643" t="s">
        <v>3887</v>
      </c>
      <c r="C1643" t="s">
        <v>3888</v>
      </c>
      <c r="D1643" s="1" t="s">
        <v>948</v>
      </c>
      <c r="E1643" t="s">
        <v>3889</v>
      </c>
      <c r="F1643" t="s">
        <v>1756</v>
      </c>
      <c r="G1643" s="4" t="s">
        <v>5420</v>
      </c>
      <c r="H1643" t="s">
        <v>3890</v>
      </c>
      <c r="I1643" t="s">
        <v>112</v>
      </c>
      <c r="J1643" s="4" t="s">
        <v>68</v>
      </c>
      <c r="K1643" t="s">
        <v>865</v>
      </c>
      <c r="L1643">
        <v>3</v>
      </c>
      <c r="M1643" t="s">
        <v>473</v>
      </c>
      <c r="N1643" t="s">
        <v>473</v>
      </c>
      <c r="O1643" t="s">
        <v>478</v>
      </c>
      <c r="P1643" s="2" t="str">
        <f t="shared" si="75"/>
        <v>03/11/2025 to 06/11/2025</v>
      </c>
      <c r="Q1643" s="3">
        <v>45964</v>
      </c>
      <c r="R1643" t="str">
        <f t="shared" si="76"/>
        <v>On-Time</v>
      </c>
      <c r="S1643" t="s">
        <v>1550</v>
      </c>
      <c r="T1643">
        <v>29.5</v>
      </c>
      <c r="U1643" t="s">
        <v>79</v>
      </c>
      <c r="V1643" t="s">
        <v>72</v>
      </c>
      <c r="W1643" t="str">
        <f t="shared" ca="1" si="77"/>
        <v>At Risk</v>
      </c>
    </row>
    <row r="1644" spans="1:23" x14ac:dyDescent="0.2">
      <c r="A1644">
        <v>1344</v>
      </c>
      <c r="B1644" t="s">
        <v>3887</v>
      </c>
      <c r="C1644" t="s">
        <v>3891</v>
      </c>
      <c r="D1644" s="1" t="s">
        <v>948</v>
      </c>
      <c r="E1644" t="s">
        <v>3889</v>
      </c>
      <c r="F1644" t="s">
        <v>1756</v>
      </c>
      <c r="G1644" s="4" t="s">
        <v>5421</v>
      </c>
      <c r="H1644" t="s">
        <v>3890</v>
      </c>
      <c r="I1644" t="s">
        <v>112</v>
      </c>
      <c r="J1644" s="4" t="s">
        <v>60</v>
      </c>
      <c r="K1644" t="s">
        <v>10</v>
      </c>
      <c r="L1644">
        <v>1</v>
      </c>
      <c r="M1644" t="s">
        <v>948</v>
      </c>
      <c r="N1644" t="s">
        <v>473</v>
      </c>
      <c r="O1644" t="s">
        <v>948</v>
      </c>
      <c r="P1644" s="2" t="str">
        <f t="shared" si="75"/>
        <v>30/10/2025 to 04/11/2025</v>
      </c>
      <c r="Q1644" s="3">
        <v>45959</v>
      </c>
      <c r="R1644" t="str">
        <f t="shared" si="76"/>
        <v>Late</v>
      </c>
      <c r="S1644" t="s">
        <v>391</v>
      </c>
      <c r="T1644">
        <v>10</v>
      </c>
      <c r="U1644" t="s">
        <v>65</v>
      </c>
      <c r="V1644" t="s">
        <v>72</v>
      </c>
      <c r="W1644" t="str">
        <f t="shared" ca="1" si="77"/>
        <v>At Risk</v>
      </c>
    </row>
    <row r="1645" spans="1:23" x14ac:dyDescent="0.2">
      <c r="A1645">
        <v>1345</v>
      </c>
      <c r="B1645" t="s">
        <v>3887</v>
      </c>
      <c r="C1645" t="s">
        <v>3892</v>
      </c>
      <c r="D1645" s="1" t="s">
        <v>948</v>
      </c>
      <c r="E1645" t="s">
        <v>3889</v>
      </c>
      <c r="F1645" t="s">
        <v>1756</v>
      </c>
      <c r="G1645" s="4" t="s">
        <v>5418</v>
      </c>
      <c r="H1645" t="s">
        <v>3890</v>
      </c>
      <c r="I1645" t="s">
        <v>112</v>
      </c>
      <c r="J1645" s="4" t="s">
        <v>60</v>
      </c>
      <c r="K1645" t="s">
        <v>14</v>
      </c>
      <c r="L1645">
        <v>1</v>
      </c>
      <c r="M1645" t="s">
        <v>948</v>
      </c>
      <c r="N1645" t="s">
        <v>473</v>
      </c>
      <c r="O1645" t="s">
        <v>485</v>
      </c>
      <c r="P1645" s="2" t="str">
        <f t="shared" si="75"/>
        <v>30/10/2025 to 04/11/2025</v>
      </c>
      <c r="Q1645" s="3">
        <v>45964</v>
      </c>
      <c r="R1645" t="str">
        <f t="shared" si="76"/>
        <v>On-Time</v>
      </c>
      <c r="S1645" t="s">
        <v>397</v>
      </c>
      <c r="T1645">
        <v>9.5</v>
      </c>
      <c r="U1645" t="s">
        <v>65</v>
      </c>
      <c r="V1645" t="s">
        <v>80</v>
      </c>
      <c r="W1645" t="str">
        <f t="shared" ca="1" si="77"/>
        <v>At Risk</v>
      </c>
    </row>
    <row r="1646" spans="1:23" x14ac:dyDescent="0.2">
      <c r="A1646">
        <v>1346</v>
      </c>
      <c r="B1646" t="s">
        <v>3887</v>
      </c>
      <c r="C1646" t="s">
        <v>3893</v>
      </c>
      <c r="D1646" s="1" t="s">
        <v>948</v>
      </c>
      <c r="E1646" t="s">
        <v>3889</v>
      </c>
      <c r="F1646" t="s">
        <v>1756</v>
      </c>
      <c r="G1646" s="4" t="s">
        <v>5420</v>
      </c>
      <c r="H1646" t="s">
        <v>3890</v>
      </c>
      <c r="I1646" t="s">
        <v>112</v>
      </c>
      <c r="J1646" s="4" t="s">
        <v>74</v>
      </c>
      <c r="K1646" t="s">
        <v>1223</v>
      </c>
      <c r="L1646">
        <v>2</v>
      </c>
      <c r="M1646" t="s">
        <v>948</v>
      </c>
      <c r="N1646" t="s">
        <v>948</v>
      </c>
      <c r="O1646" t="s">
        <v>948</v>
      </c>
      <c r="P1646" s="2" t="str">
        <f t="shared" si="75"/>
        <v>30/10/2025 to 04/11/2025</v>
      </c>
      <c r="Q1646" s="3">
        <v>45962</v>
      </c>
      <c r="R1646" t="str">
        <f t="shared" si="76"/>
        <v>On-Time</v>
      </c>
      <c r="S1646" t="s">
        <v>396</v>
      </c>
      <c r="T1646">
        <v>19</v>
      </c>
      <c r="U1646" t="s">
        <v>65</v>
      </c>
      <c r="V1646" t="s">
        <v>72</v>
      </c>
      <c r="W1646" t="str">
        <f t="shared" ca="1" si="77"/>
        <v>At Risk</v>
      </c>
    </row>
    <row r="1647" spans="1:23" x14ac:dyDescent="0.2">
      <c r="A1647">
        <v>1347</v>
      </c>
      <c r="B1647" t="s">
        <v>3887</v>
      </c>
      <c r="C1647" t="s">
        <v>3894</v>
      </c>
      <c r="D1647" s="1" t="s">
        <v>948</v>
      </c>
      <c r="E1647" t="s">
        <v>3889</v>
      </c>
      <c r="F1647" t="s">
        <v>1756</v>
      </c>
      <c r="G1647" s="4" t="s">
        <v>38</v>
      </c>
      <c r="H1647" t="s">
        <v>3890</v>
      </c>
      <c r="I1647" t="s">
        <v>112</v>
      </c>
      <c r="J1647" s="4" t="s">
        <v>74</v>
      </c>
      <c r="K1647" t="s">
        <v>18</v>
      </c>
      <c r="L1647">
        <v>1</v>
      </c>
      <c r="M1647" t="s">
        <v>485</v>
      </c>
      <c r="N1647" t="s">
        <v>478</v>
      </c>
      <c r="O1647" t="s">
        <v>473</v>
      </c>
      <c r="P1647" s="2" t="str">
        <f t="shared" si="75"/>
        <v>31/10/2025 to 05/11/2025</v>
      </c>
      <c r="Q1647" s="3">
        <v>45962</v>
      </c>
      <c r="R1647" t="str">
        <f t="shared" si="76"/>
        <v>On-Time</v>
      </c>
      <c r="S1647" t="s">
        <v>397</v>
      </c>
      <c r="T1647">
        <v>8.5</v>
      </c>
      <c r="U1647" t="s">
        <v>65</v>
      </c>
      <c r="V1647" t="s">
        <v>66</v>
      </c>
      <c r="W1647" t="str">
        <f t="shared" ca="1" si="77"/>
        <v>At Risk</v>
      </c>
    </row>
    <row r="1648" spans="1:23" x14ac:dyDescent="0.2">
      <c r="A1648">
        <v>1922</v>
      </c>
      <c r="B1648" t="s">
        <v>5229</v>
      </c>
      <c r="C1648" t="s">
        <v>5230</v>
      </c>
      <c r="D1648" s="1" t="s">
        <v>948</v>
      </c>
      <c r="E1648" t="s">
        <v>5231</v>
      </c>
      <c r="F1648" t="s">
        <v>803</v>
      </c>
      <c r="G1648" s="4" t="s">
        <v>5426</v>
      </c>
      <c r="H1648" t="s">
        <v>5232</v>
      </c>
      <c r="I1648" t="s">
        <v>59</v>
      </c>
      <c r="J1648" s="4" t="s">
        <v>5417</v>
      </c>
      <c r="K1648" t="s">
        <v>5233</v>
      </c>
      <c r="L1648">
        <v>4</v>
      </c>
      <c r="M1648" t="s">
        <v>485</v>
      </c>
      <c r="N1648" t="s">
        <v>485</v>
      </c>
      <c r="O1648" t="s">
        <v>473</v>
      </c>
      <c r="P1648" s="2" t="str">
        <f t="shared" si="75"/>
        <v>31/10/2025 to 05/11/2025</v>
      </c>
      <c r="Q1648" s="3">
        <v>45960</v>
      </c>
      <c r="R1648" t="str">
        <f t="shared" si="76"/>
        <v>Late</v>
      </c>
      <c r="S1648" t="s">
        <v>391</v>
      </c>
      <c r="T1648">
        <v>40.5</v>
      </c>
      <c r="U1648" t="s">
        <v>65</v>
      </c>
      <c r="V1648" t="s">
        <v>72</v>
      </c>
      <c r="W1648" t="str">
        <f t="shared" ca="1" si="77"/>
        <v>At Risk</v>
      </c>
    </row>
    <row r="1649" spans="1:23" x14ac:dyDescent="0.2">
      <c r="A1649">
        <v>1923</v>
      </c>
      <c r="B1649" t="s">
        <v>5229</v>
      </c>
      <c r="C1649" t="s">
        <v>5234</v>
      </c>
      <c r="D1649" s="1" t="s">
        <v>948</v>
      </c>
      <c r="E1649" t="s">
        <v>5231</v>
      </c>
      <c r="F1649" t="s">
        <v>803</v>
      </c>
      <c r="G1649" s="4" t="s">
        <v>5427</v>
      </c>
      <c r="H1649" t="s">
        <v>5232</v>
      </c>
      <c r="I1649" t="s">
        <v>59</v>
      </c>
      <c r="J1649" s="4" t="s">
        <v>74</v>
      </c>
      <c r="K1649" t="s">
        <v>5235</v>
      </c>
      <c r="L1649">
        <v>3</v>
      </c>
      <c r="M1649" t="s">
        <v>948</v>
      </c>
      <c r="N1649" t="s">
        <v>948</v>
      </c>
      <c r="O1649" t="s">
        <v>473</v>
      </c>
      <c r="P1649" s="2" t="str">
        <f t="shared" si="75"/>
        <v>30/10/2025 to 04/11/2025</v>
      </c>
      <c r="Q1649" s="3">
        <v>45963</v>
      </c>
      <c r="R1649" t="str">
        <f t="shared" si="76"/>
        <v>On-Time</v>
      </c>
      <c r="S1649" t="s">
        <v>396</v>
      </c>
      <c r="T1649">
        <v>33</v>
      </c>
      <c r="U1649" t="s">
        <v>79</v>
      </c>
      <c r="V1649" t="s">
        <v>72</v>
      </c>
      <c r="W1649" t="str">
        <f t="shared" ca="1" si="77"/>
        <v>At Risk</v>
      </c>
    </row>
    <row r="1650" spans="1:23" x14ac:dyDescent="0.2">
      <c r="A1650">
        <v>476</v>
      </c>
      <c r="B1650" t="s">
        <v>1753</v>
      </c>
      <c r="C1650" t="s">
        <v>1754</v>
      </c>
      <c r="D1650" s="1" t="s">
        <v>485</v>
      </c>
      <c r="E1650" t="s">
        <v>1755</v>
      </c>
      <c r="F1650" t="s">
        <v>1756</v>
      </c>
      <c r="G1650" s="4" t="s">
        <v>5421</v>
      </c>
      <c r="H1650" t="s">
        <v>1218</v>
      </c>
      <c r="I1650" t="s">
        <v>201</v>
      </c>
      <c r="J1650" s="4" t="s">
        <v>68</v>
      </c>
      <c r="K1650" t="s">
        <v>1757</v>
      </c>
      <c r="L1650">
        <v>2</v>
      </c>
      <c r="M1650" t="s">
        <v>485</v>
      </c>
      <c r="N1650" t="s">
        <v>478</v>
      </c>
      <c r="O1650" t="s">
        <v>478</v>
      </c>
      <c r="P1650" s="2" t="str">
        <f t="shared" si="75"/>
        <v>31/10/2025 to 05/11/2025</v>
      </c>
      <c r="Q1650" s="3">
        <v>45961</v>
      </c>
      <c r="R1650" t="str">
        <f t="shared" si="76"/>
        <v>On-Time</v>
      </c>
      <c r="S1650" t="s">
        <v>400</v>
      </c>
      <c r="T1650">
        <v>19.5</v>
      </c>
      <c r="U1650" t="s">
        <v>65</v>
      </c>
      <c r="V1650" t="s">
        <v>72</v>
      </c>
      <c r="W1650" t="str">
        <f t="shared" ca="1" si="77"/>
        <v>At Risk</v>
      </c>
    </row>
    <row r="1651" spans="1:23" x14ac:dyDescent="0.2">
      <c r="A1651">
        <v>477</v>
      </c>
      <c r="B1651" t="s">
        <v>1753</v>
      </c>
      <c r="C1651" t="s">
        <v>1758</v>
      </c>
      <c r="D1651" s="1" t="s">
        <v>485</v>
      </c>
      <c r="E1651" t="s">
        <v>1755</v>
      </c>
      <c r="F1651" t="s">
        <v>1756</v>
      </c>
      <c r="G1651" s="4" t="s">
        <v>5423</v>
      </c>
      <c r="H1651" t="s">
        <v>1218</v>
      </c>
      <c r="I1651" t="s">
        <v>201</v>
      </c>
      <c r="J1651" s="4" t="s">
        <v>74</v>
      </c>
      <c r="K1651" t="s">
        <v>1759</v>
      </c>
      <c r="L1651">
        <v>2</v>
      </c>
      <c r="M1651" t="s">
        <v>478</v>
      </c>
      <c r="N1651" t="s">
        <v>474</v>
      </c>
      <c r="O1651" t="s">
        <v>478</v>
      </c>
      <c r="P1651" s="2" t="str">
        <f t="shared" si="75"/>
        <v>04/11/2025 to 07/11/2025</v>
      </c>
      <c r="Q1651" s="3">
        <v>45962</v>
      </c>
      <c r="R1651" t="str">
        <f t="shared" si="76"/>
        <v>Late</v>
      </c>
      <c r="S1651" t="s">
        <v>396</v>
      </c>
      <c r="T1651">
        <v>19</v>
      </c>
      <c r="U1651" t="s">
        <v>79</v>
      </c>
      <c r="V1651" t="s">
        <v>80</v>
      </c>
      <c r="W1651" t="str">
        <f t="shared" ca="1" si="77"/>
        <v>At Risk</v>
      </c>
    </row>
    <row r="1652" spans="1:23" x14ac:dyDescent="0.2">
      <c r="A1652">
        <v>478</v>
      </c>
      <c r="B1652" t="s">
        <v>1753</v>
      </c>
      <c r="C1652" t="s">
        <v>1760</v>
      </c>
      <c r="D1652" s="1" t="s">
        <v>485</v>
      </c>
      <c r="E1652" t="s">
        <v>1755</v>
      </c>
      <c r="F1652" t="s">
        <v>1756</v>
      </c>
      <c r="G1652" s="4" t="s">
        <v>5426</v>
      </c>
      <c r="H1652" t="s">
        <v>1218</v>
      </c>
      <c r="I1652" t="s">
        <v>201</v>
      </c>
      <c r="J1652" s="4" t="s">
        <v>5417</v>
      </c>
      <c r="K1652" t="s">
        <v>1761</v>
      </c>
      <c r="L1652">
        <v>3</v>
      </c>
      <c r="M1652" t="s">
        <v>478</v>
      </c>
      <c r="N1652" t="s">
        <v>478</v>
      </c>
      <c r="O1652" t="s">
        <v>478</v>
      </c>
      <c r="P1652" s="2" t="str">
        <f t="shared" si="75"/>
        <v>04/11/2025 to 07/11/2025</v>
      </c>
      <c r="Q1652" s="3">
        <v>45963</v>
      </c>
      <c r="R1652" t="str">
        <f t="shared" si="76"/>
        <v>Late</v>
      </c>
      <c r="S1652" t="s">
        <v>396</v>
      </c>
      <c r="T1652">
        <v>28.5</v>
      </c>
      <c r="U1652" t="s">
        <v>65</v>
      </c>
      <c r="V1652" t="s">
        <v>80</v>
      </c>
      <c r="W1652" t="str">
        <f t="shared" ca="1" si="77"/>
        <v>At Risk</v>
      </c>
    </row>
    <row r="1653" spans="1:23" x14ac:dyDescent="0.2">
      <c r="A1653">
        <v>479</v>
      </c>
      <c r="B1653" t="s">
        <v>1753</v>
      </c>
      <c r="C1653" t="s">
        <v>1762</v>
      </c>
      <c r="D1653" s="1" t="s">
        <v>485</v>
      </c>
      <c r="E1653" t="s">
        <v>1755</v>
      </c>
      <c r="F1653" t="s">
        <v>1756</v>
      </c>
      <c r="G1653" s="4" t="s">
        <v>5424</v>
      </c>
      <c r="H1653" t="s">
        <v>1218</v>
      </c>
      <c r="I1653" t="s">
        <v>201</v>
      </c>
      <c r="J1653" s="4" t="s">
        <v>74</v>
      </c>
      <c r="K1653" t="s">
        <v>16</v>
      </c>
      <c r="L1653">
        <v>1</v>
      </c>
      <c r="M1653" t="s">
        <v>473</v>
      </c>
      <c r="N1653" t="s">
        <v>474</v>
      </c>
      <c r="O1653" t="s">
        <v>474</v>
      </c>
      <c r="P1653" s="2" t="str">
        <f t="shared" si="75"/>
        <v>03/11/2025 to 06/11/2025</v>
      </c>
      <c r="Q1653" s="3">
        <v>45964</v>
      </c>
      <c r="R1653" t="str">
        <f t="shared" si="76"/>
        <v>On-Time</v>
      </c>
      <c r="S1653" t="s">
        <v>397</v>
      </c>
      <c r="T1653">
        <v>11</v>
      </c>
      <c r="U1653" t="s">
        <v>79</v>
      </c>
      <c r="V1653" t="s">
        <v>80</v>
      </c>
      <c r="W1653" t="str">
        <f t="shared" ca="1" si="77"/>
        <v>At Risk</v>
      </c>
    </row>
    <row r="1654" spans="1:23" x14ac:dyDescent="0.2">
      <c r="A1654">
        <v>480</v>
      </c>
      <c r="B1654" t="s">
        <v>1753</v>
      </c>
      <c r="C1654" t="s">
        <v>1763</v>
      </c>
      <c r="D1654" s="1" t="s">
        <v>485</v>
      </c>
      <c r="E1654" t="s">
        <v>1755</v>
      </c>
      <c r="F1654" t="s">
        <v>1756</v>
      </c>
      <c r="G1654" s="4" t="s">
        <v>5418</v>
      </c>
      <c r="H1654" t="s">
        <v>1218</v>
      </c>
      <c r="I1654" t="s">
        <v>201</v>
      </c>
      <c r="J1654" s="4" t="s">
        <v>60</v>
      </c>
      <c r="K1654" t="s">
        <v>1764</v>
      </c>
      <c r="L1654">
        <v>3</v>
      </c>
      <c r="M1654" t="s">
        <v>485</v>
      </c>
      <c r="N1654" t="s">
        <v>485</v>
      </c>
      <c r="O1654" t="s">
        <v>473</v>
      </c>
      <c r="P1654" s="2" t="str">
        <f t="shared" si="75"/>
        <v>31/10/2025 to 05/11/2025</v>
      </c>
      <c r="Q1654" s="3">
        <v>45963</v>
      </c>
      <c r="R1654" t="str">
        <f t="shared" si="76"/>
        <v>On-Time</v>
      </c>
      <c r="S1654" t="s">
        <v>397</v>
      </c>
      <c r="T1654">
        <v>26</v>
      </c>
      <c r="U1654" t="s">
        <v>65</v>
      </c>
      <c r="V1654" t="s">
        <v>72</v>
      </c>
      <c r="W1654" t="str">
        <f t="shared" ca="1" si="77"/>
        <v>At Risk</v>
      </c>
    </row>
    <row r="1655" spans="1:23" x14ac:dyDescent="0.2">
      <c r="A1655">
        <v>517</v>
      </c>
      <c r="B1655" t="s">
        <v>1865</v>
      </c>
      <c r="C1655" t="s">
        <v>1866</v>
      </c>
      <c r="D1655" s="1" t="s">
        <v>485</v>
      </c>
      <c r="E1655" t="s">
        <v>1867</v>
      </c>
      <c r="F1655" t="s">
        <v>600</v>
      </c>
      <c r="G1655" s="4" t="s">
        <v>38</v>
      </c>
      <c r="H1655" t="s">
        <v>1868</v>
      </c>
      <c r="I1655" t="s">
        <v>59</v>
      </c>
      <c r="J1655" s="4" t="s">
        <v>60</v>
      </c>
      <c r="K1655" t="s">
        <v>1869</v>
      </c>
      <c r="L1655">
        <v>3</v>
      </c>
      <c r="M1655" t="s">
        <v>473</v>
      </c>
      <c r="N1655" t="s">
        <v>474</v>
      </c>
      <c r="O1655" t="s">
        <v>473</v>
      </c>
      <c r="P1655" s="2" t="str">
        <f t="shared" si="75"/>
        <v>03/11/2025 to 06/11/2025</v>
      </c>
      <c r="Q1655" s="3">
        <v>45964</v>
      </c>
      <c r="R1655" t="str">
        <f t="shared" si="76"/>
        <v>On-Time</v>
      </c>
      <c r="S1655" t="s">
        <v>1550</v>
      </c>
      <c r="T1655">
        <v>28</v>
      </c>
      <c r="U1655" t="s">
        <v>79</v>
      </c>
      <c r="V1655" t="s">
        <v>72</v>
      </c>
      <c r="W1655" t="str">
        <f t="shared" ca="1" si="77"/>
        <v>At Risk</v>
      </c>
    </row>
    <row r="1656" spans="1:23" x14ac:dyDescent="0.2">
      <c r="A1656">
        <v>518</v>
      </c>
      <c r="B1656" t="s">
        <v>1865</v>
      </c>
      <c r="C1656" t="s">
        <v>1870</v>
      </c>
      <c r="D1656" s="1" t="s">
        <v>485</v>
      </c>
      <c r="E1656" t="s">
        <v>1867</v>
      </c>
      <c r="F1656" t="s">
        <v>600</v>
      </c>
      <c r="G1656" s="4" t="s">
        <v>5427</v>
      </c>
      <c r="H1656" t="s">
        <v>1868</v>
      </c>
      <c r="I1656" t="s">
        <v>59</v>
      </c>
      <c r="J1656" s="4" t="s">
        <v>60</v>
      </c>
      <c r="K1656" t="s">
        <v>1871</v>
      </c>
      <c r="L1656">
        <v>4</v>
      </c>
      <c r="M1656" t="s">
        <v>478</v>
      </c>
      <c r="N1656" t="s">
        <v>474</v>
      </c>
      <c r="O1656" t="s">
        <v>481</v>
      </c>
      <c r="P1656" s="2" t="str">
        <f t="shared" si="75"/>
        <v>04/11/2025 to 07/11/2025</v>
      </c>
      <c r="Q1656" s="3">
        <v>45964</v>
      </c>
      <c r="R1656" t="str">
        <f t="shared" si="76"/>
        <v>Late</v>
      </c>
      <c r="S1656" t="s">
        <v>397</v>
      </c>
      <c r="T1656">
        <v>37.5</v>
      </c>
      <c r="U1656" t="s">
        <v>65</v>
      </c>
      <c r="V1656" t="s">
        <v>66</v>
      </c>
      <c r="W1656" t="str">
        <f t="shared" ca="1" si="77"/>
        <v>At Risk</v>
      </c>
    </row>
    <row r="1657" spans="1:23" x14ac:dyDescent="0.2">
      <c r="A1657">
        <v>519</v>
      </c>
      <c r="B1657" t="s">
        <v>1865</v>
      </c>
      <c r="C1657" t="s">
        <v>1872</v>
      </c>
      <c r="D1657" s="1" t="s">
        <v>485</v>
      </c>
      <c r="E1657" t="s">
        <v>1867</v>
      </c>
      <c r="F1657" t="s">
        <v>600</v>
      </c>
      <c r="G1657" s="4" t="s">
        <v>5423</v>
      </c>
      <c r="H1657" t="s">
        <v>1868</v>
      </c>
      <c r="I1657" t="s">
        <v>59</v>
      </c>
      <c r="J1657" s="4" t="s">
        <v>5417</v>
      </c>
      <c r="K1657" t="s">
        <v>1873</v>
      </c>
      <c r="L1657">
        <v>4</v>
      </c>
      <c r="M1657" t="s">
        <v>478</v>
      </c>
      <c r="N1657" t="s">
        <v>481</v>
      </c>
      <c r="O1657" t="s">
        <v>474</v>
      </c>
      <c r="P1657" s="2" t="str">
        <f t="shared" si="75"/>
        <v>04/11/2025 to 07/11/2025</v>
      </c>
      <c r="Q1657" s="3">
        <v>45966</v>
      </c>
      <c r="R1657" t="str">
        <f t="shared" si="76"/>
        <v>On-Time</v>
      </c>
      <c r="S1657" t="s">
        <v>374</v>
      </c>
      <c r="T1657">
        <v>44</v>
      </c>
      <c r="U1657" t="s">
        <v>79</v>
      </c>
      <c r="V1657" t="s">
        <v>66</v>
      </c>
      <c r="W1657" t="str">
        <f t="shared" ca="1" si="77"/>
        <v>At Risk</v>
      </c>
    </row>
    <row r="1658" spans="1:23" x14ac:dyDescent="0.2">
      <c r="A1658">
        <v>520</v>
      </c>
      <c r="B1658" t="s">
        <v>1865</v>
      </c>
      <c r="C1658" t="s">
        <v>1874</v>
      </c>
      <c r="D1658" s="1" t="s">
        <v>485</v>
      </c>
      <c r="E1658" t="s">
        <v>1867</v>
      </c>
      <c r="F1658" t="s">
        <v>600</v>
      </c>
      <c r="G1658" s="4" t="s">
        <v>5428</v>
      </c>
      <c r="H1658" t="s">
        <v>1868</v>
      </c>
      <c r="I1658" t="s">
        <v>59</v>
      </c>
      <c r="J1658" s="4" t="s">
        <v>60</v>
      </c>
      <c r="K1658" t="s">
        <v>1875</v>
      </c>
      <c r="L1658">
        <v>2</v>
      </c>
      <c r="M1658" t="s">
        <v>485</v>
      </c>
      <c r="N1658" t="s">
        <v>473</v>
      </c>
      <c r="O1658" t="s">
        <v>473</v>
      </c>
      <c r="P1658" s="2" t="str">
        <f t="shared" si="75"/>
        <v>31/10/2025 to 05/11/2025</v>
      </c>
      <c r="Q1658" s="3">
        <v>45960</v>
      </c>
      <c r="R1658" t="str">
        <f t="shared" si="76"/>
        <v>Late</v>
      </c>
      <c r="S1658" t="s">
        <v>391</v>
      </c>
      <c r="T1658">
        <v>20</v>
      </c>
      <c r="U1658" t="s">
        <v>79</v>
      </c>
      <c r="V1658" t="s">
        <v>80</v>
      </c>
      <c r="W1658" t="str">
        <f t="shared" ca="1" si="77"/>
        <v>At Risk</v>
      </c>
    </row>
    <row r="1659" spans="1:23" x14ac:dyDescent="0.2">
      <c r="A1659">
        <v>521</v>
      </c>
      <c r="B1659" t="s">
        <v>1865</v>
      </c>
      <c r="C1659" t="s">
        <v>1876</v>
      </c>
      <c r="D1659" s="1" t="s">
        <v>485</v>
      </c>
      <c r="E1659" t="s">
        <v>1867</v>
      </c>
      <c r="F1659" t="s">
        <v>600</v>
      </c>
      <c r="G1659" s="4" t="s">
        <v>5422</v>
      </c>
      <c r="H1659" t="s">
        <v>1868</v>
      </c>
      <c r="I1659" t="s">
        <v>59</v>
      </c>
      <c r="J1659" s="4" t="s">
        <v>68</v>
      </c>
      <c r="K1659" t="s">
        <v>1877</v>
      </c>
      <c r="L1659">
        <v>3</v>
      </c>
      <c r="M1659" t="s">
        <v>478</v>
      </c>
      <c r="N1659" t="s">
        <v>474</v>
      </c>
      <c r="O1659" t="s">
        <v>481</v>
      </c>
      <c r="P1659" s="2" t="str">
        <f t="shared" si="75"/>
        <v>04/11/2025 to 07/11/2025</v>
      </c>
      <c r="Q1659" s="3">
        <v>45965</v>
      </c>
      <c r="R1659" t="str">
        <f t="shared" si="76"/>
        <v>On-Time</v>
      </c>
      <c r="S1659" t="s">
        <v>1550</v>
      </c>
      <c r="T1659">
        <v>25</v>
      </c>
      <c r="U1659" t="s">
        <v>79</v>
      </c>
      <c r="V1659" t="s">
        <v>66</v>
      </c>
      <c r="W1659" t="str">
        <f t="shared" ca="1" si="77"/>
        <v>At Risk</v>
      </c>
    </row>
    <row r="1660" spans="1:23" x14ac:dyDescent="0.2">
      <c r="A1660">
        <v>1240</v>
      </c>
      <c r="B1660" t="s">
        <v>3640</v>
      </c>
      <c r="C1660" t="s">
        <v>3641</v>
      </c>
      <c r="D1660" s="1" t="s">
        <v>485</v>
      </c>
      <c r="E1660" t="s">
        <v>3642</v>
      </c>
      <c r="F1660" t="s">
        <v>546</v>
      </c>
      <c r="G1660" s="4" t="s">
        <v>5420</v>
      </c>
      <c r="H1660" t="s">
        <v>3643</v>
      </c>
      <c r="I1660" t="s">
        <v>93</v>
      </c>
      <c r="J1660" s="4" t="s">
        <v>74</v>
      </c>
      <c r="K1660" t="s">
        <v>18</v>
      </c>
      <c r="L1660">
        <v>1</v>
      </c>
      <c r="M1660" t="s">
        <v>485</v>
      </c>
      <c r="N1660" t="s">
        <v>473</v>
      </c>
      <c r="O1660" t="s">
        <v>473</v>
      </c>
      <c r="P1660" s="2" t="str">
        <f t="shared" si="75"/>
        <v>31/10/2025 to 05/11/2025</v>
      </c>
      <c r="Q1660" s="3">
        <v>45960</v>
      </c>
      <c r="R1660" t="str">
        <f t="shared" si="76"/>
        <v>Late</v>
      </c>
      <c r="S1660" t="s">
        <v>400</v>
      </c>
      <c r="T1660">
        <v>8.5</v>
      </c>
      <c r="U1660" t="s">
        <v>65</v>
      </c>
      <c r="V1660" t="s">
        <v>66</v>
      </c>
      <c r="W1660" t="str">
        <f t="shared" ca="1" si="77"/>
        <v>At Risk</v>
      </c>
    </row>
    <row r="1661" spans="1:23" x14ac:dyDescent="0.2">
      <c r="A1661">
        <v>1241</v>
      </c>
      <c r="B1661" t="s">
        <v>3640</v>
      </c>
      <c r="C1661" t="s">
        <v>3644</v>
      </c>
      <c r="D1661" s="1" t="s">
        <v>485</v>
      </c>
      <c r="E1661" t="s">
        <v>3642</v>
      </c>
      <c r="F1661" t="s">
        <v>546</v>
      </c>
      <c r="G1661" s="4" t="s">
        <v>5420</v>
      </c>
      <c r="H1661" t="s">
        <v>3643</v>
      </c>
      <c r="I1661" t="s">
        <v>93</v>
      </c>
      <c r="J1661" s="4" t="s">
        <v>74</v>
      </c>
      <c r="K1661" t="s">
        <v>22</v>
      </c>
      <c r="L1661">
        <v>1</v>
      </c>
      <c r="M1661" t="s">
        <v>478</v>
      </c>
      <c r="N1661" t="s">
        <v>481</v>
      </c>
      <c r="O1661" t="s">
        <v>481</v>
      </c>
      <c r="P1661" s="2" t="str">
        <f t="shared" si="75"/>
        <v>04/11/2025 to 07/11/2025</v>
      </c>
      <c r="Q1661" s="3">
        <v>45963</v>
      </c>
      <c r="R1661" t="str">
        <f t="shared" si="76"/>
        <v>Late</v>
      </c>
      <c r="S1661" t="s">
        <v>1532</v>
      </c>
      <c r="T1661">
        <v>8</v>
      </c>
      <c r="U1661" t="s">
        <v>65</v>
      </c>
      <c r="V1661" t="s">
        <v>72</v>
      </c>
      <c r="W1661" t="str">
        <f t="shared" ca="1" si="77"/>
        <v>At Risk</v>
      </c>
    </row>
    <row r="1662" spans="1:23" x14ac:dyDescent="0.2">
      <c r="A1662">
        <v>1242</v>
      </c>
      <c r="B1662" t="s">
        <v>3640</v>
      </c>
      <c r="C1662" t="s">
        <v>3645</v>
      </c>
      <c r="D1662" s="1" t="s">
        <v>485</v>
      </c>
      <c r="E1662" t="s">
        <v>3642</v>
      </c>
      <c r="F1662" t="s">
        <v>546</v>
      </c>
      <c r="G1662" s="4" t="s">
        <v>5420</v>
      </c>
      <c r="H1662" t="s">
        <v>3643</v>
      </c>
      <c r="I1662" t="s">
        <v>93</v>
      </c>
      <c r="J1662" s="4" t="s">
        <v>74</v>
      </c>
      <c r="K1662" t="s">
        <v>1058</v>
      </c>
      <c r="L1662">
        <v>2</v>
      </c>
      <c r="M1662" t="s">
        <v>478</v>
      </c>
      <c r="N1662" t="s">
        <v>478</v>
      </c>
      <c r="O1662" t="s">
        <v>478</v>
      </c>
      <c r="P1662" s="2" t="str">
        <f t="shared" si="75"/>
        <v>04/11/2025 to 07/11/2025</v>
      </c>
      <c r="Q1662" s="3">
        <v>45967</v>
      </c>
      <c r="R1662" t="str">
        <f t="shared" si="76"/>
        <v>On-Time</v>
      </c>
      <c r="S1662" t="s">
        <v>375</v>
      </c>
      <c r="T1662">
        <v>22.5</v>
      </c>
      <c r="U1662" t="s">
        <v>65</v>
      </c>
      <c r="V1662" t="s">
        <v>66</v>
      </c>
      <c r="W1662" t="str">
        <f t="shared" ca="1" si="77"/>
        <v>At Risk</v>
      </c>
    </row>
    <row r="1663" spans="1:23" x14ac:dyDescent="0.2">
      <c r="A1663">
        <v>1243</v>
      </c>
      <c r="B1663" t="s">
        <v>3640</v>
      </c>
      <c r="C1663" t="s">
        <v>3646</v>
      </c>
      <c r="D1663" s="1" t="s">
        <v>485</v>
      </c>
      <c r="E1663" t="s">
        <v>3642</v>
      </c>
      <c r="F1663" t="s">
        <v>546</v>
      </c>
      <c r="G1663" s="4" t="s">
        <v>5422</v>
      </c>
      <c r="H1663" t="s">
        <v>3643</v>
      </c>
      <c r="I1663" t="s">
        <v>93</v>
      </c>
      <c r="J1663" s="4" t="s">
        <v>68</v>
      </c>
      <c r="K1663" t="s">
        <v>1948</v>
      </c>
      <c r="L1663">
        <v>2</v>
      </c>
      <c r="M1663" t="s">
        <v>473</v>
      </c>
      <c r="N1663" t="s">
        <v>473</v>
      </c>
      <c r="O1663" t="s">
        <v>473</v>
      </c>
      <c r="P1663" s="2" t="str">
        <f t="shared" si="75"/>
        <v>03/11/2025 to 06/11/2025</v>
      </c>
      <c r="Q1663" s="3">
        <v>45966</v>
      </c>
      <c r="R1663" t="str">
        <f t="shared" si="76"/>
        <v>On-Time</v>
      </c>
      <c r="S1663" t="s">
        <v>1550</v>
      </c>
      <c r="T1663">
        <v>17.5</v>
      </c>
      <c r="U1663" t="s">
        <v>79</v>
      </c>
      <c r="V1663" t="s">
        <v>72</v>
      </c>
      <c r="W1663" t="str">
        <f t="shared" ca="1" si="77"/>
        <v>At Risk</v>
      </c>
    </row>
    <row r="1664" spans="1:23" x14ac:dyDescent="0.2">
      <c r="A1664">
        <v>1244</v>
      </c>
      <c r="B1664" t="s">
        <v>3640</v>
      </c>
      <c r="C1664" t="s">
        <v>3647</v>
      </c>
      <c r="D1664" s="1" t="s">
        <v>485</v>
      </c>
      <c r="E1664" t="s">
        <v>3642</v>
      </c>
      <c r="F1664" t="s">
        <v>546</v>
      </c>
      <c r="G1664" s="4" t="s">
        <v>5428</v>
      </c>
      <c r="H1664" t="s">
        <v>3643</v>
      </c>
      <c r="I1664" t="s">
        <v>93</v>
      </c>
      <c r="J1664" s="4" t="s">
        <v>74</v>
      </c>
      <c r="K1664" t="s">
        <v>3648</v>
      </c>
      <c r="L1664">
        <v>2</v>
      </c>
      <c r="M1664" t="s">
        <v>478</v>
      </c>
      <c r="N1664" t="s">
        <v>478</v>
      </c>
      <c r="O1664" t="s">
        <v>481</v>
      </c>
      <c r="P1664" s="2" t="str">
        <f t="shared" si="75"/>
        <v>04/11/2025 to 07/11/2025</v>
      </c>
      <c r="Q1664" s="3">
        <v>45964</v>
      </c>
      <c r="R1664" t="str">
        <f t="shared" si="76"/>
        <v>Late</v>
      </c>
      <c r="S1664" t="s">
        <v>1550</v>
      </c>
      <c r="T1664">
        <v>17.5</v>
      </c>
      <c r="U1664" t="s">
        <v>79</v>
      </c>
      <c r="V1664" t="s">
        <v>72</v>
      </c>
      <c r="W1664" t="str">
        <f t="shared" ca="1" si="77"/>
        <v>At Risk</v>
      </c>
    </row>
    <row r="1665" spans="1:23" x14ac:dyDescent="0.2">
      <c r="A1665">
        <v>901</v>
      </c>
      <c r="B1665" t="s">
        <v>2815</v>
      </c>
      <c r="C1665" t="s">
        <v>2816</v>
      </c>
      <c r="D1665" s="1" t="s">
        <v>473</v>
      </c>
      <c r="E1665" t="s">
        <v>2817</v>
      </c>
      <c r="F1665" t="s">
        <v>872</v>
      </c>
      <c r="G1665" s="4" t="s">
        <v>5420</v>
      </c>
      <c r="H1665" t="s">
        <v>2818</v>
      </c>
      <c r="I1665" t="s">
        <v>112</v>
      </c>
      <c r="J1665" s="4" t="s">
        <v>68</v>
      </c>
      <c r="K1665" t="s">
        <v>2819</v>
      </c>
      <c r="L1665">
        <v>3</v>
      </c>
      <c r="M1665" t="s">
        <v>474</v>
      </c>
      <c r="N1665" t="s">
        <v>481</v>
      </c>
      <c r="O1665" t="s">
        <v>474</v>
      </c>
      <c r="P1665" s="2" t="str">
        <f t="shared" si="75"/>
        <v>04/11/2025 to 07/11/2025</v>
      </c>
      <c r="Q1665" s="3">
        <v>45968</v>
      </c>
      <c r="R1665" t="str">
        <f t="shared" si="76"/>
        <v>On-Time</v>
      </c>
      <c r="S1665" t="s">
        <v>374</v>
      </c>
      <c r="T1665">
        <v>27</v>
      </c>
      <c r="U1665" t="s">
        <v>65</v>
      </c>
      <c r="V1665" t="s">
        <v>66</v>
      </c>
      <c r="W1665" t="str">
        <f t="shared" ca="1" si="77"/>
        <v>At Risk</v>
      </c>
    </row>
    <row r="1666" spans="1:23" x14ac:dyDescent="0.2">
      <c r="A1666">
        <v>902</v>
      </c>
      <c r="B1666" t="s">
        <v>2815</v>
      </c>
      <c r="C1666" t="s">
        <v>2820</v>
      </c>
      <c r="D1666" s="1" t="s">
        <v>473</v>
      </c>
      <c r="E1666" t="s">
        <v>2817</v>
      </c>
      <c r="F1666" t="s">
        <v>872</v>
      </c>
      <c r="G1666" s="4" t="s">
        <v>5428</v>
      </c>
      <c r="H1666" t="s">
        <v>2818</v>
      </c>
      <c r="I1666" t="s">
        <v>112</v>
      </c>
      <c r="J1666" s="4" t="s">
        <v>5417</v>
      </c>
      <c r="K1666" t="s">
        <v>2821</v>
      </c>
      <c r="L1666">
        <v>3</v>
      </c>
      <c r="M1666" t="s">
        <v>478</v>
      </c>
      <c r="N1666" t="s">
        <v>481</v>
      </c>
      <c r="O1666" t="s">
        <v>481</v>
      </c>
      <c r="P1666" s="2" t="str">
        <f t="shared" ref="P1666:P1729" si="78">IF(ISBLANK(M1666), "", TEXT(WORKDAY(M1666, 7), "dd/mm/yyyy") &amp; " to " &amp; TEXT(WORKDAY(M1666, 10), "dd/mm/yyyy"))</f>
        <v>04/11/2025 to 07/11/2025</v>
      </c>
      <c r="Q1666" s="3">
        <v>45965</v>
      </c>
      <c r="R1666" t="str">
        <f t="shared" ref="R1666:R1729" si="79">IF(Q1666="","In Progress",
IF(AND(--Q1666&gt;=DATEVALUE(LEFT(P1666,10)),
       --Q1666&lt;=DATEVALUE(TRIM(MID(P1666,FIND("to",P1666)+3,10)))),
   "On-Time","Late"))</f>
        <v>On-Time</v>
      </c>
      <c r="S1666" t="s">
        <v>1550</v>
      </c>
      <c r="T1666">
        <v>26.5</v>
      </c>
      <c r="U1666" t="s">
        <v>79</v>
      </c>
      <c r="V1666" t="s">
        <v>72</v>
      </c>
      <c r="W1666" t="str">
        <f t="shared" ca="1" si="77"/>
        <v>At Risk</v>
      </c>
    </row>
    <row r="1667" spans="1:23" x14ac:dyDescent="0.2">
      <c r="A1667">
        <v>1797</v>
      </c>
      <c r="B1667" t="s">
        <v>4949</v>
      </c>
      <c r="C1667" t="s">
        <v>4950</v>
      </c>
      <c r="D1667" s="1" t="s">
        <v>473</v>
      </c>
      <c r="E1667" t="s">
        <v>4951</v>
      </c>
      <c r="F1667" t="s">
        <v>1154</v>
      </c>
      <c r="G1667" s="4" t="s">
        <v>5426</v>
      </c>
      <c r="H1667" t="s">
        <v>1559</v>
      </c>
      <c r="I1667" t="s">
        <v>112</v>
      </c>
      <c r="J1667" s="4" t="s">
        <v>5417</v>
      </c>
      <c r="K1667" t="s">
        <v>22</v>
      </c>
      <c r="L1667">
        <v>1</v>
      </c>
      <c r="M1667" t="s">
        <v>474</v>
      </c>
      <c r="N1667" t="s">
        <v>481</v>
      </c>
      <c r="O1667" t="s">
        <v>474</v>
      </c>
      <c r="P1667" s="2" t="str">
        <f t="shared" si="78"/>
        <v>04/11/2025 to 07/11/2025</v>
      </c>
      <c r="Q1667" s="3">
        <v>45965</v>
      </c>
      <c r="R1667" t="str">
        <f t="shared" si="79"/>
        <v>On-Time</v>
      </c>
      <c r="S1667" t="s">
        <v>1550</v>
      </c>
      <c r="T1667">
        <v>8</v>
      </c>
      <c r="U1667" t="s">
        <v>65</v>
      </c>
      <c r="V1667" t="s">
        <v>80</v>
      </c>
      <c r="W1667" t="str">
        <f t="shared" ref="W1667:W1730" ca="1" si="80">IF(D1667="","",
IF(TODAY()-D1667&lt;=120,"Active",
IF(TODAY()-D1667&lt;=210,"At Risk",
IF(TODAY()-D1667&lt;=395,"Dormant",
IF(TODAY()-D1667&lt;=730,"Inactive","Archived")))))</f>
        <v>At Risk</v>
      </c>
    </row>
    <row r="1668" spans="1:23" x14ac:dyDescent="0.2">
      <c r="A1668">
        <v>1798</v>
      </c>
      <c r="B1668" t="s">
        <v>4949</v>
      </c>
      <c r="C1668" t="s">
        <v>4952</v>
      </c>
      <c r="D1668" s="1" t="s">
        <v>473</v>
      </c>
      <c r="E1668" t="s">
        <v>4951</v>
      </c>
      <c r="F1668" t="s">
        <v>1154</v>
      </c>
      <c r="G1668" s="4" t="s">
        <v>38</v>
      </c>
      <c r="H1668" t="s">
        <v>1559</v>
      </c>
      <c r="I1668" t="s">
        <v>112</v>
      </c>
      <c r="J1668" s="4" t="s">
        <v>5417</v>
      </c>
      <c r="K1668" t="s">
        <v>28</v>
      </c>
      <c r="L1668">
        <v>1</v>
      </c>
      <c r="M1668" t="s">
        <v>474</v>
      </c>
      <c r="N1668" t="s">
        <v>681</v>
      </c>
      <c r="O1668" t="s">
        <v>474</v>
      </c>
      <c r="P1668" s="2" t="str">
        <f t="shared" si="78"/>
        <v>04/11/2025 to 07/11/2025</v>
      </c>
      <c r="Q1668" s="3">
        <v>45964</v>
      </c>
      <c r="R1668" t="str">
        <f t="shared" si="79"/>
        <v>Late</v>
      </c>
      <c r="S1668" t="s">
        <v>1532</v>
      </c>
      <c r="T1668">
        <v>9</v>
      </c>
      <c r="U1668" t="s">
        <v>79</v>
      </c>
      <c r="V1668" t="s">
        <v>66</v>
      </c>
      <c r="W1668" t="str">
        <f t="shared" ca="1" si="80"/>
        <v>At Risk</v>
      </c>
    </row>
    <row r="1669" spans="1:23" x14ac:dyDescent="0.2">
      <c r="A1669">
        <v>860</v>
      </c>
      <c r="B1669" t="s">
        <v>2717</v>
      </c>
      <c r="C1669" t="s">
        <v>2718</v>
      </c>
      <c r="D1669" s="1" t="s">
        <v>474</v>
      </c>
      <c r="E1669" t="s">
        <v>2719</v>
      </c>
      <c r="F1669" t="s">
        <v>995</v>
      </c>
      <c r="G1669" s="4" t="s">
        <v>5428</v>
      </c>
      <c r="H1669" t="s">
        <v>2720</v>
      </c>
      <c r="I1669" t="s">
        <v>201</v>
      </c>
      <c r="J1669" s="4" t="s">
        <v>68</v>
      </c>
      <c r="K1669" t="s">
        <v>28</v>
      </c>
      <c r="L1669">
        <v>1</v>
      </c>
      <c r="M1669" t="s">
        <v>474</v>
      </c>
      <c r="N1669" t="s">
        <v>681</v>
      </c>
      <c r="O1669" t="s">
        <v>474</v>
      </c>
      <c r="P1669" s="2" t="str">
        <f t="shared" si="78"/>
        <v>04/11/2025 to 07/11/2025</v>
      </c>
      <c r="Q1669" s="3">
        <v>45967</v>
      </c>
      <c r="R1669" t="str">
        <f t="shared" si="79"/>
        <v>On-Time</v>
      </c>
      <c r="S1669" t="s">
        <v>369</v>
      </c>
      <c r="T1669">
        <v>9</v>
      </c>
      <c r="U1669" t="s">
        <v>79</v>
      </c>
      <c r="V1669" t="s">
        <v>80</v>
      </c>
      <c r="W1669" t="str">
        <f t="shared" ca="1" si="80"/>
        <v>At Risk</v>
      </c>
    </row>
    <row r="1670" spans="1:23" x14ac:dyDescent="0.2">
      <c r="A1670">
        <v>861</v>
      </c>
      <c r="B1670" t="s">
        <v>2717</v>
      </c>
      <c r="C1670" t="s">
        <v>2721</v>
      </c>
      <c r="D1670" s="1" t="s">
        <v>474</v>
      </c>
      <c r="E1670" t="s">
        <v>2719</v>
      </c>
      <c r="F1670" t="s">
        <v>995</v>
      </c>
      <c r="G1670" s="4" t="s">
        <v>5419</v>
      </c>
      <c r="H1670" t="s">
        <v>2720</v>
      </c>
      <c r="I1670" t="s">
        <v>201</v>
      </c>
      <c r="J1670" s="4" t="s">
        <v>74</v>
      </c>
      <c r="K1670" t="s">
        <v>12</v>
      </c>
      <c r="L1670">
        <v>1</v>
      </c>
      <c r="M1670" t="s">
        <v>481</v>
      </c>
      <c r="N1670" t="s">
        <v>807</v>
      </c>
      <c r="O1670" t="s">
        <v>807</v>
      </c>
      <c r="P1670" s="2" t="str">
        <f t="shared" si="78"/>
        <v>04/11/2025 to 07/11/2025</v>
      </c>
      <c r="Q1670" s="3">
        <v>45966</v>
      </c>
      <c r="R1670" t="str">
        <f t="shared" si="79"/>
        <v>On-Time</v>
      </c>
      <c r="S1670" t="s">
        <v>1550</v>
      </c>
      <c r="T1670">
        <v>9.5</v>
      </c>
      <c r="U1670" t="s">
        <v>65</v>
      </c>
      <c r="V1670" t="s">
        <v>72</v>
      </c>
      <c r="W1670" t="str">
        <f t="shared" ca="1" si="80"/>
        <v>At Risk</v>
      </c>
    </row>
    <row r="1671" spans="1:23" x14ac:dyDescent="0.2">
      <c r="A1671">
        <v>862</v>
      </c>
      <c r="B1671" t="s">
        <v>2717</v>
      </c>
      <c r="C1671" t="s">
        <v>2722</v>
      </c>
      <c r="D1671" s="1" t="s">
        <v>474</v>
      </c>
      <c r="E1671" t="s">
        <v>2719</v>
      </c>
      <c r="F1671" t="s">
        <v>995</v>
      </c>
      <c r="G1671" s="4" t="s">
        <v>5425</v>
      </c>
      <c r="H1671" t="s">
        <v>2720</v>
      </c>
      <c r="I1671" t="s">
        <v>201</v>
      </c>
      <c r="J1671" s="4" t="s">
        <v>74</v>
      </c>
      <c r="K1671" t="s">
        <v>14</v>
      </c>
      <c r="L1671">
        <v>1</v>
      </c>
      <c r="M1671" t="s">
        <v>474</v>
      </c>
      <c r="N1671" t="s">
        <v>474</v>
      </c>
      <c r="O1671" t="s">
        <v>681</v>
      </c>
      <c r="P1671" s="2" t="str">
        <f t="shared" si="78"/>
        <v>04/11/2025 to 07/11/2025</v>
      </c>
      <c r="Q1671" s="3">
        <v>45968</v>
      </c>
      <c r="R1671" t="str">
        <f t="shared" si="79"/>
        <v>On-Time</v>
      </c>
      <c r="S1671" t="s">
        <v>380</v>
      </c>
      <c r="T1671">
        <v>9.5</v>
      </c>
      <c r="U1671" t="s">
        <v>79</v>
      </c>
      <c r="V1671" t="s">
        <v>66</v>
      </c>
      <c r="W1671" t="str">
        <f t="shared" ca="1" si="80"/>
        <v>At Risk</v>
      </c>
    </row>
    <row r="1672" spans="1:23" x14ac:dyDescent="0.2">
      <c r="A1672">
        <v>863</v>
      </c>
      <c r="B1672" t="s">
        <v>2717</v>
      </c>
      <c r="C1672" t="s">
        <v>2723</v>
      </c>
      <c r="D1672" s="1" t="s">
        <v>474</v>
      </c>
      <c r="E1672" t="s">
        <v>2719</v>
      </c>
      <c r="F1672" t="s">
        <v>995</v>
      </c>
      <c r="G1672" s="4" t="s">
        <v>5427</v>
      </c>
      <c r="H1672" t="s">
        <v>2720</v>
      </c>
      <c r="I1672" t="s">
        <v>201</v>
      </c>
      <c r="J1672" s="4" t="s">
        <v>5417</v>
      </c>
      <c r="K1672" t="s">
        <v>2724</v>
      </c>
      <c r="L1672">
        <v>4</v>
      </c>
      <c r="M1672" t="s">
        <v>474</v>
      </c>
      <c r="N1672" t="s">
        <v>474</v>
      </c>
      <c r="O1672" t="s">
        <v>481</v>
      </c>
      <c r="P1672" s="2" t="str">
        <f t="shared" si="78"/>
        <v>04/11/2025 to 07/11/2025</v>
      </c>
      <c r="Q1672" s="3">
        <v>45963</v>
      </c>
      <c r="R1672" t="str">
        <f t="shared" si="79"/>
        <v>Late</v>
      </c>
      <c r="S1672" t="s">
        <v>1532</v>
      </c>
      <c r="T1672">
        <v>37.5</v>
      </c>
      <c r="U1672" t="s">
        <v>65</v>
      </c>
      <c r="V1672" t="s">
        <v>66</v>
      </c>
      <c r="W1672" t="str">
        <f t="shared" ca="1" si="80"/>
        <v>At Risk</v>
      </c>
    </row>
    <row r="1673" spans="1:23" x14ac:dyDescent="0.2">
      <c r="A1673">
        <v>1676</v>
      </c>
      <c r="B1673" t="s">
        <v>4682</v>
      </c>
      <c r="C1673" t="s">
        <v>4683</v>
      </c>
      <c r="D1673" s="1" t="s">
        <v>474</v>
      </c>
      <c r="E1673" t="s">
        <v>4684</v>
      </c>
      <c r="F1673" t="s">
        <v>1204</v>
      </c>
      <c r="G1673" s="4" t="s">
        <v>5426</v>
      </c>
      <c r="H1673" t="s">
        <v>1590</v>
      </c>
      <c r="I1673" t="s">
        <v>59</v>
      </c>
      <c r="J1673" s="4" t="s">
        <v>68</v>
      </c>
      <c r="K1673" t="s">
        <v>10</v>
      </c>
      <c r="L1673">
        <v>1</v>
      </c>
      <c r="M1673" t="s">
        <v>474</v>
      </c>
      <c r="N1673" t="s">
        <v>474</v>
      </c>
      <c r="O1673" t="s">
        <v>681</v>
      </c>
      <c r="P1673" s="2" t="str">
        <f t="shared" si="78"/>
        <v>04/11/2025 to 07/11/2025</v>
      </c>
      <c r="Q1673" s="3">
        <v>45967</v>
      </c>
      <c r="R1673" t="str">
        <f t="shared" si="79"/>
        <v>On-Time</v>
      </c>
      <c r="S1673" t="s">
        <v>369</v>
      </c>
      <c r="T1673">
        <v>10</v>
      </c>
      <c r="U1673" t="s">
        <v>79</v>
      </c>
      <c r="V1673" t="s">
        <v>80</v>
      </c>
      <c r="W1673" t="str">
        <f t="shared" ca="1" si="80"/>
        <v>At Risk</v>
      </c>
    </row>
    <row r="1674" spans="1:23" x14ac:dyDescent="0.2">
      <c r="A1674">
        <v>1677</v>
      </c>
      <c r="B1674" t="s">
        <v>4682</v>
      </c>
      <c r="C1674" t="s">
        <v>4685</v>
      </c>
      <c r="D1674" s="1" t="s">
        <v>474</v>
      </c>
      <c r="E1674" t="s">
        <v>4684</v>
      </c>
      <c r="F1674" t="s">
        <v>1204</v>
      </c>
      <c r="G1674" s="4" t="s">
        <v>5419</v>
      </c>
      <c r="H1674" t="s">
        <v>1590</v>
      </c>
      <c r="I1674" t="s">
        <v>59</v>
      </c>
      <c r="J1674" s="4" t="s">
        <v>5417</v>
      </c>
      <c r="K1674" t="s">
        <v>4686</v>
      </c>
      <c r="L1674">
        <v>4</v>
      </c>
      <c r="M1674" t="s">
        <v>474</v>
      </c>
      <c r="N1674" t="s">
        <v>681</v>
      </c>
      <c r="O1674" t="s">
        <v>474</v>
      </c>
      <c r="P1674" s="2" t="str">
        <f t="shared" si="78"/>
        <v>04/11/2025 to 07/11/2025</v>
      </c>
      <c r="Q1674" s="3">
        <v>45963</v>
      </c>
      <c r="R1674" t="str">
        <f t="shared" si="79"/>
        <v>Late</v>
      </c>
      <c r="S1674" t="s">
        <v>397</v>
      </c>
      <c r="T1674">
        <v>37.5</v>
      </c>
      <c r="U1674" t="s">
        <v>65</v>
      </c>
      <c r="V1674" t="s">
        <v>80</v>
      </c>
      <c r="W1674" t="str">
        <f t="shared" ca="1" si="80"/>
        <v>At Risk</v>
      </c>
    </row>
    <row r="1675" spans="1:23" x14ac:dyDescent="0.2">
      <c r="A1675">
        <v>1678</v>
      </c>
      <c r="B1675" t="s">
        <v>4682</v>
      </c>
      <c r="C1675" t="s">
        <v>4687</v>
      </c>
      <c r="D1675" s="1" t="s">
        <v>474</v>
      </c>
      <c r="E1675" t="s">
        <v>4684</v>
      </c>
      <c r="F1675" t="s">
        <v>1204</v>
      </c>
      <c r="G1675" s="4" t="s">
        <v>5418</v>
      </c>
      <c r="H1675" t="s">
        <v>1590</v>
      </c>
      <c r="I1675" t="s">
        <v>59</v>
      </c>
      <c r="J1675" s="4" t="s">
        <v>5417</v>
      </c>
      <c r="K1675" t="s">
        <v>4688</v>
      </c>
      <c r="L1675">
        <v>4</v>
      </c>
      <c r="M1675" t="s">
        <v>474</v>
      </c>
      <c r="N1675" t="s">
        <v>681</v>
      </c>
      <c r="O1675" t="s">
        <v>681</v>
      </c>
      <c r="P1675" s="2" t="str">
        <f t="shared" si="78"/>
        <v>04/11/2025 to 07/11/2025</v>
      </c>
      <c r="Q1675" s="3">
        <v>45964</v>
      </c>
      <c r="R1675" t="str">
        <f t="shared" si="79"/>
        <v>Late</v>
      </c>
      <c r="S1675" t="s">
        <v>397</v>
      </c>
      <c r="T1675">
        <v>35</v>
      </c>
      <c r="U1675" t="s">
        <v>65</v>
      </c>
      <c r="V1675" t="s">
        <v>66</v>
      </c>
      <c r="W1675" t="str">
        <f t="shared" ca="1" si="80"/>
        <v>At Risk</v>
      </c>
    </row>
    <row r="1676" spans="1:23" x14ac:dyDescent="0.2">
      <c r="A1676">
        <v>1679</v>
      </c>
      <c r="B1676" t="s">
        <v>4682</v>
      </c>
      <c r="C1676" t="s">
        <v>4689</v>
      </c>
      <c r="D1676" s="1" t="s">
        <v>474</v>
      </c>
      <c r="E1676" t="s">
        <v>4684</v>
      </c>
      <c r="F1676" t="s">
        <v>1204</v>
      </c>
      <c r="G1676" s="4" t="s">
        <v>5426</v>
      </c>
      <c r="H1676" t="s">
        <v>1590</v>
      </c>
      <c r="I1676" t="s">
        <v>59</v>
      </c>
      <c r="J1676" s="4" t="s">
        <v>5417</v>
      </c>
      <c r="K1676" t="s">
        <v>520</v>
      </c>
      <c r="L1676">
        <v>2</v>
      </c>
      <c r="M1676" t="s">
        <v>481</v>
      </c>
      <c r="N1676" t="s">
        <v>681</v>
      </c>
      <c r="O1676" t="s">
        <v>681</v>
      </c>
      <c r="P1676" s="2" t="str">
        <f t="shared" si="78"/>
        <v>04/11/2025 to 07/11/2025</v>
      </c>
      <c r="Q1676" s="3">
        <v>45970</v>
      </c>
      <c r="R1676" t="str">
        <f t="shared" si="79"/>
        <v>Late</v>
      </c>
      <c r="S1676" t="s">
        <v>602</v>
      </c>
      <c r="T1676">
        <v>17</v>
      </c>
      <c r="U1676" t="s">
        <v>65</v>
      </c>
      <c r="V1676" t="s">
        <v>66</v>
      </c>
      <c r="W1676" t="str">
        <f t="shared" ca="1" si="80"/>
        <v>At Risk</v>
      </c>
    </row>
    <row r="1677" spans="1:23" x14ac:dyDescent="0.2">
      <c r="A1677">
        <v>1680</v>
      </c>
      <c r="B1677" t="s">
        <v>4682</v>
      </c>
      <c r="C1677" t="s">
        <v>4690</v>
      </c>
      <c r="D1677" s="1" t="s">
        <v>474</v>
      </c>
      <c r="E1677" t="s">
        <v>4684</v>
      </c>
      <c r="F1677" t="s">
        <v>1204</v>
      </c>
      <c r="G1677" s="4" t="s">
        <v>5427</v>
      </c>
      <c r="H1677" t="s">
        <v>1590</v>
      </c>
      <c r="I1677" t="s">
        <v>59</v>
      </c>
      <c r="J1677" s="4" t="s">
        <v>5417</v>
      </c>
      <c r="K1677" t="s">
        <v>4691</v>
      </c>
      <c r="L1677">
        <v>3</v>
      </c>
      <c r="M1677" t="s">
        <v>681</v>
      </c>
      <c r="N1677" t="s">
        <v>951</v>
      </c>
      <c r="O1677" t="s">
        <v>951</v>
      </c>
      <c r="P1677" s="2" t="str">
        <f t="shared" si="78"/>
        <v>05/11/2025 to 10/11/2025</v>
      </c>
      <c r="Q1677" s="3">
        <v>45972</v>
      </c>
      <c r="R1677" t="str">
        <f t="shared" si="79"/>
        <v>Late</v>
      </c>
      <c r="S1677" t="s">
        <v>220</v>
      </c>
      <c r="T1677">
        <v>26</v>
      </c>
      <c r="U1677" t="s">
        <v>65</v>
      </c>
      <c r="V1677" t="s">
        <v>66</v>
      </c>
      <c r="W1677" t="str">
        <f t="shared" ca="1" si="80"/>
        <v>At Risk</v>
      </c>
    </row>
    <row r="1678" spans="1:23" x14ac:dyDescent="0.2">
      <c r="A1678">
        <v>588</v>
      </c>
      <c r="B1678" t="s">
        <v>2051</v>
      </c>
      <c r="C1678" t="s">
        <v>2052</v>
      </c>
      <c r="D1678" s="1" t="s">
        <v>481</v>
      </c>
      <c r="E1678" t="s">
        <v>2053</v>
      </c>
      <c r="F1678" t="s">
        <v>229</v>
      </c>
      <c r="G1678" s="4" t="s">
        <v>5418</v>
      </c>
      <c r="H1678" t="s">
        <v>2054</v>
      </c>
      <c r="I1678" t="s">
        <v>93</v>
      </c>
      <c r="J1678" s="4" t="s">
        <v>74</v>
      </c>
      <c r="K1678" t="s">
        <v>30</v>
      </c>
      <c r="L1678">
        <v>1</v>
      </c>
      <c r="M1678" t="s">
        <v>807</v>
      </c>
      <c r="N1678" t="s">
        <v>391</v>
      </c>
      <c r="O1678" t="s">
        <v>391</v>
      </c>
      <c r="P1678" s="2" t="str">
        <f t="shared" si="78"/>
        <v>06/11/2025 to 11/11/2025</v>
      </c>
      <c r="Q1678" s="3">
        <v>45972</v>
      </c>
      <c r="R1678" t="str">
        <f t="shared" si="79"/>
        <v>On-Time</v>
      </c>
      <c r="S1678" t="s">
        <v>212</v>
      </c>
      <c r="T1678">
        <v>12</v>
      </c>
      <c r="U1678" t="s">
        <v>65</v>
      </c>
      <c r="V1678" t="s">
        <v>72</v>
      </c>
      <c r="W1678" t="str">
        <f t="shared" ca="1" si="80"/>
        <v>At Risk</v>
      </c>
    </row>
    <row r="1679" spans="1:23" x14ac:dyDescent="0.2">
      <c r="A1679">
        <v>589</v>
      </c>
      <c r="B1679" t="s">
        <v>2051</v>
      </c>
      <c r="C1679" t="s">
        <v>2055</v>
      </c>
      <c r="D1679" s="1" t="s">
        <v>481</v>
      </c>
      <c r="E1679" t="s">
        <v>2053</v>
      </c>
      <c r="F1679" t="s">
        <v>229</v>
      </c>
      <c r="G1679" s="4" t="s">
        <v>5424</v>
      </c>
      <c r="H1679" t="s">
        <v>2054</v>
      </c>
      <c r="I1679" t="s">
        <v>93</v>
      </c>
      <c r="J1679" s="4" t="s">
        <v>74</v>
      </c>
      <c r="K1679" t="s">
        <v>14</v>
      </c>
      <c r="L1679">
        <v>1</v>
      </c>
      <c r="M1679" t="s">
        <v>681</v>
      </c>
      <c r="N1679" t="s">
        <v>951</v>
      </c>
      <c r="O1679" t="s">
        <v>681</v>
      </c>
      <c r="P1679" s="2" t="str">
        <f t="shared" si="78"/>
        <v>05/11/2025 to 10/11/2025</v>
      </c>
      <c r="Q1679" s="3">
        <v>45969</v>
      </c>
      <c r="R1679" t="str">
        <f t="shared" si="79"/>
        <v>On-Time</v>
      </c>
      <c r="S1679" t="s">
        <v>207</v>
      </c>
      <c r="T1679">
        <v>9.5</v>
      </c>
      <c r="U1679" t="s">
        <v>79</v>
      </c>
      <c r="V1679" t="s">
        <v>80</v>
      </c>
      <c r="W1679" t="str">
        <f t="shared" ca="1" si="80"/>
        <v>At Risk</v>
      </c>
    </row>
    <row r="1680" spans="1:23" x14ac:dyDescent="0.2">
      <c r="A1680">
        <v>590</v>
      </c>
      <c r="B1680" t="s">
        <v>2051</v>
      </c>
      <c r="C1680" t="s">
        <v>2056</v>
      </c>
      <c r="D1680" s="1" t="s">
        <v>481</v>
      </c>
      <c r="E1680" t="s">
        <v>2053</v>
      </c>
      <c r="F1680" t="s">
        <v>229</v>
      </c>
      <c r="G1680" s="4" t="s">
        <v>5427</v>
      </c>
      <c r="H1680" t="s">
        <v>2054</v>
      </c>
      <c r="I1680" t="s">
        <v>93</v>
      </c>
      <c r="J1680" s="4" t="s">
        <v>68</v>
      </c>
      <c r="K1680" t="s">
        <v>16</v>
      </c>
      <c r="L1680">
        <v>1</v>
      </c>
      <c r="M1680" t="s">
        <v>807</v>
      </c>
      <c r="N1680" t="s">
        <v>391</v>
      </c>
      <c r="O1680" t="s">
        <v>391</v>
      </c>
      <c r="P1680" s="2" t="str">
        <f t="shared" si="78"/>
        <v>06/11/2025 to 11/11/2025</v>
      </c>
      <c r="Q1680" s="3">
        <v>45967</v>
      </c>
      <c r="R1680" t="str">
        <f t="shared" si="79"/>
        <v>On-Time</v>
      </c>
      <c r="S1680" t="s">
        <v>369</v>
      </c>
      <c r="T1680">
        <v>11</v>
      </c>
      <c r="U1680" t="s">
        <v>65</v>
      </c>
      <c r="V1680" t="s">
        <v>66</v>
      </c>
      <c r="W1680" t="str">
        <f t="shared" ca="1" si="80"/>
        <v>At Risk</v>
      </c>
    </row>
    <row r="1681" spans="1:23" x14ac:dyDescent="0.2">
      <c r="A1681">
        <v>591</v>
      </c>
      <c r="B1681" t="s">
        <v>2051</v>
      </c>
      <c r="C1681" t="s">
        <v>2057</v>
      </c>
      <c r="D1681" s="1" t="s">
        <v>481</v>
      </c>
      <c r="E1681" t="s">
        <v>2053</v>
      </c>
      <c r="F1681" t="s">
        <v>229</v>
      </c>
      <c r="G1681" s="4" t="s">
        <v>5421</v>
      </c>
      <c r="H1681" t="s">
        <v>2054</v>
      </c>
      <c r="I1681" t="s">
        <v>93</v>
      </c>
      <c r="J1681" s="4" t="s">
        <v>60</v>
      </c>
      <c r="K1681" t="s">
        <v>2058</v>
      </c>
      <c r="L1681">
        <v>4</v>
      </c>
      <c r="M1681" t="s">
        <v>681</v>
      </c>
      <c r="N1681" t="s">
        <v>807</v>
      </c>
      <c r="O1681" t="s">
        <v>951</v>
      </c>
      <c r="P1681" s="2" t="str">
        <f t="shared" si="78"/>
        <v>05/11/2025 to 10/11/2025</v>
      </c>
      <c r="Q1681" s="3">
        <v>45970</v>
      </c>
      <c r="R1681" t="str">
        <f t="shared" si="79"/>
        <v>On-Time</v>
      </c>
      <c r="S1681" t="s">
        <v>602</v>
      </c>
      <c r="T1681">
        <v>34.5</v>
      </c>
      <c r="U1681" t="s">
        <v>65</v>
      </c>
      <c r="V1681" t="s">
        <v>66</v>
      </c>
      <c r="W1681" t="str">
        <f t="shared" ca="1" si="80"/>
        <v>At Risk</v>
      </c>
    </row>
    <row r="1682" spans="1:23" x14ac:dyDescent="0.2">
      <c r="A1682">
        <v>592</v>
      </c>
      <c r="B1682" t="s">
        <v>2051</v>
      </c>
      <c r="C1682" t="s">
        <v>2059</v>
      </c>
      <c r="D1682" s="1" t="s">
        <v>481</v>
      </c>
      <c r="E1682" t="s">
        <v>2053</v>
      </c>
      <c r="F1682" t="s">
        <v>229</v>
      </c>
      <c r="G1682" s="4" t="s">
        <v>5421</v>
      </c>
      <c r="H1682" t="s">
        <v>2054</v>
      </c>
      <c r="I1682" t="s">
        <v>93</v>
      </c>
      <c r="J1682" s="4" t="s">
        <v>60</v>
      </c>
      <c r="K1682" t="s">
        <v>22</v>
      </c>
      <c r="L1682">
        <v>1</v>
      </c>
      <c r="M1682" t="s">
        <v>681</v>
      </c>
      <c r="N1682" t="s">
        <v>681</v>
      </c>
      <c r="O1682" t="s">
        <v>951</v>
      </c>
      <c r="P1682" s="2" t="str">
        <f t="shared" si="78"/>
        <v>05/11/2025 to 10/11/2025</v>
      </c>
      <c r="Q1682" s="3">
        <v>45968</v>
      </c>
      <c r="R1682" t="str">
        <f t="shared" si="79"/>
        <v>On-Time</v>
      </c>
      <c r="S1682" t="s">
        <v>374</v>
      </c>
      <c r="T1682">
        <v>8</v>
      </c>
      <c r="U1682" t="s">
        <v>65</v>
      </c>
      <c r="V1682" t="s">
        <v>66</v>
      </c>
      <c r="W1682" t="str">
        <f t="shared" ca="1" si="80"/>
        <v>At Risk</v>
      </c>
    </row>
    <row r="1683" spans="1:23" x14ac:dyDescent="0.2">
      <c r="A1683">
        <v>1014</v>
      </c>
      <c r="B1683" t="s">
        <v>3096</v>
      </c>
      <c r="C1683" t="s">
        <v>3097</v>
      </c>
      <c r="D1683" s="1" t="s">
        <v>807</v>
      </c>
      <c r="E1683" t="s">
        <v>3098</v>
      </c>
      <c r="F1683" t="s">
        <v>490</v>
      </c>
      <c r="G1683" s="4" t="s">
        <v>5423</v>
      </c>
      <c r="H1683" t="s">
        <v>787</v>
      </c>
      <c r="I1683" t="s">
        <v>59</v>
      </c>
      <c r="J1683" s="4" t="s">
        <v>60</v>
      </c>
      <c r="K1683" t="s">
        <v>3099</v>
      </c>
      <c r="L1683">
        <v>4</v>
      </c>
      <c r="M1683" t="s">
        <v>807</v>
      </c>
      <c r="N1683" t="s">
        <v>391</v>
      </c>
      <c r="O1683" t="s">
        <v>951</v>
      </c>
      <c r="P1683" s="2" t="str">
        <f t="shared" si="78"/>
        <v>06/11/2025 to 11/11/2025</v>
      </c>
      <c r="Q1683" s="3">
        <v>45972</v>
      </c>
      <c r="R1683" t="str">
        <f t="shared" si="79"/>
        <v>On-Time</v>
      </c>
      <c r="S1683" t="s">
        <v>220</v>
      </c>
      <c r="T1683">
        <v>41.5</v>
      </c>
      <c r="U1683" t="s">
        <v>65</v>
      </c>
      <c r="V1683" t="s">
        <v>80</v>
      </c>
      <c r="W1683" t="str">
        <f t="shared" ca="1" si="80"/>
        <v>At Risk</v>
      </c>
    </row>
    <row r="1684" spans="1:23" x14ac:dyDescent="0.2">
      <c r="A1684">
        <v>1015</v>
      </c>
      <c r="B1684" t="s">
        <v>3096</v>
      </c>
      <c r="C1684" t="s">
        <v>3100</v>
      </c>
      <c r="D1684" s="1" t="s">
        <v>807</v>
      </c>
      <c r="E1684" t="s">
        <v>3098</v>
      </c>
      <c r="F1684" t="s">
        <v>490</v>
      </c>
      <c r="G1684" s="4" t="s">
        <v>5423</v>
      </c>
      <c r="H1684" t="s">
        <v>787</v>
      </c>
      <c r="I1684" t="s">
        <v>59</v>
      </c>
      <c r="J1684" s="4" t="s">
        <v>74</v>
      </c>
      <c r="K1684" t="s">
        <v>3101</v>
      </c>
      <c r="L1684">
        <v>4</v>
      </c>
      <c r="M1684" t="s">
        <v>951</v>
      </c>
      <c r="N1684" t="s">
        <v>951</v>
      </c>
      <c r="O1684" t="s">
        <v>951</v>
      </c>
      <c r="P1684" s="2" t="str">
        <f t="shared" si="78"/>
        <v>07/11/2025 to 12/11/2025</v>
      </c>
      <c r="Q1684" s="3">
        <v>45969</v>
      </c>
      <c r="R1684" t="str">
        <f t="shared" si="79"/>
        <v>On-Time</v>
      </c>
      <c r="S1684" t="s">
        <v>375</v>
      </c>
      <c r="T1684">
        <v>42</v>
      </c>
      <c r="U1684" t="s">
        <v>79</v>
      </c>
      <c r="V1684" t="s">
        <v>66</v>
      </c>
      <c r="W1684" t="str">
        <f t="shared" ca="1" si="80"/>
        <v>At Risk</v>
      </c>
    </row>
    <row r="1685" spans="1:23" x14ac:dyDescent="0.2">
      <c r="A1685">
        <v>1016</v>
      </c>
      <c r="B1685" t="s">
        <v>3096</v>
      </c>
      <c r="C1685" t="s">
        <v>3102</v>
      </c>
      <c r="D1685" s="1" t="s">
        <v>807</v>
      </c>
      <c r="E1685" t="s">
        <v>3098</v>
      </c>
      <c r="F1685" t="s">
        <v>490</v>
      </c>
      <c r="G1685" s="4" t="s">
        <v>5423</v>
      </c>
      <c r="H1685" t="s">
        <v>787</v>
      </c>
      <c r="I1685" t="s">
        <v>59</v>
      </c>
      <c r="J1685" s="4" t="s">
        <v>68</v>
      </c>
      <c r="K1685" t="s">
        <v>3103</v>
      </c>
      <c r="L1685">
        <v>3</v>
      </c>
      <c r="M1685" t="s">
        <v>807</v>
      </c>
      <c r="N1685" t="s">
        <v>391</v>
      </c>
      <c r="O1685" t="s">
        <v>391</v>
      </c>
      <c r="P1685" s="2" t="str">
        <f t="shared" si="78"/>
        <v>06/11/2025 to 11/11/2025</v>
      </c>
      <c r="Q1685" s="3">
        <v>45970</v>
      </c>
      <c r="R1685" t="str">
        <f t="shared" si="79"/>
        <v>On-Time</v>
      </c>
      <c r="S1685" t="s">
        <v>380</v>
      </c>
      <c r="T1685">
        <v>28</v>
      </c>
      <c r="U1685" t="s">
        <v>79</v>
      </c>
      <c r="V1685" t="s">
        <v>66</v>
      </c>
      <c r="W1685" t="str">
        <f t="shared" ca="1" si="80"/>
        <v>At Risk</v>
      </c>
    </row>
    <row r="1686" spans="1:23" x14ac:dyDescent="0.2">
      <c r="A1686">
        <v>1017</v>
      </c>
      <c r="B1686" t="s">
        <v>3096</v>
      </c>
      <c r="C1686" t="s">
        <v>3104</v>
      </c>
      <c r="D1686" s="1" t="s">
        <v>807</v>
      </c>
      <c r="E1686" t="s">
        <v>3098</v>
      </c>
      <c r="F1686" t="s">
        <v>490</v>
      </c>
      <c r="G1686" s="4" t="s">
        <v>5426</v>
      </c>
      <c r="H1686" t="s">
        <v>787</v>
      </c>
      <c r="I1686" t="s">
        <v>59</v>
      </c>
      <c r="J1686" s="4" t="s">
        <v>60</v>
      </c>
      <c r="K1686" t="s">
        <v>3105</v>
      </c>
      <c r="L1686">
        <v>3</v>
      </c>
      <c r="M1686" t="s">
        <v>391</v>
      </c>
      <c r="N1686" t="s">
        <v>391</v>
      </c>
      <c r="O1686" t="s">
        <v>391</v>
      </c>
      <c r="P1686" s="2" t="str">
        <f t="shared" si="78"/>
        <v>10/11/2025 to 13/11/2025</v>
      </c>
      <c r="Q1686" s="3">
        <v>45972</v>
      </c>
      <c r="R1686" t="str">
        <f t="shared" si="79"/>
        <v>On-Time</v>
      </c>
      <c r="S1686" t="s">
        <v>212</v>
      </c>
      <c r="T1686">
        <v>30</v>
      </c>
      <c r="U1686" t="s">
        <v>65</v>
      </c>
      <c r="V1686" t="s">
        <v>72</v>
      </c>
      <c r="W1686" t="str">
        <f t="shared" ca="1" si="80"/>
        <v>At Risk</v>
      </c>
    </row>
    <row r="1687" spans="1:23" x14ac:dyDescent="0.2">
      <c r="A1687">
        <v>1715</v>
      </c>
      <c r="B1687" t="s">
        <v>4771</v>
      </c>
      <c r="C1687" t="s">
        <v>4772</v>
      </c>
      <c r="D1687" s="1" t="s">
        <v>807</v>
      </c>
      <c r="E1687" t="s">
        <v>4773</v>
      </c>
      <c r="F1687" t="s">
        <v>424</v>
      </c>
      <c r="G1687" s="4" t="s">
        <v>5418</v>
      </c>
      <c r="H1687" t="s">
        <v>4763</v>
      </c>
      <c r="I1687" t="s">
        <v>112</v>
      </c>
      <c r="J1687" s="4" t="s">
        <v>60</v>
      </c>
      <c r="K1687" t="s">
        <v>4774</v>
      </c>
      <c r="L1687">
        <v>3</v>
      </c>
      <c r="M1687" t="s">
        <v>951</v>
      </c>
      <c r="N1687" t="s">
        <v>391</v>
      </c>
      <c r="O1687" t="s">
        <v>391</v>
      </c>
      <c r="P1687" s="2" t="str">
        <f t="shared" si="78"/>
        <v>07/11/2025 to 12/11/2025</v>
      </c>
      <c r="Q1687" s="3">
        <v>45973</v>
      </c>
      <c r="R1687" t="str">
        <f t="shared" si="79"/>
        <v>On-Time</v>
      </c>
      <c r="S1687" t="s">
        <v>220</v>
      </c>
      <c r="T1687">
        <v>32</v>
      </c>
      <c r="U1687" t="s">
        <v>79</v>
      </c>
      <c r="V1687" t="s">
        <v>80</v>
      </c>
      <c r="W1687" t="str">
        <f t="shared" ca="1" si="80"/>
        <v>At Risk</v>
      </c>
    </row>
    <row r="1688" spans="1:23" x14ac:dyDescent="0.2">
      <c r="A1688">
        <v>1716</v>
      </c>
      <c r="B1688" t="s">
        <v>4771</v>
      </c>
      <c r="C1688" t="s">
        <v>4775</v>
      </c>
      <c r="D1688" s="1" t="s">
        <v>807</v>
      </c>
      <c r="E1688" t="s">
        <v>4773</v>
      </c>
      <c r="F1688" t="s">
        <v>424</v>
      </c>
      <c r="G1688" s="4" t="s">
        <v>38</v>
      </c>
      <c r="H1688" t="s">
        <v>4763</v>
      </c>
      <c r="I1688" t="s">
        <v>112</v>
      </c>
      <c r="J1688" s="4" t="s">
        <v>5417</v>
      </c>
      <c r="K1688" t="s">
        <v>4776</v>
      </c>
      <c r="L1688">
        <v>4</v>
      </c>
      <c r="M1688" t="s">
        <v>951</v>
      </c>
      <c r="N1688" t="s">
        <v>391</v>
      </c>
      <c r="O1688" t="s">
        <v>391</v>
      </c>
      <c r="P1688" s="2" t="str">
        <f t="shared" si="78"/>
        <v>07/11/2025 to 12/11/2025</v>
      </c>
      <c r="Q1688" s="3">
        <v>45973</v>
      </c>
      <c r="R1688" t="str">
        <f t="shared" si="79"/>
        <v>On-Time</v>
      </c>
      <c r="S1688" t="s">
        <v>220</v>
      </c>
      <c r="T1688">
        <v>40.5</v>
      </c>
      <c r="U1688" t="s">
        <v>79</v>
      </c>
      <c r="V1688" t="s">
        <v>80</v>
      </c>
      <c r="W1688" t="str">
        <f t="shared" ca="1" si="80"/>
        <v>At Risk</v>
      </c>
    </row>
    <row r="1689" spans="1:23" x14ac:dyDescent="0.2">
      <c r="A1689">
        <v>1717</v>
      </c>
      <c r="B1689" t="s">
        <v>4771</v>
      </c>
      <c r="C1689" t="s">
        <v>4777</v>
      </c>
      <c r="D1689" s="1" t="s">
        <v>807</v>
      </c>
      <c r="E1689" t="s">
        <v>4773</v>
      </c>
      <c r="F1689" t="s">
        <v>424</v>
      </c>
      <c r="G1689" s="4" t="s">
        <v>5419</v>
      </c>
      <c r="H1689" t="s">
        <v>4763</v>
      </c>
      <c r="I1689" t="s">
        <v>112</v>
      </c>
      <c r="J1689" s="4" t="s">
        <v>5417</v>
      </c>
      <c r="K1689" t="s">
        <v>1092</v>
      </c>
      <c r="L1689">
        <v>2</v>
      </c>
      <c r="M1689" t="s">
        <v>951</v>
      </c>
      <c r="N1689" t="s">
        <v>951</v>
      </c>
      <c r="O1689" t="s">
        <v>391</v>
      </c>
      <c r="P1689" s="2" t="str">
        <f t="shared" si="78"/>
        <v>07/11/2025 to 12/11/2025</v>
      </c>
      <c r="Q1689" s="3">
        <v>45968</v>
      </c>
      <c r="R1689" t="str">
        <f t="shared" si="79"/>
        <v>On-Time</v>
      </c>
      <c r="S1689" t="s">
        <v>374</v>
      </c>
      <c r="T1689">
        <v>18</v>
      </c>
      <c r="U1689" t="s">
        <v>65</v>
      </c>
      <c r="V1689" t="s">
        <v>72</v>
      </c>
      <c r="W1689" t="str">
        <f t="shared" ca="1" si="80"/>
        <v>At Risk</v>
      </c>
    </row>
    <row r="1690" spans="1:23" x14ac:dyDescent="0.2">
      <c r="A1690">
        <v>1718</v>
      </c>
      <c r="B1690" t="s">
        <v>4771</v>
      </c>
      <c r="C1690" t="s">
        <v>4778</v>
      </c>
      <c r="D1690" s="1" t="s">
        <v>807</v>
      </c>
      <c r="E1690" t="s">
        <v>4773</v>
      </c>
      <c r="F1690" t="s">
        <v>424</v>
      </c>
      <c r="G1690" s="4" t="s">
        <v>5418</v>
      </c>
      <c r="H1690" t="s">
        <v>4763</v>
      </c>
      <c r="I1690" t="s">
        <v>112</v>
      </c>
      <c r="J1690" s="4" t="s">
        <v>68</v>
      </c>
      <c r="K1690" t="s">
        <v>4779</v>
      </c>
      <c r="L1690">
        <v>4</v>
      </c>
      <c r="M1690" t="s">
        <v>807</v>
      </c>
      <c r="N1690" t="s">
        <v>391</v>
      </c>
      <c r="O1690" t="s">
        <v>391</v>
      </c>
      <c r="P1690" s="2" t="str">
        <f t="shared" si="78"/>
        <v>06/11/2025 to 11/11/2025</v>
      </c>
      <c r="Q1690" s="3">
        <v>45967</v>
      </c>
      <c r="R1690" t="str">
        <f t="shared" si="79"/>
        <v>On-Time</v>
      </c>
      <c r="S1690" t="s">
        <v>375</v>
      </c>
      <c r="T1690">
        <v>36.5</v>
      </c>
      <c r="U1690" t="s">
        <v>65</v>
      </c>
      <c r="V1690" t="s">
        <v>72</v>
      </c>
      <c r="W1690" t="str">
        <f t="shared" ca="1" si="80"/>
        <v>At Risk</v>
      </c>
    </row>
    <row r="1691" spans="1:23" x14ac:dyDescent="0.2">
      <c r="A1691">
        <v>1719</v>
      </c>
      <c r="B1691" t="s">
        <v>4771</v>
      </c>
      <c r="C1691" t="s">
        <v>4780</v>
      </c>
      <c r="D1691" s="1" t="s">
        <v>807</v>
      </c>
      <c r="E1691" t="s">
        <v>4773</v>
      </c>
      <c r="F1691" t="s">
        <v>424</v>
      </c>
      <c r="G1691" s="4" t="s">
        <v>5423</v>
      </c>
      <c r="H1691" t="s">
        <v>4763</v>
      </c>
      <c r="I1691" t="s">
        <v>112</v>
      </c>
      <c r="J1691" s="4" t="s">
        <v>5417</v>
      </c>
      <c r="K1691" t="s">
        <v>4781</v>
      </c>
      <c r="L1691">
        <v>4</v>
      </c>
      <c r="M1691" t="s">
        <v>391</v>
      </c>
      <c r="N1691" t="s">
        <v>391</v>
      </c>
      <c r="O1691" t="s">
        <v>391</v>
      </c>
      <c r="P1691" s="2" t="str">
        <f t="shared" si="78"/>
        <v>10/11/2025 to 13/11/2025</v>
      </c>
      <c r="Q1691" s="3">
        <v>45971</v>
      </c>
      <c r="R1691" t="str">
        <f t="shared" si="79"/>
        <v>On-Time</v>
      </c>
      <c r="S1691" t="s">
        <v>212</v>
      </c>
      <c r="T1691">
        <v>38.5</v>
      </c>
      <c r="U1691" t="s">
        <v>79</v>
      </c>
      <c r="V1691" t="s">
        <v>80</v>
      </c>
      <c r="W1691" t="str">
        <f t="shared" ca="1" si="80"/>
        <v>At Risk</v>
      </c>
    </row>
    <row r="1692" spans="1:23" x14ac:dyDescent="0.2">
      <c r="A1692">
        <v>1901</v>
      </c>
      <c r="B1692" t="s">
        <v>5181</v>
      </c>
      <c r="C1692" t="s">
        <v>5182</v>
      </c>
      <c r="D1692" s="1" t="s">
        <v>807</v>
      </c>
      <c r="E1692" t="s">
        <v>5183</v>
      </c>
      <c r="F1692" t="s">
        <v>872</v>
      </c>
      <c r="G1692" s="4" t="s">
        <v>38</v>
      </c>
      <c r="H1692" t="s">
        <v>5184</v>
      </c>
      <c r="I1692" t="s">
        <v>112</v>
      </c>
      <c r="J1692" s="4" t="s">
        <v>5417</v>
      </c>
      <c r="K1692" t="s">
        <v>12</v>
      </c>
      <c r="L1692">
        <v>1</v>
      </c>
      <c r="M1692" t="s">
        <v>807</v>
      </c>
      <c r="N1692" t="s">
        <v>807</v>
      </c>
      <c r="O1692" t="s">
        <v>391</v>
      </c>
      <c r="P1692" s="2" t="str">
        <f t="shared" si="78"/>
        <v>06/11/2025 to 11/11/2025</v>
      </c>
      <c r="Q1692" s="3">
        <v>45971</v>
      </c>
      <c r="R1692" t="str">
        <f t="shared" si="79"/>
        <v>On-Time</v>
      </c>
      <c r="S1692" t="s">
        <v>212</v>
      </c>
      <c r="T1692">
        <v>9.5</v>
      </c>
      <c r="U1692" t="s">
        <v>79</v>
      </c>
      <c r="V1692" t="s">
        <v>72</v>
      </c>
      <c r="W1692" t="str">
        <f t="shared" ca="1" si="80"/>
        <v>At Risk</v>
      </c>
    </row>
    <row r="1693" spans="1:23" x14ac:dyDescent="0.2">
      <c r="A1693">
        <v>1902</v>
      </c>
      <c r="B1693" t="s">
        <v>5181</v>
      </c>
      <c r="C1693" t="s">
        <v>5185</v>
      </c>
      <c r="D1693" s="1" t="s">
        <v>807</v>
      </c>
      <c r="E1693" t="s">
        <v>5183</v>
      </c>
      <c r="F1693" t="s">
        <v>872</v>
      </c>
      <c r="G1693" s="4" t="s">
        <v>5421</v>
      </c>
      <c r="H1693" t="s">
        <v>5184</v>
      </c>
      <c r="I1693" t="s">
        <v>112</v>
      </c>
      <c r="J1693" s="4" t="s">
        <v>74</v>
      </c>
      <c r="K1693" t="s">
        <v>5186</v>
      </c>
      <c r="L1693">
        <v>4</v>
      </c>
      <c r="M1693" t="s">
        <v>391</v>
      </c>
      <c r="N1693" t="s">
        <v>391</v>
      </c>
      <c r="O1693" t="s">
        <v>400</v>
      </c>
      <c r="P1693" s="2" t="str">
        <f t="shared" si="78"/>
        <v>10/11/2025 to 13/11/2025</v>
      </c>
      <c r="Q1693" s="3">
        <v>45972</v>
      </c>
      <c r="R1693" t="str">
        <f t="shared" si="79"/>
        <v>On-Time</v>
      </c>
      <c r="S1693" t="s">
        <v>212</v>
      </c>
      <c r="T1693">
        <v>40.5</v>
      </c>
      <c r="U1693" t="s">
        <v>65</v>
      </c>
      <c r="V1693" t="s">
        <v>66</v>
      </c>
      <c r="W1693" t="str">
        <f t="shared" ca="1" si="80"/>
        <v>At Risk</v>
      </c>
    </row>
    <row r="1694" spans="1:23" x14ac:dyDescent="0.2">
      <c r="A1694">
        <v>1903</v>
      </c>
      <c r="B1694" t="s">
        <v>5181</v>
      </c>
      <c r="C1694" t="s">
        <v>5187</v>
      </c>
      <c r="D1694" s="1" t="s">
        <v>807</v>
      </c>
      <c r="E1694" t="s">
        <v>5183</v>
      </c>
      <c r="F1694" t="s">
        <v>872</v>
      </c>
      <c r="G1694" s="4" t="s">
        <v>5428</v>
      </c>
      <c r="H1694" t="s">
        <v>5184</v>
      </c>
      <c r="I1694" t="s">
        <v>112</v>
      </c>
      <c r="J1694" s="4" t="s">
        <v>74</v>
      </c>
      <c r="K1694" t="s">
        <v>16</v>
      </c>
      <c r="L1694">
        <v>1</v>
      </c>
      <c r="M1694" t="s">
        <v>391</v>
      </c>
      <c r="N1694" t="s">
        <v>391</v>
      </c>
      <c r="O1694" t="s">
        <v>391</v>
      </c>
      <c r="P1694" s="2" t="str">
        <f t="shared" si="78"/>
        <v>10/11/2025 to 13/11/2025</v>
      </c>
      <c r="Q1694" s="3">
        <v>45972</v>
      </c>
      <c r="R1694" t="str">
        <f t="shared" si="79"/>
        <v>On-Time</v>
      </c>
      <c r="S1694" t="s">
        <v>212</v>
      </c>
      <c r="T1694">
        <v>11</v>
      </c>
      <c r="U1694" t="s">
        <v>65</v>
      </c>
      <c r="V1694" t="s">
        <v>72</v>
      </c>
      <c r="W1694" t="str">
        <f t="shared" ca="1" si="80"/>
        <v>At Risk</v>
      </c>
    </row>
    <row r="1695" spans="1:23" x14ac:dyDescent="0.2">
      <c r="A1695">
        <v>66</v>
      </c>
      <c r="B1695" t="s">
        <v>389</v>
      </c>
      <c r="C1695" t="s">
        <v>390</v>
      </c>
      <c r="D1695" s="1" t="s">
        <v>391</v>
      </c>
      <c r="E1695" t="s">
        <v>392</v>
      </c>
      <c r="F1695" t="s">
        <v>266</v>
      </c>
      <c r="G1695" s="4" t="s">
        <v>5427</v>
      </c>
      <c r="H1695" t="s">
        <v>393</v>
      </c>
      <c r="I1695" t="s">
        <v>201</v>
      </c>
      <c r="J1695" s="4" t="s">
        <v>60</v>
      </c>
      <c r="K1695" t="s">
        <v>394</v>
      </c>
      <c r="L1695">
        <v>2</v>
      </c>
      <c r="M1695" t="s">
        <v>395</v>
      </c>
      <c r="N1695" t="s">
        <v>396</v>
      </c>
      <c r="O1695" t="s">
        <v>397</v>
      </c>
      <c r="P1695" s="2" t="str">
        <f t="shared" si="78"/>
        <v>11/11/2025 to 14/11/2025</v>
      </c>
      <c r="Q1695" s="3">
        <v>45976</v>
      </c>
      <c r="R1695" t="str">
        <f t="shared" si="79"/>
        <v>Late</v>
      </c>
      <c r="S1695" t="s">
        <v>398</v>
      </c>
      <c r="T1695">
        <v>18</v>
      </c>
      <c r="U1695" t="s">
        <v>65</v>
      </c>
      <c r="V1695" t="s">
        <v>72</v>
      </c>
      <c r="W1695" t="str">
        <f t="shared" ca="1" si="80"/>
        <v>At Risk</v>
      </c>
    </row>
    <row r="1696" spans="1:23" x14ac:dyDescent="0.2">
      <c r="A1696">
        <v>67</v>
      </c>
      <c r="B1696" t="s">
        <v>389</v>
      </c>
      <c r="C1696" t="s">
        <v>399</v>
      </c>
      <c r="D1696" s="1" t="s">
        <v>391</v>
      </c>
      <c r="E1696" t="s">
        <v>392</v>
      </c>
      <c r="F1696" t="s">
        <v>266</v>
      </c>
      <c r="G1696" s="4" t="s">
        <v>38</v>
      </c>
      <c r="H1696" t="s">
        <v>393</v>
      </c>
      <c r="I1696" t="s">
        <v>201</v>
      </c>
      <c r="J1696" s="4" t="s">
        <v>60</v>
      </c>
      <c r="K1696" t="s">
        <v>10</v>
      </c>
      <c r="L1696">
        <v>1</v>
      </c>
      <c r="M1696" t="s">
        <v>400</v>
      </c>
      <c r="N1696" t="s">
        <v>396</v>
      </c>
      <c r="O1696" t="s">
        <v>395</v>
      </c>
      <c r="P1696" s="2" t="str">
        <f t="shared" si="78"/>
        <v>11/11/2025 to 14/11/2025</v>
      </c>
      <c r="Q1696" s="3">
        <v>45975</v>
      </c>
      <c r="R1696" t="str">
        <f t="shared" si="79"/>
        <v>On-Time</v>
      </c>
      <c r="S1696" t="s">
        <v>376</v>
      </c>
      <c r="T1696">
        <v>10</v>
      </c>
      <c r="U1696" t="s">
        <v>79</v>
      </c>
      <c r="V1696" t="s">
        <v>66</v>
      </c>
      <c r="W1696" t="str">
        <f t="shared" ca="1" si="80"/>
        <v>At Risk</v>
      </c>
    </row>
    <row r="1697" spans="1:23" x14ac:dyDescent="0.2">
      <c r="A1697">
        <v>470</v>
      </c>
      <c r="B1697" t="s">
        <v>1737</v>
      </c>
      <c r="C1697" t="s">
        <v>1738</v>
      </c>
      <c r="D1697" s="1" t="s">
        <v>391</v>
      </c>
      <c r="E1697" t="s">
        <v>1739</v>
      </c>
      <c r="F1697" t="s">
        <v>179</v>
      </c>
      <c r="G1697" s="4" t="s">
        <v>5420</v>
      </c>
      <c r="H1697" t="s">
        <v>1740</v>
      </c>
      <c r="I1697" t="s">
        <v>59</v>
      </c>
      <c r="J1697" s="4" t="s">
        <v>74</v>
      </c>
      <c r="K1697" t="s">
        <v>1741</v>
      </c>
      <c r="L1697">
        <v>3</v>
      </c>
      <c r="M1697" t="s">
        <v>395</v>
      </c>
      <c r="N1697" t="s">
        <v>397</v>
      </c>
      <c r="O1697" t="s">
        <v>395</v>
      </c>
      <c r="P1697" s="2" t="str">
        <f t="shared" si="78"/>
        <v>11/11/2025 to 14/11/2025</v>
      </c>
      <c r="Q1697" s="3">
        <v>45973</v>
      </c>
      <c r="R1697" t="str">
        <f t="shared" si="79"/>
        <v>On-Time</v>
      </c>
      <c r="S1697" t="s">
        <v>401</v>
      </c>
      <c r="T1697">
        <v>26.5</v>
      </c>
      <c r="U1697" t="s">
        <v>65</v>
      </c>
      <c r="V1697" t="s">
        <v>80</v>
      </c>
      <c r="W1697" t="str">
        <f t="shared" ca="1" si="80"/>
        <v>At Risk</v>
      </c>
    </row>
    <row r="1698" spans="1:23" x14ac:dyDescent="0.2">
      <c r="A1698">
        <v>1023</v>
      </c>
      <c r="B1698" t="s">
        <v>3115</v>
      </c>
      <c r="C1698" t="s">
        <v>3116</v>
      </c>
      <c r="D1698" s="1" t="s">
        <v>391</v>
      </c>
      <c r="E1698" t="s">
        <v>3117</v>
      </c>
      <c r="F1698" t="s">
        <v>803</v>
      </c>
      <c r="G1698" s="4" t="s">
        <v>5421</v>
      </c>
      <c r="H1698" t="s">
        <v>1417</v>
      </c>
      <c r="I1698" t="s">
        <v>112</v>
      </c>
      <c r="J1698" s="4" t="s">
        <v>5417</v>
      </c>
      <c r="K1698" t="s">
        <v>3118</v>
      </c>
      <c r="L1698">
        <v>4</v>
      </c>
      <c r="M1698" t="s">
        <v>395</v>
      </c>
      <c r="N1698" t="s">
        <v>395</v>
      </c>
      <c r="O1698" t="s">
        <v>397</v>
      </c>
      <c r="P1698" s="2" t="str">
        <f t="shared" si="78"/>
        <v>11/11/2025 to 14/11/2025</v>
      </c>
      <c r="Q1698" s="3">
        <v>45977</v>
      </c>
      <c r="R1698" t="str">
        <f t="shared" si="79"/>
        <v>Late</v>
      </c>
      <c r="S1698" t="s">
        <v>377</v>
      </c>
      <c r="T1698">
        <v>35.5</v>
      </c>
      <c r="U1698" t="s">
        <v>79</v>
      </c>
      <c r="V1698" t="s">
        <v>72</v>
      </c>
      <c r="W1698" t="str">
        <f t="shared" ca="1" si="80"/>
        <v>At Risk</v>
      </c>
    </row>
    <row r="1699" spans="1:23" x14ac:dyDescent="0.2">
      <c r="A1699">
        <v>1024</v>
      </c>
      <c r="B1699" t="s">
        <v>3115</v>
      </c>
      <c r="C1699" t="s">
        <v>3119</v>
      </c>
      <c r="D1699" s="1" t="s">
        <v>391</v>
      </c>
      <c r="E1699" t="s">
        <v>3117</v>
      </c>
      <c r="F1699" t="s">
        <v>803</v>
      </c>
      <c r="G1699" s="4" t="s">
        <v>5425</v>
      </c>
      <c r="H1699" t="s">
        <v>1417</v>
      </c>
      <c r="I1699" t="s">
        <v>112</v>
      </c>
      <c r="J1699" s="4" t="s">
        <v>74</v>
      </c>
      <c r="K1699" t="s">
        <v>3120</v>
      </c>
      <c r="L1699">
        <v>3</v>
      </c>
      <c r="M1699" t="s">
        <v>395</v>
      </c>
      <c r="N1699" t="s">
        <v>396</v>
      </c>
      <c r="O1699" t="s">
        <v>397</v>
      </c>
      <c r="P1699" s="2" t="str">
        <f t="shared" si="78"/>
        <v>11/11/2025 to 14/11/2025</v>
      </c>
      <c r="Q1699" s="3">
        <v>45974</v>
      </c>
      <c r="R1699" t="str">
        <f t="shared" si="79"/>
        <v>On-Time</v>
      </c>
      <c r="S1699" t="s">
        <v>401</v>
      </c>
      <c r="T1699">
        <v>24</v>
      </c>
      <c r="U1699" t="s">
        <v>65</v>
      </c>
      <c r="V1699" t="s">
        <v>80</v>
      </c>
      <c r="W1699" t="str">
        <f t="shared" ca="1" si="80"/>
        <v>At Risk</v>
      </c>
    </row>
    <row r="1700" spans="1:23" x14ac:dyDescent="0.2">
      <c r="A1700">
        <v>1025</v>
      </c>
      <c r="B1700" t="s">
        <v>3115</v>
      </c>
      <c r="C1700" t="s">
        <v>3121</v>
      </c>
      <c r="D1700" s="1" t="s">
        <v>391</v>
      </c>
      <c r="E1700" t="s">
        <v>3117</v>
      </c>
      <c r="F1700" t="s">
        <v>803</v>
      </c>
      <c r="G1700" s="4" t="s">
        <v>5422</v>
      </c>
      <c r="H1700" t="s">
        <v>1417</v>
      </c>
      <c r="I1700" t="s">
        <v>112</v>
      </c>
      <c r="J1700" s="4" t="s">
        <v>68</v>
      </c>
      <c r="K1700" t="s">
        <v>3122</v>
      </c>
      <c r="L1700">
        <v>2</v>
      </c>
      <c r="M1700" t="s">
        <v>395</v>
      </c>
      <c r="N1700" t="s">
        <v>395</v>
      </c>
      <c r="O1700" t="s">
        <v>397</v>
      </c>
      <c r="P1700" s="2" t="str">
        <f t="shared" si="78"/>
        <v>11/11/2025 to 14/11/2025</v>
      </c>
      <c r="Q1700" s="3">
        <v>45977</v>
      </c>
      <c r="R1700" t="str">
        <f t="shared" si="79"/>
        <v>Late</v>
      </c>
      <c r="S1700" t="s">
        <v>386</v>
      </c>
      <c r="T1700">
        <v>18</v>
      </c>
      <c r="U1700" t="s">
        <v>65</v>
      </c>
      <c r="V1700" t="s">
        <v>66</v>
      </c>
      <c r="W1700" t="str">
        <f t="shared" ca="1" si="80"/>
        <v>At Risk</v>
      </c>
    </row>
    <row r="1701" spans="1:23" x14ac:dyDescent="0.2">
      <c r="A1701">
        <v>1026</v>
      </c>
      <c r="B1701" t="s">
        <v>3115</v>
      </c>
      <c r="C1701" t="s">
        <v>3123</v>
      </c>
      <c r="D1701" s="1" t="s">
        <v>391</v>
      </c>
      <c r="E1701" t="s">
        <v>3117</v>
      </c>
      <c r="F1701" t="s">
        <v>803</v>
      </c>
      <c r="G1701" s="4" t="s">
        <v>5427</v>
      </c>
      <c r="H1701" t="s">
        <v>1417</v>
      </c>
      <c r="I1701" t="s">
        <v>112</v>
      </c>
      <c r="J1701" s="4" t="s">
        <v>5417</v>
      </c>
      <c r="K1701" t="s">
        <v>3124</v>
      </c>
      <c r="L1701">
        <v>2</v>
      </c>
      <c r="M1701" t="s">
        <v>395</v>
      </c>
      <c r="N1701" t="s">
        <v>395</v>
      </c>
      <c r="O1701" t="s">
        <v>395</v>
      </c>
      <c r="P1701" s="2" t="str">
        <f t="shared" si="78"/>
        <v>11/11/2025 to 14/11/2025</v>
      </c>
      <c r="Q1701" s="3">
        <v>45972</v>
      </c>
      <c r="R1701" t="str">
        <f t="shared" si="79"/>
        <v>On-Time</v>
      </c>
      <c r="S1701" t="s">
        <v>220</v>
      </c>
      <c r="T1701">
        <v>16</v>
      </c>
      <c r="U1701" t="s">
        <v>79</v>
      </c>
      <c r="V1701" t="s">
        <v>66</v>
      </c>
      <c r="W1701" t="str">
        <f t="shared" ca="1" si="80"/>
        <v>At Risk</v>
      </c>
    </row>
    <row r="1702" spans="1:23" x14ac:dyDescent="0.2">
      <c r="A1702">
        <v>1027</v>
      </c>
      <c r="B1702" t="s">
        <v>3115</v>
      </c>
      <c r="C1702" t="s">
        <v>3125</v>
      </c>
      <c r="D1702" s="1" t="s">
        <v>391</v>
      </c>
      <c r="E1702" t="s">
        <v>3117</v>
      </c>
      <c r="F1702" t="s">
        <v>803</v>
      </c>
      <c r="G1702" s="4" t="s">
        <v>5428</v>
      </c>
      <c r="H1702" t="s">
        <v>1417</v>
      </c>
      <c r="I1702" t="s">
        <v>112</v>
      </c>
      <c r="J1702" s="4" t="s">
        <v>74</v>
      </c>
      <c r="K1702" t="s">
        <v>3126</v>
      </c>
      <c r="L1702">
        <v>3</v>
      </c>
      <c r="M1702" t="s">
        <v>400</v>
      </c>
      <c r="N1702" t="s">
        <v>395</v>
      </c>
      <c r="O1702" t="s">
        <v>396</v>
      </c>
      <c r="P1702" s="2" t="str">
        <f t="shared" si="78"/>
        <v>11/11/2025 to 14/11/2025</v>
      </c>
      <c r="Q1702" s="3">
        <v>45976</v>
      </c>
      <c r="R1702" t="str">
        <f t="shared" si="79"/>
        <v>Late</v>
      </c>
      <c r="S1702" t="s">
        <v>398</v>
      </c>
      <c r="T1702">
        <v>26</v>
      </c>
      <c r="U1702" t="s">
        <v>65</v>
      </c>
      <c r="V1702" t="s">
        <v>72</v>
      </c>
      <c r="W1702" t="str">
        <f t="shared" ca="1" si="80"/>
        <v>At Risk</v>
      </c>
    </row>
    <row r="1703" spans="1:23" x14ac:dyDescent="0.2">
      <c r="A1703">
        <v>570</v>
      </c>
      <c r="B1703" t="s">
        <v>2009</v>
      </c>
      <c r="C1703" t="s">
        <v>2010</v>
      </c>
      <c r="D1703" s="1" t="s">
        <v>400</v>
      </c>
      <c r="E1703" t="s">
        <v>2011</v>
      </c>
      <c r="F1703" t="s">
        <v>179</v>
      </c>
      <c r="G1703" s="4" t="s">
        <v>5421</v>
      </c>
      <c r="H1703" t="s">
        <v>2012</v>
      </c>
      <c r="I1703" t="s">
        <v>59</v>
      </c>
      <c r="J1703" s="4" t="s">
        <v>60</v>
      </c>
      <c r="K1703" t="s">
        <v>2013</v>
      </c>
      <c r="L1703">
        <v>3</v>
      </c>
      <c r="M1703" t="s">
        <v>396</v>
      </c>
      <c r="N1703" t="s">
        <v>1532</v>
      </c>
      <c r="O1703" t="s">
        <v>396</v>
      </c>
      <c r="P1703" s="2" t="str">
        <f t="shared" si="78"/>
        <v>11/11/2025 to 14/11/2025</v>
      </c>
      <c r="Q1703" s="3">
        <v>45972</v>
      </c>
      <c r="R1703" t="str">
        <f t="shared" si="79"/>
        <v>On-Time</v>
      </c>
      <c r="S1703" t="s">
        <v>602</v>
      </c>
      <c r="T1703">
        <v>31.5</v>
      </c>
      <c r="U1703" t="s">
        <v>65</v>
      </c>
      <c r="V1703" t="s">
        <v>66</v>
      </c>
      <c r="W1703" t="str">
        <f t="shared" ca="1" si="80"/>
        <v>At Risk</v>
      </c>
    </row>
    <row r="1704" spans="1:23" x14ac:dyDescent="0.2">
      <c r="A1704">
        <v>571</v>
      </c>
      <c r="B1704" t="s">
        <v>2009</v>
      </c>
      <c r="C1704" t="s">
        <v>2014</v>
      </c>
      <c r="D1704" s="1" t="s">
        <v>400</v>
      </c>
      <c r="E1704" t="s">
        <v>2011</v>
      </c>
      <c r="F1704" t="s">
        <v>179</v>
      </c>
      <c r="G1704" s="4" t="s">
        <v>5427</v>
      </c>
      <c r="H1704" t="s">
        <v>2012</v>
      </c>
      <c r="I1704" t="s">
        <v>59</v>
      </c>
      <c r="J1704" s="4" t="s">
        <v>68</v>
      </c>
      <c r="K1704" t="s">
        <v>6</v>
      </c>
      <c r="L1704">
        <v>1</v>
      </c>
      <c r="M1704" t="s">
        <v>395</v>
      </c>
      <c r="N1704" t="s">
        <v>395</v>
      </c>
      <c r="O1704" t="s">
        <v>395</v>
      </c>
      <c r="P1704" s="2" t="str">
        <f t="shared" si="78"/>
        <v>11/11/2025 to 14/11/2025</v>
      </c>
      <c r="Q1704" s="3">
        <v>45974</v>
      </c>
      <c r="R1704" t="str">
        <f t="shared" si="79"/>
        <v>On-Time</v>
      </c>
      <c r="S1704" t="s">
        <v>220</v>
      </c>
      <c r="T1704">
        <v>7.5</v>
      </c>
      <c r="U1704" t="s">
        <v>65</v>
      </c>
      <c r="V1704" t="s">
        <v>80</v>
      </c>
      <c r="W1704" t="str">
        <f t="shared" ca="1" si="80"/>
        <v>At Risk</v>
      </c>
    </row>
    <row r="1705" spans="1:23" x14ac:dyDescent="0.2">
      <c r="A1705">
        <v>572</v>
      </c>
      <c r="B1705" t="s">
        <v>2009</v>
      </c>
      <c r="C1705" t="s">
        <v>2015</v>
      </c>
      <c r="D1705" s="1" t="s">
        <v>400</v>
      </c>
      <c r="E1705" t="s">
        <v>2011</v>
      </c>
      <c r="F1705" t="s">
        <v>179</v>
      </c>
      <c r="G1705" s="4" t="s">
        <v>5423</v>
      </c>
      <c r="H1705" t="s">
        <v>2012</v>
      </c>
      <c r="I1705" t="s">
        <v>59</v>
      </c>
      <c r="J1705" s="4" t="s">
        <v>60</v>
      </c>
      <c r="K1705" t="s">
        <v>1729</v>
      </c>
      <c r="L1705">
        <v>3</v>
      </c>
      <c r="M1705" t="s">
        <v>396</v>
      </c>
      <c r="N1705" t="s">
        <v>396</v>
      </c>
      <c r="O1705" t="s">
        <v>397</v>
      </c>
      <c r="P1705" s="2" t="str">
        <f t="shared" si="78"/>
        <v>11/11/2025 to 14/11/2025</v>
      </c>
      <c r="Q1705" s="3">
        <v>45974</v>
      </c>
      <c r="R1705" t="str">
        <f t="shared" si="79"/>
        <v>On-Time</v>
      </c>
      <c r="S1705" t="s">
        <v>401</v>
      </c>
      <c r="T1705">
        <v>25</v>
      </c>
      <c r="U1705" t="s">
        <v>65</v>
      </c>
      <c r="V1705" t="s">
        <v>80</v>
      </c>
      <c r="W1705" t="str">
        <f t="shared" ca="1" si="80"/>
        <v>At Risk</v>
      </c>
    </row>
    <row r="1706" spans="1:23" x14ac:dyDescent="0.2">
      <c r="A1706">
        <v>656</v>
      </c>
      <c r="B1706" t="s">
        <v>2233</v>
      </c>
      <c r="C1706" t="s">
        <v>2234</v>
      </c>
      <c r="D1706" s="1" t="s">
        <v>400</v>
      </c>
      <c r="E1706" t="s">
        <v>2235</v>
      </c>
      <c r="F1706" t="s">
        <v>229</v>
      </c>
      <c r="G1706" s="4" t="s">
        <v>5420</v>
      </c>
      <c r="H1706" t="s">
        <v>2236</v>
      </c>
      <c r="I1706" t="s">
        <v>201</v>
      </c>
      <c r="J1706" s="4" t="s">
        <v>74</v>
      </c>
      <c r="K1706" t="s">
        <v>24</v>
      </c>
      <c r="L1706">
        <v>1</v>
      </c>
      <c r="M1706" t="s">
        <v>396</v>
      </c>
      <c r="N1706" t="s">
        <v>397</v>
      </c>
      <c r="O1706" t="s">
        <v>397</v>
      </c>
      <c r="P1706" s="2" t="str">
        <f t="shared" si="78"/>
        <v>11/11/2025 to 14/11/2025</v>
      </c>
      <c r="Q1706" s="3">
        <v>45977</v>
      </c>
      <c r="R1706" t="str">
        <f t="shared" si="79"/>
        <v>Late</v>
      </c>
      <c r="S1706" t="s">
        <v>377</v>
      </c>
      <c r="T1706">
        <v>8</v>
      </c>
      <c r="U1706" t="s">
        <v>79</v>
      </c>
      <c r="V1706" t="s">
        <v>80</v>
      </c>
      <c r="W1706" t="str">
        <f t="shared" ca="1" si="80"/>
        <v>At Risk</v>
      </c>
    </row>
    <row r="1707" spans="1:23" x14ac:dyDescent="0.2">
      <c r="A1707">
        <v>657</v>
      </c>
      <c r="B1707" t="s">
        <v>2233</v>
      </c>
      <c r="C1707" t="s">
        <v>2237</v>
      </c>
      <c r="D1707" s="1" t="s">
        <v>400</v>
      </c>
      <c r="E1707" t="s">
        <v>2235</v>
      </c>
      <c r="F1707" t="s">
        <v>229</v>
      </c>
      <c r="G1707" s="4" t="s">
        <v>5420</v>
      </c>
      <c r="H1707" t="s">
        <v>2236</v>
      </c>
      <c r="I1707" t="s">
        <v>201</v>
      </c>
      <c r="J1707" s="4" t="s">
        <v>74</v>
      </c>
      <c r="K1707" t="s">
        <v>2238</v>
      </c>
      <c r="L1707">
        <v>4</v>
      </c>
      <c r="M1707" t="s">
        <v>396</v>
      </c>
      <c r="N1707" t="s">
        <v>396</v>
      </c>
      <c r="O1707" t="s">
        <v>1532</v>
      </c>
      <c r="P1707" s="2" t="str">
        <f t="shared" si="78"/>
        <v>11/11/2025 to 14/11/2025</v>
      </c>
      <c r="Q1707" s="3">
        <v>45978</v>
      </c>
      <c r="R1707" t="str">
        <f t="shared" si="79"/>
        <v>Late</v>
      </c>
      <c r="S1707" t="s">
        <v>377</v>
      </c>
      <c r="T1707">
        <v>45.5</v>
      </c>
      <c r="U1707" t="s">
        <v>65</v>
      </c>
      <c r="V1707" t="s">
        <v>66</v>
      </c>
      <c r="W1707" t="str">
        <f t="shared" ca="1" si="80"/>
        <v>At Risk</v>
      </c>
    </row>
    <row r="1708" spans="1:23" x14ac:dyDescent="0.2">
      <c r="A1708">
        <v>658</v>
      </c>
      <c r="B1708" t="s">
        <v>2233</v>
      </c>
      <c r="C1708" t="s">
        <v>2239</v>
      </c>
      <c r="D1708" s="1" t="s">
        <v>400</v>
      </c>
      <c r="E1708" t="s">
        <v>2235</v>
      </c>
      <c r="F1708" t="s">
        <v>229</v>
      </c>
      <c r="G1708" s="4" t="s">
        <v>5421</v>
      </c>
      <c r="H1708" t="s">
        <v>2236</v>
      </c>
      <c r="I1708" t="s">
        <v>201</v>
      </c>
      <c r="J1708" s="4" t="s">
        <v>5417</v>
      </c>
      <c r="K1708" t="s">
        <v>24</v>
      </c>
      <c r="L1708">
        <v>1</v>
      </c>
      <c r="M1708" t="s">
        <v>400</v>
      </c>
      <c r="N1708" t="s">
        <v>396</v>
      </c>
      <c r="O1708" t="s">
        <v>395</v>
      </c>
      <c r="P1708" s="2" t="str">
        <f t="shared" si="78"/>
        <v>11/11/2025 to 14/11/2025</v>
      </c>
      <c r="Q1708" s="3">
        <v>45971</v>
      </c>
      <c r="R1708" t="str">
        <f t="shared" si="79"/>
        <v>Late</v>
      </c>
      <c r="S1708" t="s">
        <v>207</v>
      </c>
      <c r="T1708">
        <v>8</v>
      </c>
      <c r="U1708" t="s">
        <v>65</v>
      </c>
      <c r="V1708" t="s">
        <v>66</v>
      </c>
      <c r="W1708" t="str">
        <f t="shared" ca="1" si="80"/>
        <v>At Risk</v>
      </c>
    </row>
    <row r="1709" spans="1:23" x14ac:dyDescent="0.2">
      <c r="A1709">
        <v>659</v>
      </c>
      <c r="B1709" t="s">
        <v>2233</v>
      </c>
      <c r="C1709" t="s">
        <v>2240</v>
      </c>
      <c r="D1709" s="1" t="s">
        <v>400</v>
      </c>
      <c r="E1709" t="s">
        <v>2235</v>
      </c>
      <c r="F1709" t="s">
        <v>229</v>
      </c>
      <c r="G1709" s="4" t="s">
        <v>5423</v>
      </c>
      <c r="H1709" t="s">
        <v>2236</v>
      </c>
      <c r="I1709" t="s">
        <v>201</v>
      </c>
      <c r="J1709" s="4" t="s">
        <v>60</v>
      </c>
      <c r="K1709" t="s">
        <v>4</v>
      </c>
      <c r="L1709">
        <v>1</v>
      </c>
      <c r="M1709" t="s">
        <v>395</v>
      </c>
      <c r="N1709" t="s">
        <v>395</v>
      </c>
      <c r="O1709" t="s">
        <v>395</v>
      </c>
      <c r="P1709" s="2" t="str">
        <f t="shared" si="78"/>
        <v>11/11/2025 to 14/11/2025</v>
      </c>
      <c r="Q1709" s="3">
        <v>45970</v>
      </c>
      <c r="R1709" t="str">
        <f t="shared" si="79"/>
        <v>Late</v>
      </c>
      <c r="S1709" t="s">
        <v>602</v>
      </c>
      <c r="T1709">
        <v>8</v>
      </c>
      <c r="U1709" t="s">
        <v>65</v>
      </c>
      <c r="V1709" t="s">
        <v>72</v>
      </c>
      <c r="W1709" t="str">
        <f t="shared" ca="1" si="80"/>
        <v>At Risk</v>
      </c>
    </row>
    <row r="1710" spans="1:23" x14ac:dyDescent="0.2">
      <c r="A1710">
        <v>660</v>
      </c>
      <c r="B1710" t="s">
        <v>2233</v>
      </c>
      <c r="C1710" t="s">
        <v>2241</v>
      </c>
      <c r="D1710" s="1" t="s">
        <v>400</v>
      </c>
      <c r="E1710" t="s">
        <v>2235</v>
      </c>
      <c r="F1710" t="s">
        <v>229</v>
      </c>
      <c r="G1710" s="4" t="s">
        <v>5423</v>
      </c>
      <c r="H1710" t="s">
        <v>2236</v>
      </c>
      <c r="I1710" t="s">
        <v>201</v>
      </c>
      <c r="J1710" s="4" t="s">
        <v>68</v>
      </c>
      <c r="K1710" t="s">
        <v>24</v>
      </c>
      <c r="L1710">
        <v>1</v>
      </c>
      <c r="M1710" t="s">
        <v>400</v>
      </c>
      <c r="N1710" t="s">
        <v>396</v>
      </c>
      <c r="O1710" t="s">
        <v>396</v>
      </c>
      <c r="P1710" s="2" t="str">
        <f t="shared" si="78"/>
        <v>11/11/2025 to 14/11/2025</v>
      </c>
      <c r="Q1710" s="3">
        <v>45974</v>
      </c>
      <c r="R1710" t="str">
        <f t="shared" si="79"/>
        <v>On-Time</v>
      </c>
      <c r="S1710" t="s">
        <v>401</v>
      </c>
      <c r="T1710">
        <v>8</v>
      </c>
      <c r="U1710" t="s">
        <v>79</v>
      </c>
      <c r="V1710" t="s">
        <v>72</v>
      </c>
      <c r="W1710" t="str">
        <f t="shared" ca="1" si="80"/>
        <v>At Risk</v>
      </c>
    </row>
    <row r="1711" spans="1:23" x14ac:dyDescent="0.2">
      <c r="A1711">
        <v>1158</v>
      </c>
      <c r="B1711" t="s">
        <v>3446</v>
      </c>
      <c r="C1711" t="s">
        <v>3447</v>
      </c>
      <c r="D1711" s="1" t="s">
        <v>395</v>
      </c>
      <c r="E1711" t="s">
        <v>3448</v>
      </c>
      <c r="F1711" t="s">
        <v>1036</v>
      </c>
      <c r="G1711" s="4" t="s">
        <v>5421</v>
      </c>
      <c r="H1711" t="s">
        <v>3449</v>
      </c>
      <c r="I1711" t="s">
        <v>201</v>
      </c>
      <c r="J1711" s="4" t="s">
        <v>5417</v>
      </c>
      <c r="K1711" t="s">
        <v>1223</v>
      </c>
      <c r="L1711">
        <v>2</v>
      </c>
      <c r="M1711" t="s">
        <v>396</v>
      </c>
      <c r="N1711" t="s">
        <v>1532</v>
      </c>
      <c r="O1711" t="s">
        <v>397</v>
      </c>
      <c r="P1711" s="2" t="str">
        <f t="shared" si="78"/>
        <v>11/11/2025 to 14/11/2025</v>
      </c>
      <c r="Q1711" s="3">
        <v>45975</v>
      </c>
      <c r="R1711" t="str">
        <f t="shared" si="79"/>
        <v>On-Time</v>
      </c>
      <c r="S1711" t="s">
        <v>398</v>
      </c>
      <c r="T1711">
        <v>19</v>
      </c>
      <c r="U1711" t="s">
        <v>65</v>
      </c>
      <c r="V1711" t="s">
        <v>72</v>
      </c>
      <c r="W1711" t="str">
        <f t="shared" ca="1" si="80"/>
        <v>At Risk</v>
      </c>
    </row>
    <row r="1712" spans="1:23" x14ac:dyDescent="0.2">
      <c r="A1712">
        <v>1159</v>
      </c>
      <c r="B1712" t="s">
        <v>3446</v>
      </c>
      <c r="C1712" t="s">
        <v>3450</v>
      </c>
      <c r="D1712" s="1" t="s">
        <v>395</v>
      </c>
      <c r="E1712" t="s">
        <v>3448</v>
      </c>
      <c r="F1712" t="s">
        <v>1036</v>
      </c>
      <c r="G1712" s="4" t="s">
        <v>5420</v>
      </c>
      <c r="H1712" t="s">
        <v>3449</v>
      </c>
      <c r="I1712" t="s">
        <v>201</v>
      </c>
      <c r="J1712" s="4" t="s">
        <v>5417</v>
      </c>
      <c r="K1712" t="s">
        <v>3451</v>
      </c>
      <c r="L1712">
        <v>3</v>
      </c>
      <c r="M1712" t="s">
        <v>397</v>
      </c>
      <c r="N1712" t="s">
        <v>1550</v>
      </c>
      <c r="O1712" t="s">
        <v>1532</v>
      </c>
      <c r="P1712" s="2" t="str">
        <f t="shared" si="78"/>
        <v>12/11/2025 to 17/11/2025</v>
      </c>
      <c r="Q1712" s="3">
        <v>45975</v>
      </c>
      <c r="R1712" t="str">
        <f t="shared" si="79"/>
        <v>On-Time</v>
      </c>
      <c r="S1712" t="s">
        <v>401</v>
      </c>
      <c r="T1712">
        <v>31.5</v>
      </c>
      <c r="U1712" t="s">
        <v>79</v>
      </c>
      <c r="V1712" t="s">
        <v>72</v>
      </c>
      <c r="W1712" t="str">
        <f t="shared" ca="1" si="80"/>
        <v>At Risk</v>
      </c>
    </row>
    <row r="1713" spans="1:23" x14ac:dyDescent="0.2">
      <c r="A1713">
        <v>1160</v>
      </c>
      <c r="B1713" t="s">
        <v>3446</v>
      </c>
      <c r="C1713" t="s">
        <v>3452</v>
      </c>
      <c r="D1713" s="1" t="s">
        <v>395</v>
      </c>
      <c r="E1713" t="s">
        <v>3448</v>
      </c>
      <c r="F1713" t="s">
        <v>1036</v>
      </c>
      <c r="G1713" s="4" t="s">
        <v>5426</v>
      </c>
      <c r="H1713" t="s">
        <v>3449</v>
      </c>
      <c r="I1713" t="s">
        <v>201</v>
      </c>
      <c r="J1713" s="4" t="s">
        <v>74</v>
      </c>
      <c r="K1713" t="s">
        <v>3411</v>
      </c>
      <c r="L1713">
        <v>3</v>
      </c>
      <c r="M1713" t="s">
        <v>397</v>
      </c>
      <c r="N1713" t="s">
        <v>1532</v>
      </c>
      <c r="O1713" t="s">
        <v>1550</v>
      </c>
      <c r="P1713" s="2" t="str">
        <f t="shared" si="78"/>
        <v>12/11/2025 to 17/11/2025</v>
      </c>
      <c r="Q1713" s="3">
        <v>45976</v>
      </c>
      <c r="R1713" t="str">
        <f t="shared" si="79"/>
        <v>On-Time</v>
      </c>
      <c r="S1713" t="s">
        <v>377</v>
      </c>
      <c r="T1713">
        <v>27</v>
      </c>
      <c r="U1713" t="s">
        <v>79</v>
      </c>
      <c r="V1713" t="s">
        <v>80</v>
      </c>
      <c r="W1713" t="str">
        <f t="shared" ca="1" si="80"/>
        <v>At Risk</v>
      </c>
    </row>
    <row r="1714" spans="1:23" x14ac:dyDescent="0.2">
      <c r="A1714">
        <v>1161</v>
      </c>
      <c r="B1714" t="s">
        <v>3446</v>
      </c>
      <c r="C1714" t="s">
        <v>3453</v>
      </c>
      <c r="D1714" s="1" t="s">
        <v>395</v>
      </c>
      <c r="E1714" t="s">
        <v>3448</v>
      </c>
      <c r="F1714" t="s">
        <v>1036</v>
      </c>
      <c r="G1714" s="4" t="s">
        <v>5426</v>
      </c>
      <c r="H1714" t="s">
        <v>3449</v>
      </c>
      <c r="I1714" t="s">
        <v>201</v>
      </c>
      <c r="J1714" s="4" t="s">
        <v>5417</v>
      </c>
      <c r="K1714" t="s">
        <v>722</v>
      </c>
      <c r="L1714">
        <v>2</v>
      </c>
      <c r="M1714" t="s">
        <v>395</v>
      </c>
      <c r="N1714" t="s">
        <v>395</v>
      </c>
      <c r="O1714" t="s">
        <v>397</v>
      </c>
      <c r="P1714" s="2" t="str">
        <f t="shared" si="78"/>
        <v>11/11/2025 to 14/11/2025</v>
      </c>
      <c r="Q1714" s="3">
        <v>45977</v>
      </c>
      <c r="R1714" t="str">
        <f t="shared" si="79"/>
        <v>Late</v>
      </c>
      <c r="S1714" t="s">
        <v>377</v>
      </c>
      <c r="T1714">
        <v>17</v>
      </c>
      <c r="U1714" t="s">
        <v>65</v>
      </c>
      <c r="V1714" t="s">
        <v>80</v>
      </c>
      <c r="W1714" t="str">
        <f t="shared" ca="1" si="80"/>
        <v>At Risk</v>
      </c>
    </row>
    <row r="1715" spans="1:23" x14ac:dyDescent="0.2">
      <c r="A1715">
        <v>1941</v>
      </c>
      <c r="B1715" t="s">
        <v>5273</v>
      </c>
      <c r="C1715" t="s">
        <v>5274</v>
      </c>
      <c r="D1715" s="1" t="s">
        <v>395</v>
      </c>
      <c r="E1715" t="s">
        <v>5275</v>
      </c>
      <c r="F1715" t="s">
        <v>134</v>
      </c>
      <c r="G1715" s="4" t="s">
        <v>5426</v>
      </c>
      <c r="H1715" t="s">
        <v>3864</v>
      </c>
      <c r="I1715" t="s">
        <v>201</v>
      </c>
      <c r="J1715" s="4" t="s">
        <v>5417</v>
      </c>
      <c r="K1715" t="s">
        <v>5276</v>
      </c>
      <c r="L1715">
        <v>2</v>
      </c>
      <c r="M1715" t="s">
        <v>396</v>
      </c>
      <c r="N1715" t="s">
        <v>397</v>
      </c>
      <c r="O1715" t="s">
        <v>397</v>
      </c>
      <c r="P1715" s="2" t="str">
        <f t="shared" si="78"/>
        <v>11/11/2025 to 14/11/2025</v>
      </c>
      <c r="Q1715" s="3">
        <v>45973</v>
      </c>
      <c r="R1715" t="str">
        <f t="shared" si="79"/>
        <v>On-Time</v>
      </c>
      <c r="S1715" t="s">
        <v>220</v>
      </c>
      <c r="T1715">
        <v>15.5</v>
      </c>
      <c r="U1715" t="s">
        <v>65</v>
      </c>
      <c r="V1715" t="s">
        <v>66</v>
      </c>
      <c r="W1715" t="str">
        <f t="shared" ca="1" si="80"/>
        <v>At Risk</v>
      </c>
    </row>
    <row r="1716" spans="1:23" x14ac:dyDescent="0.2">
      <c r="A1716">
        <v>1942</v>
      </c>
      <c r="B1716" t="s">
        <v>5273</v>
      </c>
      <c r="C1716" t="s">
        <v>5277</v>
      </c>
      <c r="D1716" s="1" t="s">
        <v>395</v>
      </c>
      <c r="E1716" t="s">
        <v>5275</v>
      </c>
      <c r="F1716" t="s">
        <v>134</v>
      </c>
      <c r="G1716" s="4" t="s">
        <v>5424</v>
      </c>
      <c r="H1716" t="s">
        <v>3864</v>
      </c>
      <c r="I1716" t="s">
        <v>201</v>
      </c>
      <c r="J1716" s="4" t="s">
        <v>60</v>
      </c>
      <c r="K1716" t="s">
        <v>20</v>
      </c>
      <c r="L1716">
        <v>1</v>
      </c>
      <c r="M1716" t="s">
        <v>395</v>
      </c>
      <c r="N1716" t="s">
        <v>396</v>
      </c>
      <c r="O1716" t="s">
        <v>397</v>
      </c>
      <c r="P1716" s="2" t="str">
        <f t="shared" si="78"/>
        <v>11/11/2025 to 14/11/2025</v>
      </c>
      <c r="Q1716" s="3">
        <v>45971</v>
      </c>
      <c r="R1716" t="str">
        <f t="shared" si="79"/>
        <v>Late</v>
      </c>
      <c r="S1716" t="s">
        <v>212</v>
      </c>
      <c r="T1716">
        <v>10.5</v>
      </c>
      <c r="U1716" t="s">
        <v>79</v>
      </c>
      <c r="V1716" t="s">
        <v>80</v>
      </c>
      <c r="W1716" t="str">
        <f t="shared" ca="1" si="80"/>
        <v>At Risk</v>
      </c>
    </row>
    <row r="1717" spans="1:23" x14ac:dyDescent="0.2">
      <c r="A1717">
        <v>1943</v>
      </c>
      <c r="B1717" t="s">
        <v>5273</v>
      </c>
      <c r="C1717" t="s">
        <v>5278</v>
      </c>
      <c r="D1717" s="1" t="s">
        <v>395</v>
      </c>
      <c r="E1717" t="s">
        <v>5275</v>
      </c>
      <c r="F1717" t="s">
        <v>134</v>
      </c>
      <c r="G1717" s="4" t="s">
        <v>5419</v>
      </c>
      <c r="H1717" t="s">
        <v>3864</v>
      </c>
      <c r="I1717" t="s">
        <v>201</v>
      </c>
      <c r="J1717" s="4" t="s">
        <v>60</v>
      </c>
      <c r="K1717" t="s">
        <v>5279</v>
      </c>
      <c r="L1717">
        <v>4</v>
      </c>
      <c r="M1717" t="s">
        <v>397</v>
      </c>
      <c r="N1717" t="s">
        <v>397</v>
      </c>
      <c r="O1717" t="s">
        <v>1532</v>
      </c>
      <c r="P1717" s="2" t="str">
        <f t="shared" si="78"/>
        <v>12/11/2025 to 17/11/2025</v>
      </c>
      <c r="Q1717" s="3">
        <v>45976</v>
      </c>
      <c r="R1717" t="str">
        <f t="shared" si="79"/>
        <v>On-Time</v>
      </c>
      <c r="S1717" t="s">
        <v>376</v>
      </c>
      <c r="T1717">
        <v>40</v>
      </c>
      <c r="U1717" t="s">
        <v>65</v>
      </c>
      <c r="V1717" t="s">
        <v>80</v>
      </c>
      <c r="W1717" t="str">
        <f t="shared" ca="1" si="80"/>
        <v>At Risk</v>
      </c>
    </row>
    <row r="1718" spans="1:23" x14ac:dyDescent="0.2">
      <c r="A1718">
        <v>1642</v>
      </c>
      <c r="B1718" t="s">
        <v>4602</v>
      </c>
      <c r="C1718" t="s">
        <v>4603</v>
      </c>
      <c r="D1718" s="1" t="s">
        <v>396</v>
      </c>
      <c r="E1718" t="s">
        <v>4604</v>
      </c>
      <c r="F1718" t="s">
        <v>668</v>
      </c>
      <c r="G1718" s="4" t="s">
        <v>5425</v>
      </c>
      <c r="H1718" t="s">
        <v>111</v>
      </c>
      <c r="I1718" t="s">
        <v>201</v>
      </c>
      <c r="J1718" s="4" t="s">
        <v>68</v>
      </c>
      <c r="K1718" t="s">
        <v>4605</v>
      </c>
      <c r="L1718">
        <v>4</v>
      </c>
      <c r="M1718" t="s">
        <v>1532</v>
      </c>
      <c r="N1718" t="s">
        <v>369</v>
      </c>
      <c r="O1718" t="s">
        <v>369</v>
      </c>
      <c r="P1718" s="2" t="str">
        <f t="shared" si="78"/>
        <v>13/11/2025 to 18/11/2025</v>
      </c>
      <c r="Q1718" s="3">
        <v>45975</v>
      </c>
      <c r="R1718" t="str">
        <f t="shared" si="79"/>
        <v>On-Time</v>
      </c>
      <c r="S1718" t="s">
        <v>398</v>
      </c>
      <c r="T1718">
        <v>42.5</v>
      </c>
      <c r="U1718" t="s">
        <v>79</v>
      </c>
      <c r="V1718" t="s">
        <v>72</v>
      </c>
      <c r="W1718" t="str">
        <f t="shared" ca="1" si="80"/>
        <v>At Risk</v>
      </c>
    </row>
    <row r="1719" spans="1:23" x14ac:dyDescent="0.2">
      <c r="A1719">
        <v>1643</v>
      </c>
      <c r="B1719" t="s">
        <v>4602</v>
      </c>
      <c r="C1719" t="s">
        <v>4606</v>
      </c>
      <c r="D1719" s="1" t="s">
        <v>396</v>
      </c>
      <c r="E1719" t="s">
        <v>4604</v>
      </c>
      <c r="F1719" t="s">
        <v>668</v>
      </c>
      <c r="G1719" s="4" t="s">
        <v>5419</v>
      </c>
      <c r="H1719" t="s">
        <v>111</v>
      </c>
      <c r="I1719" t="s">
        <v>201</v>
      </c>
      <c r="J1719" s="4" t="s">
        <v>5417</v>
      </c>
      <c r="K1719" t="s">
        <v>26</v>
      </c>
      <c r="L1719">
        <v>1</v>
      </c>
      <c r="M1719" t="s">
        <v>397</v>
      </c>
      <c r="N1719" t="s">
        <v>397</v>
      </c>
      <c r="O1719" t="s">
        <v>397</v>
      </c>
      <c r="P1719" s="2" t="str">
        <f t="shared" si="78"/>
        <v>12/11/2025 to 17/11/2025</v>
      </c>
      <c r="Q1719" s="3">
        <v>45977</v>
      </c>
      <c r="R1719" t="str">
        <f t="shared" si="79"/>
        <v>On-Time</v>
      </c>
      <c r="S1719" t="s">
        <v>377</v>
      </c>
      <c r="T1719">
        <v>9</v>
      </c>
      <c r="U1719" t="s">
        <v>79</v>
      </c>
      <c r="V1719" t="s">
        <v>72</v>
      </c>
      <c r="W1719" t="str">
        <f t="shared" ca="1" si="80"/>
        <v>At Risk</v>
      </c>
    </row>
    <row r="1720" spans="1:23" x14ac:dyDescent="0.2">
      <c r="A1720">
        <v>1644</v>
      </c>
      <c r="B1720" t="s">
        <v>4602</v>
      </c>
      <c r="C1720" t="s">
        <v>4607</v>
      </c>
      <c r="D1720" s="1" t="s">
        <v>396</v>
      </c>
      <c r="E1720" t="s">
        <v>4604</v>
      </c>
      <c r="F1720" t="s">
        <v>668</v>
      </c>
      <c r="G1720" s="4" t="s">
        <v>5425</v>
      </c>
      <c r="H1720" t="s">
        <v>111</v>
      </c>
      <c r="I1720" t="s">
        <v>201</v>
      </c>
      <c r="J1720" s="4" t="s">
        <v>68</v>
      </c>
      <c r="K1720" t="s">
        <v>4608</v>
      </c>
      <c r="L1720">
        <v>3</v>
      </c>
      <c r="M1720" t="s">
        <v>396</v>
      </c>
      <c r="N1720" t="s">
        <v>397</v>
      </c>
      <c r="O1720" t="s">
        <v>396</v>
      </c>
      <c r="P1720" s="2" t="str">
        <f t="shared" si="78"/>
        <v>11/11/2025 to 14/11/2025</v>
      </c>
      <c r="Q1720" s="3">
        <v>45974</v>
      </c>
      <c r="R1720" t="str">
        <f t="shared" si="79"/>
        <v>On-Time</v>
      </c>
      <c r="S1720" t="s">
        <v>401</v>
      </c>
      <c r="T1720">
        <v>31.5</v>
      </c>
      <c r="U1720" t="s">
        <v>79</v>
      </c>
      <c r="V1720" t="s">
        <v>80</v>
      </c>
      <c r="W1720" t="str">
        <f t="shared" ca="1" si="80"/>
        <v>At Risk</v>
      </c>
    </row>
    <row r="1721" spans="1:23" x14ac:dyDescent="0.2">
      <c r="A1721">
        <v>1645</v>
      </c>
      <c r="B1721" t="s">
        <v>4602</v>
      </c>
      <c r="C1721" t="s">
        <v>4609</v>
      </c>
      <c r="D1721" s="1" t="s">
        <v>396</v>
      </c>
      <c r="E1721" t="s">
        <v>4604</v>
      </c>
      <c r="F1721" t="s">
        <v>668</v>
      </c>
      <c r="G1721" s="4" t="s">
        <v>5428</v>
      </c>
      <c r="H1721" t="s">
        <v>111</v>
      </c>
      <c r="I1721" t="s">
        <v>201</v>
      </c>
      <c r="J1721" s="4" t="s">
        <v>68</v>
      </c>
      <c r="K1721" t="s">
        <v>4610</v>
      </c>
      <c r="L1721">
        <v>4</v>
      </c>
      <c r="M1721" t="s">
        <v>396</v>
      </c>
      <c r="N1721" t="s">
        <v>396</v>
      </c>
      <c r="O1721" t="s">
        <v>397</v>
      </c>
      <c r="P1721" s="2" t="str">
        <f t="shared" si="78"/>
        <v>11/11/2025 to 14/11/2025</v>
      </c>
      <c r="Q1721" s="3">
        <v>45976</v>
      </c>
      <c r="R1721" t="str">
        <f t="shared" si="79"/>
        <v>Late</v>
      </c>
      <c r="S1721" t="s">
        <v>376</v>
      </c>
      <c r="T1721">
        <v>38</v>
      </c>
      <c r="U1721" t="s">
        <v>65</v>
      </c>
      <c r="V1721" t="s">
        <v>66</v>
      </c>
      <c r="W1721" t="str">
        <f t="shared" ca="1" si="80"/>
        <v>At Risk</v>
      </c>
    </row>
    <row r="1722" spans="1:23" x14ac:dyDescent="0.2">
      <c r="A1722">
        <v>1646</v>
      </c>
      <c r="B1722" t="s">
        <v>4602</v>
      </c>
      <c r="C1722" t="s">
        <v>4611</v>
      </c>
      <c r="D1722" s="1" t="s">
        <v>396</v>
      </c>
      <c r="E1722" t="s">
        <v>4604</v>
      </c>
      <c r="F1722" t="s">
        <v>668</v>
      </c>
      <c r="G1722" s="4" t="s">
        <v>38</v>
      </c>
      <c r="H1722" t="s">
        <v>111</v>
      </c>
      <c r="I1722" t="s">
        <v>201</v>
      </c>
      <c r="J1722" s="4" t="s">
        <v>60</v>
      </c>
      <c r="K1722" t="s">
        <v>8</v>
      </c>
      <c r="L1722">
        <v>1</v>
      </c>
      <c r="M1722" t="s">
        <v>1532</v>
      </c>
      <c r="N1722" t="s">
        <v>369</v>
      </c>
      <c r="O1722" t="s">
        <v>1550</v>
      </c>
      <c r="P1722" s="2" t="str">
        <f t="shared" si="78"/>
        <v>13/11/2025 to 18/11/2025</v>
      </c>
      <c r="Q1722" s="3">
        <v>45977</v>
      </c>
      <c r="R1722" t="str">
        <f t="shared" si="79"/>
        <v>On-Time</v>
      </c>
      <c r="S1722" t="s">
        <v>377</v>
      </c>
      <c r="T1722">
        <v>9</v>
      </c>
      <c r="U1722" t="s">
        <v>79</v>
      </c>
      <c r="V1722" t="s">
        <v>66</v>
      </c>
      <c r="W1722" t="str">
        <f t="shared" ca="1" si="80"/>
        <v>At Risk</v>
      </c>
    </row>
    <row r="1723" spans="1:23" x14ac:dyDescent="0.2">
      <c r="A1723">
        <v>1751</v>
      </c>
      <c r="B1723" t="s">
        <v>4852</v>
      </c>
      <c r="C1723" t="s">
        <v>4853</v>
      </c>
      <c r="D1723" s="1" t="s">
        <v>396</v>
      </c>
      <c r="E1723" t="s">
        <v>4854</v>
      </c>
      <c r="F1723" t="s">
        <v>600</v>
      </c>
      <c r="G1723" s="4" t="s">
        <v>5422</v>
      </c>
      <c r="H1723" t="s">
        <v>4476</v>
      </c>
      <c r="I1723" t="s">
        <v>136</v>
      </c>
      <c r="J1723" s="4" t="s">
        <v>5417</v>
      </c>
      <c r="K1723" t="s">
        <v>433</v>
      </c>
      <c r="L1723">
        <v>2</v>
      </c>
      <c r="M1723" t="s">
        <v>396</v>
      </c>
      <c r="N1723" t="s">
        <v>396</v>
      </c>
      <c r="O1723" t="s">
        <v>397</v>
      </c>
      <c r="P1723" s="2" t="str">
        <f t="shared" si="78"/>
        <v>11/11/2025 to 14/11/2025</v>
      </c>
      <c r="Q1723" s="3">
        <v>45972</v>
      </c>
      <c r="R1723" t="str">
        <f t="shared" si="79"/>
        <v>On-Time</v>
      </c>
      <c r="S1723" t="s">
        <v>212</v>
      </c>
      <c r="T1723">
        <v>18.5</v>
      </c>
      <c r="U1723" t="s">
        <v>65</v>
      </c>
      <c r="V1723" t="s">
        <v>66</v>
      </c>
      <c r="W1723" t="str">
        <f t="shared" ca="1" si="80"/>
        <v>At Risk</v>
      </c>
    </row>
    <row r="1724" spans="1:23" x14ac:dyDescent="0.2">
      <c r="A1724">
        <v>1752</v>
      </c>
      <c r="B1724" t="s">
        <v>4852</v>
      </c>
      <c r="C1724" t="s">
        <v>4855</v>
      </c>
      <c r="D1724" s="1" t="s">
        <v>396</v>
      </c>
      <c r="E1724" t="s">
        <v>4854</v>
      </c>
      <c r="F1724" t="s">
        <v>600</v>
      </c>
      <c r="G1724" s="4" t="s">
        <v>5426</v>
      </c>
      <c r="H1724" t="s">
        <v>4476</v>
      </c>
      <c r="I1724" t="s">
        <v>136</v>
      </c>
      <c r="J1724" s="4" t="s">
        <v>68</v>
      </c>
      <c r="K1724" t="s">
        <v>4</v>
      </c>
      <c r="L1724">
        <v>1</v>
      </c>
      <c r="M1724" t="s">
        <v>397</v>
      </c>
      <c r="N1724" t="s">
        <v>1532</v>
      </c>
      <c r="O1724" t="s">
        <v>1532</v>
      </c>
      <c r="P1724" s="2" t="str">
        <f t="shared" si="78"/>
        <v>12/11/2025 to 17/11/2025</v>
      </c>
      <c r="Q1724" s="3">
        <v>45978</v>
      </c>
      <c r="R1724" t="str">
        <f t="shared" si="79"/>
        <v>On-Time</v>
      </c>
      <c r="S1724" t="s">
        <v>383</v>
      </c>
      <c r="T1724">
        <v>8</v>
      </c>
      <c r="U1724" t="s">
        <v>79</v>
      </c>
      <c r="V1724" t="s">
        <v>72</v>
      </c>
      <c r="W1724" t="str">
        <f t="shared" ca="1" si="80"/>
        <v>At Risk</v>
      </c>
    </row>
    <row r="1725" spans="1:23" x14ac:dyDescent="0.2">
      <c r="A1725">
        <v>401</v>
      </c>
      <c r="B1725" t="s">
        <v>1545</v>
      </c>
      <c r="C1725" t="s">
        <v>1546</v>
      </c>
      <c r="D1725" s="1" t="s">
        <v>397</v>
      </c>
      <c r="E1725" t="s">
        <v>1547</v>
      </c>
      <c r="F1725" t="s">
        <v>511</v>
      </c>
      <c r="G1725" s="4" t="s">
        <v>38</v>
      </c>
      <c r="H1725" t="s">
        <v>346</v>
      </c>
      <c r="I1725" t="s">
        <v>93</v>
      </c>
      <c r="J1725" s="4" t="s">
        <v>60</v>
      </c>
      <c r="K1725" t="s">
        <v>1548</v>
      </c>
      <c r="L1725">
        <v>3</v>
      </c>
      <c r="M1725" t="s">
        <v>1532</v>
      </c>
      <c r="N1725" t="s">
        <v>1532</v>
      </c>
      <c r="O1725" t="s">
        <v>1532</v>
      </c>
      <c r="P1725" s="2" t="str">
        <f t="shared" si="78"/>
        <v>13/11/2025 to 18/11/2025</v>
      </c>
      <c r="Q1725" s="3">
        <v>45973</v>
      </c>
      <c r="R1725" t="str">
        <f t="shared" si="79"/>
        <v>Late</v>
      </c>
      <c r="S1725" t="s">
        <v>220</v>
      </c>
      <c r="T1725">
        <v>31.5</v>
      </c>
      <c r="U1725" t="s">
        <v>65</v>
      </c>
      <c r="V1725" t="s">
        <v>72</v>
      </c>
      <c r="W1725" t="str">
        <f t="shared" ca="1" si="80"/>
        <v>At Risk</v>
      </c>
    </row>
    <row r="1726" spans="1:23" x14ac:dyDescent="0.2">
      <c r="A1726">
        <v>402</v>
      </c>
      <c r="B1726" t="s">
        <v>1545</v>
      </c>
      <c r="C1726" t="s">
        <v>1549</v>
      </c>
      <c r="D1726" s="1" t="s">
        <v>397</v>
      </c>
      <c r="E1726" t="s">
        <v>1547</v>
      </c>
      <c r="F1726" t="s">
        <v>511</v>
      </c>
      <c r="G1726" s="4" t="s">
        <v>5427</v>
      </c>
      <c r="H1726" t="s">
        <v>346</v>
      </c>
      <c r="I1726" t="s">
        <v>93</v>
      </c>
      <c r="J1726" s="4" t="s">
        <v>60</v>
      </c>
      <c r="K1726" t="s">
        <v>934</v>
      </c>
      <c r="L1726">
        <v>2</v>
      </c>
      <c r="M1726" t="s">
        <v>1550</v>
      </c>
      <c r="N1726" t="s">
        <v>374</v>
      </c>
      <c r="O1726" t="s">
        <v>1550</v>
      </c>
      <c r="P1726" s="2" t="str">
        <f t="shared" si="78"/>
        <v>14/11/2025 to 19/11/2025</v>
      </c>
      <c r="Q1726" s="3">
        <v>45977</v>
      </c>
      <c r="R1726" t="str">
        <f t="shared" si="79"/>
        <v>On-Time</v>
      </c>
      <c r="S1726" t="s">
        <v>386</v>
      </c>
      <c r="T1726">
        <v>18</v>
      </c>
      <c r="U1726" t="s">
        <v>65</v>
      </c>
      <c r="V1726" t="s">
        <v>66</v>
      </c>
      <c r="W1726" t="str">
        <f t="shared" ca="1" si="80"/>
        <v>At Risk</v>
      </c>
    </row>
    <row r="1727" spans="1:23" x14ac:dyDescent="0.2">
      <c r="A1727">
        <v>403</v>
      </c>
      <c r="B1727" t="s">
        <v>1545</v>
      </c>
      <c r="C1727" t="s">
        <v>1551</v>
      </c>
      <c r="D1727" s="1" t="s">
        <v>397</v>
      </c>
      <c r="E1727" t="s">
        <v>1547</v>
      </c>
      <c r="F1727" t="s">
        <v>511</v>
      </c>
      <c r="G1727" s="4" t="s">
        <v>5422</v>
      </c>
      <c r="H1727" t="s">
        <v>346</v>
      </c>
      <c r="I1727" t="s">
        <v>93</v>
      </c>
      <c r="J1727" s="4" t="s">
        <v>60</v>
      </c>
      <c r="K1727" t="s">
        <v>1552</v>
      </c>
      <c r="L1727">
        <v>3</v>
      </c>
      <c r="M1727" t="s">
        <v>1550</v>
      </c>
      <c r="N1727" t="s">
        <v>369</v>
      </c>
      <c r="O1727" t="s">
        <v>374</v>
      </c>
      <c r="P1727" s="2" t="str">
        <f t="shared" si="78"/>
        <v>14/11/2025 to 19/11/2025</v>
      </c>
      <c r="Q1727" s="3">
        <v>45977</v>
      </c>
      <c r="R1727" t="str">
        <f t="shared" si="79"/>
        <v>On-Time</v>
      </c>
      <c r="S1727" t="s">
        <v>377</v>
      </c>
      <c r="T1727">
        <v>28.5</v>
      </c>
      <c r="U1727" t="s">
        <v>65</v>
      </c>
      <c r="V1727" t="s">
        <v>72</v>
      </c>
      <c r="W1727" t="str">
        <f t="shared" ca="1" si="80"/>
        <v>At Risk</v>
      </c>
    </row>
    <row r="1728" spans="1:23" x14ac:dyDescent="0.2">
      <c r="A1728">
        <v>404</v>
      </c>
      <c r="B1728" t="s">
        <v>1545</v>
      </c>
      <c r="C1728" t="s">
        <v>1553</v>
      </c>
      <c r="D1728" s="1" t="s">
        <v>397</v>
      </c>
      <c r="E1728" t="s">
        <v>1547</v>
      </c>
      <c r="F1728" t="s">
        <v>511</v>
      </c>
      <c r="G1728" s="4" t="s">
        <v>5420</v>
      </c>
      <c r="H1728" t="s">
        <v>346</v>
      </c>
      <c r="I1728" t="s">
        <v>93</v>
      </c>
      <c r="J1728" s="4" t="s">
        <v>5417</v>
      </c>
      <c r="K1728" t="s">
        <v>1554</v>
      </c>
      <c r="L1728">
        <v>3</v>
      </c>
      <c r="M1728" t="s">
        <v>397</v>
      </c>
      <c r="N1728" t="s">
        <v>1532</v>
      </c>
      <c r="O1728" t="s">
        <v>1532</v>
      </c>
      <c r="P1728" s="2" t="str">
        <f t="shared" si="78"/>
        <v>12/11/2025 to 17/11/2025</v>
      </c>
      <c r="Q1728" s="3">
        <v>45975</v>
      </c>
      <c r="R1728" t="str">
        <f t="shared" si="79"/>
        <v>On-Time</v>
      </c>
      <c r="S1728" t="s">
        <v>398</v>
      </c>
      <c r="T1728">
        <v>32.5</v>
      </c>
      <c r="U1728" t="s">
        <v>65</v>
      </c>
      <c r="V1728" t="s">
        <v>80</v>
      </c>
      <c r="W1728" t="str">
        <f t="shared" ca="1" si="80"/>
        <v>At Risk</v>
      </c>
    </row>
    <row r="1729" spans="1:23" x14ac:dyDescent="0.2">
      <c r="A1729">
        <v>405</v>
      </c>
      <c r="B1729" t="s">
        <v>1545</v>
      </c>
      <c r="C1729" t="s">
        <v>1555</v>
      </c>
      <c r="D1729" s="1" t="s">
        <v>397</v>
      </c>
      <c r="E1729" t="s">
        <v>1547</v>
      </c>
      <c r="F1729" t="s">
        <v>511</v>
      </c>
      <c r="G1729" s="4" t="s">
        <v>5423</v>
      </c>
      <c r="H1729" t="s">
        <v>346</v>
      </c>
      <c r="I1729" t="s">
        <v>93</v>
      </c>
      <c r="J1729" s="4" t="s">
        <v>68</v>
      </c>
      <c r="K1729" t="s">
        <v>722</v>
      </c>
      <c r="L1729">
        <v>2</v>
      </c>
      <c r="M1729" t="s">
        <v>1532</v>
      </c>
      <c r="N1729" t="s">
        <v>1532</v>
      </c>
      <c r="O1729" t="s">
        <v>1550</v>
      </c>
      <c r="P1729" s="2" t="str">
        <f t="shared" si="78"/>
        <v>13/11/2025 to 18/11/2025</v>
      </c>
      <c r="Q1729" s="3">
        <v>45979</v>
      </c>
      <c r="R1729" t="str">
        <f t="shared" si="79"/>
        <v>On-Time</v>
      </c>
      <c r="S1729" t="s">
        <v>383</v>
      </c>
      <c r="T1729">
        <v>17</v>
      </c>
      <c r="U1729" t="s">
        <v>79</v>
      </c>
      <c r="V1729" t="s">
        <v>80</v>
      </c>
      <c r="W1729" t="str">
        <f t="shared" ca="1" si="80"/>
        <v>At Risk</v>
      </c>
    </row>
    <row r="1730" spans="1:23" x14ac:dyDescent="0.2">
      <c r="A1730">
        <v>716</v>
      </c>
      <c r="B1730" t="s">
        <v>2375</v>
      </c>
      <c r="C1730" t="s">
        <v>2376</v>
      </c>
      <c r="D1730" s="1" t="s">
        <v>397</v>
      </c>
      <c r="E1730" t="s">
        <v>2377</v>
      </c>
      <c r="F1730" t="s">
        <v>2176</v>
      </c>
      <c r="G1730" s="4" t="s">
        <v>5421</v>
      </c>
      <c r="H1730" t="s">
        <v>721</v>
      </c>
      <c r="I1730" t="s">
        <v>59</v>
      </c>
      <c r="J1730" s="4" t="s">
        <v>60</v>
      </c>
      <c r="K1730" t="s">
        <v>2378</v>
      </c>
      <c r="L1730">
        <v>3</v>
      </c>
      <c r="M1730" t="s">
        <v>397</v>
      </c>
      <c r="N1730" t="s">
        <v>1550</v>
      </c>
      <c r="O1730" t="s">
        <v>1550</v>
      </c>
      <c r="P1730" s="2" t="str">
        <f t="shared" ref="P1730:P1793" si="81">IF(ISBLANK(M1730), "", TEXT(WORKDAY(M1730, 7), "dd/mm/yyyy") &amp; " to " &amp; TEXT(WORKDAY(M1730, 10), "dd/mm/yyyy"))</f>
        <v>12/11/2025 to 17/11/2025</v>
      </c>
      <c r="Q1730" s="3">
        <v>45973</v>
      </c>
      <c r="R1730" t="str">
        <f t="shared" ref="R1730:R1793" si="82">IF(Q1730="","In Progress",
IF(AND(--Q1730&gt;=DATEVALUE(LEFT(P1730,10)),
       --Q1730&lt;=DATEVALUE(TRIM(MID(P1730,FIND("to",P1730)+3,10)))),
   "On-Time","Late"))</f>
        <v>On-Time</v>
      </c>
      <c r="S1730" t="s">
        <v>401</v>
      </c>
      <c r="T1730">
        <v>25.5</v>
      </c>
      <c r="U1730" t="s">
        <v>79</v>
      </c>
      <c r="V1730" t="s">
        <v>66</v>
      </c>
      <c r="W1730" t="str">
        <f t="shared" ca="1" si="80"/>
        <v>At Risk</v>
      </c>
    </row>
    <row r="1731" spans="1:23" x14ac:dyDescent="0.2">
      <c r="A1731">
        <v>717</v>
      </c>
      <c r="B1731" t="s">
        <v>2375</v>
      </c>
      <c r="C1731" t="s">
        <v>2379</v>
      </c>
      <c r="D1731" s="1" t="s">
        <v>397</v>
      </c>
      <c r="E1731" t="s">
        <v>2377</v>
      </c>
      <c r="F1731" t="s">
        <v>2176</v>
      </c>
      <c r="G1731" s="4" t="s">
        <v>5428</v>
      </c>
      <c r="H1731" t="s">
        <v>721</v>
      </c>
      <c r="I1731" t="s">
        <v>59</v>
      </c>
      <c r="J1731" s="4" t="s">
        <v>5417</v>
      </c>
      <c r="K1731" t="s">
        <v>2380</v>
      </c>
      <c r="L1731">
        <v>3</v>
      </c>
      <c r="M1731" t="s">
        <v>1550</v>
      </c>
      <c r="N1731" t="s">
        <v>369</v>
      </c>
      <c r="O1731" t="s">
        <v>369</v>
      </c>
      <c r="P1731" s="2" t="str">
        <f t="shared" si="81"/>
        <v>14/11/2025 to 19/11/2025</v>
      </c>
      <c r="Q1731" s="3">
        <v>45975</v>
      </c>
      <c r="R1731" t="str">
        <f t="shared" si="82"/>
        <v>On-Time</v>
      </c>
      <c r="S1731" t="s">
        <v>401</v>
      </c>
      <c r="T1731">
        <v>29</v>
      </c>
      <c r="U1731" t="s">
        <v>65</v>
      </c>
      <c r="V1731" t="s">
        <v>80</v>
      </c>
      <c r="W1731" t="str">
        <f t="shared" ref="W1731:W1794" ca="1" si="83">IF(D1731="","",
IF(TODAY()-D1731&lt;=120,"Active",
IF(TODAY()-D1731&lt;=210,"At Risk",
IF(TODAY()-D1731&lt;=395,"Dormant",
IF(TODAY()-D1731&lt;=730,"Inactive","Archived")))))</f>
        <v>At Risk</v>
      </c>
    </row>
    <row r="1732" spans="1:23" x14ac:dyDescent="0.2">
      <c r="A1732">
        <v>754</v>
      </c>
      <c r="B1732" t="s">
        <v>2465</v>
      </c>
      <c r="C1732" t="s">
        <v>2466</v>
      </c>
      <c r="D1732" s="1" t="s">
        <v>397</v>
      </c>
      <c r="E1732" t="s">
        <v>2467</v>
      </c>
      <c r="F1732" t="s">
        <v>179</v>
      </c>
      <c r="G1732" s="4" t="s">
        <v>5425</v>
      </c>
      <c r="H1732" t="s">
        <v>2468</v>
      </c>
      <c r="I1732" t="s">
        <v>59</v>
      </c>
      <c r="J1732" s="4" t="s">
        <v>68</v>
      </c>
      <c r="K1732" t="s">
        <v>2469</v>
      </c>
      <c r="L1732">
        <v>3</v>
      </c>
      <c r="M1732" t="s">
        <v>397</v>
      </c>
      <c r="N1732" t="s">
        <v>1532</v>
      </c>
      <c r="O1732" t="s">
        <v>397</v>
      </c>
      <c r="P1732" s="2" t="str">
        <f t="shared" si="81"/>
        <v>12/11/2025 to 17/11/2025</v>
      </c>
      <c r="Q1732" s="3">
        <v>45971</v>
      </c>
      <c r="R1732" t="str">
        <f t="shared" si="82"/>
        <v>Late</v>
      </c>
      <c r="S1732" t="s">
        <v>207</v>
      </c>
      <c r="T1732">
        <v>29</v>
      </c>
      <c r="U1732" t="s">
        <v>65</v>
      </c>
      <c r="V1732" t="s">
        <v>80</v>
      </c>
      <c r="W1732" t="str">
        <f t="shared" ca="1" si="83"/>
        <v>At Risk</v>
      </c>
    </row>
    <row r="1733" spans="1:23" x14ac:dyDescent="0.2">
      <c r="A1733">
        <v>755</v>
      </c>
      <c r="B1733" t="s">
        <v>2465</v>
      </c>
      <c r="C1733" t="s">
        <v>2470</v>
      </c>
      <c r="D1733" s="1" t="s">
        <v>397</v>
      </c>
      <c r="E1733" t="s">
        <v>2467</v>
      </c>
      <c r="F1733" t="s">
        <v>179</v>
      </c>
      <c r="G1733" s="4" t="s">
        <v>5427</v>
      </c>
      <c r="H1733" t="s">
        <v>2468</v>
      </c>
      <c r="I1733" t="s">
        <v>59</v>
      </c>
      <c r="J1733" s="4" t="s">
        <v>74</v>
      </c>
      <c r="K1733" t="s">
        <v>32</v>
      </c>
      <c r="L1733">
        <v>1</v>
      </c>
      <c r="M1733" t="s">
        <v>1550</v>
      </c>
      <c r="N1733" t="s">
        <v>1550</v>
      </c>
      <c r="O1733" t="s">
        <v>374</v>
      </c>
      <c r="P1733" s="2" t="str">
        <f t="shared" si="81"/>
        <v>14/11/2025 to 19/11/2025</v>
      </c>
      <c r="Q1733" s="3">
        <v>45979</v>
      </c>
      <c r="R1733" t="str">
        <f t="shared" si="82"/>
        <v>On-Time</v>
      </c>
      <c r="S1733" t="s">
        <v>386</v>
      </c>
      <c r="T1733">
        <v>14</v>
      </c>
      <c r="U1733" t="s">
        <v>79</v>
      </c>
      <c r="V1733" t="s">
        <v>72</v>
      </c>
      <c r="W1733" t="str">
        <f t="shared" ca="1" si="83"/>
        <v>At Risk</v>
      </c>
    </row>
    <row r="1734" spans="1:23" x14ac:dyDescent="0.2">
      <c r="A1734">
        <v>756</v>
      </c>
      <c r="B1734" t="s">
        <v>2465</v>
      </c>
      <c r="C1734" t="s">
        <v>2471</v>
      </c>
      <c r="D1734" s="1" t="s">
        <v>397</v>
      </c>
      <c r="E1734" t="s">
        <v>2467</v>
      </c>
      <c r="F1734" t="s">
        <v>179</v>
      </c>
      <c r="G1734" s="4" t="s">
        <v>5425</v>
      </c>
      <c r="H1734" t="s">
        <v>2468</v>
      </c>
      <c r="I1734" t="s">
        <v>59</v>
      </c>
      <c r="J1734" s="4" t="s">
        <v>68</v>
      </c>
      <c r="K1734" t="s">
        <v>2472</v>
      </c>
      <c r="L1734">
        <v>4</v>
      </c>
      <c r="M1734" t="s">
        <v>1550</v>
      </c>
      <c r="N1734" t="s">
        <v>1550</v>
      </c>
      <c r="O1734" t="s">
        <v>369</v>
      </c>
      <c r="P1734" s="2" t="str">
        <f t="shared" si="81"/>
        <v>14/11/2025 to 19/11/2025</v>
      </c>
      <c r="Q1734" s="3">
        <v>45974</v>
      </c>
      <c r="R1734" t="str">
        <f t="shared" si="82"/>
        <v>Late</v>
      </c>
      <c r="S1734" t="s">
        <v>398</v>
      </c>
      <c r="T1734">
        <v>36</v>
      </c>
      <c r="U1734" t="s">
        <v>65</v>
      </c>
      <c r="V1734" t="s">
        <v>80</v>
      </c>
      <c r="W1734" t="str">
        <f t="shared" ca="1" si="83"/>
        <v>At Risk</v>
      </c>
    </row>
    <row r="1735" spans="1:23" x14ac:dyDescent="0.2">
      <c r="A1735">
        <v>757</v>
      </c>
      <c r="B1735" t="s">
        <v>2465</v>
      </c>
      <c r="C1735" t="s">
        <v>2473</v>
      </c>
      <c r="D1735" s="1" t="s">
        <v>397</v>
      </c>
      <c r="E1735" t="s">
        <v>2467</v>
      </c>
      <c r="F1735" t="s">
        <v>179</v>
      </c>
      <c r="G1735" s="4" t="s">
        <v>5419</v>
      </c>
      <c r="H1735" t="s">
        <v>2468</v>
      </c>
      <c r="I1735" t="s">
        <v>59</v>
      </c>
      <c r="J1735" s="4" t="s">
        <v>5417</v>
      </c>
      <c r="K1735" t="s">
        <v>2474</v>
      </c>
      <c r="L1735">
        <v>4</v>
      </c>
      <c r="M1735" t="s">
        <v>397</v>
      </c>
      <c r="N1735" t="s">
        <v>1550</v>
      </c>
      <c r="O1735" t="s">
        <v>397</v>
      </c>
      <c r="P1735" s="2" t="str">
        <f t="shared" si="81"/>
        <v>12/11/2025 to 17/11/2025</v>
      </c>
      <c r="Q1735" s="3">
        <v>45977</v>
      </c>
      <c r="R1735" t="str">
        <f t="shared" si="82"/>
        <v>On-Time</v>
      </c>
      <c r="S1735" t="s">
        <v>377</v>
      </c>
      <c r="T1735">
        <v>34</v>
      </c>
      <c r="U1735" t="s">
        <v>65</v>
      </c>
      <c r="V1735" t="s">
        <v>72</v>
      </c>
      <c r="W1735" t="str">
        <f t="shared" ca="1" si="83"/>
        <v>At Risk</v>
      </c>
    </row>
    <row r="1736" spans="1:23" x14ac:dyDescent="0.2">
      <c r="A1736">
        <v>1666</v>
      </c>
      <c r="B1736" t="s">
        <v>4659</v>
      </c>
      <c r="C1736" t="s">
        <v>4660</v>
      </c>
      <c r="D1736" s="1" t="s">
        <v>397</v>
      </c>
      <c r="E1736" t="s">
        <v>4661</v>
      </c>
      <c r="F1736" t="s">
        <v>995</v>
      </c>
      <c r="G1736" s="4" t="s">
        <v>5422</v>
      </c>
      <c r="H1736" t="s">
        <v>4662</v>
      </c>
      <c r="I1736" t="s">
        <v>201</v>
      </c>
      <c r="J1736" s="4" t="s">
        <v>60</v>
      </c>
      <c r="K1736" t="s">
        <v>12</v>
      </c>
      <c r="L1736">
        <v>1</v>
      </c>
      <c r="M1736" t="s">
        <v>1532</v>
      </c>
      <c r="N1736" t="s">
        <v>1550</v>
      </c>
      <c r="O1736" t="s">
        <v>369</v>
      </c>
      <c r="P1736" s="2" t="str">
        <f t="shared" si="81"/>
        <v>13/11/2025 to 18/11/2025</v>
      </c>
      <c r="Q1736" s="3">
        <v>45974</v>
      </c>
      <c r="R1736" t="str">
        <f t="shared" si="82"/>
        <v>On-Time</v>
      </c>
      <c r="S1736" t="s">
        <v>401</v>
      </c>
      <c r="T1736">
        <v>9.5</v>
      </c>
      <c r="U1736" t="s">
        <v>65</v>
      </c>
      <c r="V1736" t="s">
        <v>72</v>
      </c>
      <c r="W1736" t="str">
        <f t="shared" ca="1" si="83"/>
        <v>At Risk</v>
      </c>
    </row>
    <row r="1737" spans="1:23" x14ac:dyDescent="0.2">
      <c r="A1737">
        <v>1667</v>
      </c>
      <c r="B1737" t="s">
        <v>4659</v>
      </c>
      <c r="C1737" t="s">
        <v>4663</v>
      </c>
      <c r="D1737" s="1" t="s">
        <v>397</v>
      </c>
      <c r="E1737" t="s">
        <v>4661</v>
      </c>
      <c r="F1737" t="s">
        <v>995</v>
      </c>
      <c r="G1737" s="4" t="s">
        <v>5426</v>
      </c>
      <c r="H1737" t="s">
        <v>4662</v>
      </c>
      <c r="I1737" t="s">
        <v>201</v>
      </c>
      <c r="J1737" s="4" t="s">
        <v>74</v>
      </c>
      <c r="K1737" t="s">
        <v>4664</v>
      </c>
      <c r="L1737">
        <v>4</v>
      </c>
      <c r="M1737" t="s">
        <v>397</v>
      </c>
      <c r="N1737" t="s">
        <v>397</v>
      </c>
      <c r="O1737" t="s">
        <v>1532</v>
      </c>
      <c r="P1737" s="2" t="str">
        <f t="shared" si="81"/>
        <v>12/11/2025 to 17/11/2025</v>
      </c>
      <c r="Q1737" s="3">
        <v>45972</v>
      </c>
      <c r="R1737" t="str">
        <f t="shared" si="82"/>
        <v>Late</v>
      </c>
      <c r="S1737" t="s">
        <v>212</v>
      </c>
      <c r="T1737">
        <v>37.5</v>
      </c>
      <c r="U1737" t="s">
        <v>65</v>
      </c>
      <c r="V1737" t="s">
        <v>66</v>
      </c>
      <c r="W1737" t="str">
        <f t="shared" ca="1" si="83"/>
        <v>At Risk</v>
      </c>
    </row>
    <row r="1738" spans="1:23" x14ac:dyDescent="0.2">
      <c r="A1738">
        <v>1668</v>
      </c>
      <c r="B1738" t="s">
        <v>4659</v>
      </c>
      <c r="C1738" t="s">
        <v>4665</v>
      </c>
      <c r="D1738" s="1" t="s">
        <v>397</v>
      </c>
      <c r="E1738" t="s">
        <v>4661</v>
      </c>
      <c r="F1738" t="s">
        <v>995</v>
      </c>
      <c r="G1738" s="4" t="s">
        <v>5426</v>
      </c>
      <c r="H1738" t="s">
        <v>4662</v>
      </c>
      <c r="I1738" t="s">
        <v>201</v>
      </c>
      <c r="J1738" s="4" t="s">
        <v>5417</v>
      </c>
      <c r="K1738" t="s">
        <v>4666</v>
      </c>
      <c r="L1738">
        <v>3</v>
      </c>
      <c r="M1738" t="s">
        <v>1532</v>
      </c>
      <c r="N1738" t="s">
        <v>1550</v>
      </c>
      <c r="O1738" t="s">
        <v>369</v>
      </c>
      <c r="P1738" s="2" t="str">
        <f t="shared" si="81"/>
        <v>13/11/2025 to 18/11/2025</v>
      </c>
      <c r="Q1738" s="3">
        <v>45980</v>
      </c>
      <c r="R1738" t="str">
        <f t="shared" si="82"/>
        <v>Late</v>
      </c>
      <c r="S1738" t="s">
        <v>383</v>
      </c>
      <c r="T1738">
        <v>24.5</v>
      </c>
      <c r="U1738" t="s">
        <v>65</v>
      </c>
      <c r="V1738" t="s">
        <v>80</v>
      </c>
      <c r="W1738" t="str">
        <f t="shared" ca="1" si="83"/>
        <v>At Risk</v>
      </c>
    </row>
    <row r="1739" spans="1:23" x14ac:dyDescent="0.2">
      <c r="A1739">
        <v>1669</v>
      </c>
      <c r="B1739" t="s">
        <v>4659</v>
      </c>
      <c r="C1739" t="s">
        <v>4667</v>
      </c>
      <c r="D1739" s="1" t="s">
        <v>397</v>
      </c>
      <c r="E1739" t="s">
        <v>4661</v>
      </c>
      <c r="F1739" t="s">
        <v>995</v>
      </c>
      <c r="G1739" s="4" t="s">
        <v>5426</v>
      </c>
      <c r="H1739" t="s">
        <v>4662</v>
      </c>
      <c r="I1739" t="s">
        <v>201</v>
      </c>
      <c r="J1739" s="4" t="s">
        <v>60</v>
      </c>
      <c r="K1739" t="s">
        <v>4668</v>
      </c>
      <c r="L1739">
        <v>3</v>
      </c>
      <c r="M1739" t="s">
        <v>1550</v>
      </c>
      <c r="N1739" t="s">
        <v>369</v>
      </c>
      <c r="O1739" t="s">
        <v>374</v>
      </c>
      <c r="P1739" s="2" t="str">
        <f t="shared" si="81"/>
        <v>14/11/2025 to 19/11/2025</v>
      </c>
      <c r="Q1739" s="3">
        <v>45976</v>
      </c>
      <c r="R1739" t="str">
        <f t="shared" si="82"/>
        <v>On-Time</v>
      </c>
      <c r="S1739" t="s">
        <v>377</v>
      </c>
      <c r="T1739">
        <v>28.5</v>
      </c>
      <c r="U1739" t="s">
        <v>65</v>
      </c>
      <c r="V1739" t="s">
        <v>72</v>
      </c>
      <c r="W1739" t="str">
        <f t="shared" ca="1" si="83"/>
        <v>At Risk</v>
      </c>
    </row>
    <row r="1740" spans="1:23" x14ac:dyDescent="0.2">
      <c r="A1740">
        <v>1670</v>
      </c>
      <c r="B1740" t="s">
        <v>4659</v>
      </c>
      <c r="C1740" t="s">
        <v>4669</v>
      </c>
      <c r="D1740" s="1" t="s">
        <v>397</v>
      </c>
      <c r="E1740" t="s">
        <v>4661</v>
      </c>
      <c r="F1740" t="s">
        <v>995</v>
      </c>
      <c r="G1740" s="4" t="s">
        <v>5419</v>
      </c>
      <c r="H1740" t="s">
        <v>4662</v>
      </c>
      <c r="I1740" t="s">
        <v>201</v>
      </c>
      <c r="J1740" s="4" t="s">
        <v>60</v>
      </c>
      <c r="K1740" t="s">
        <v>4670</v>
      </c>
      <c r="L1740">
        <v>3</v>
      </c>
      <c r="M1740" t="s">
        <v>397</v>
      </c>
      <c r="N1740" t="s">
        <v>1532</v>
      </c>
      <c r="O1740" t="s">
        <v>1532</v>
      </c>
      <c r="P1740" s="2" t="str">
        <f t="shared" si="81"/>
        <v>12/11/2025 to 17/11/2025</v>
      </c>
      <c r="Q1740" s="3">
        <v>45978</v>
      </c>
      <c r="R1740" t="str">
        <f t="shared" si="82"/>
        <v>On-Time</v>
      </c>
      <c r="S1740" t="s">
        <v>386</v>
      </c>
      <c r="T1740">
        <v>25</v>
      </c>
      <c r="U1740" t="s">
        <v>65</v>
      </c>
      <c r="V1740" t="s">
        <v>72</v>
      </c>
      <c r="W1740" t="str">
        <f t="shared" ca="1" si="83"/>
        <v>At Risk</v>
      </c>
    </row>
    <row r="1741" spans="1:23" x14ac:dyDescent="0.2">
      <c r="A1741">
        <v>1190</v>
      </c>
      <c r="B1741" t="s">
        <v>3518</v>
      </c>
      <c r="C1741" t="s">
        <v>3519</v>
      </c>
      <c r="D1741" s="1" t="s">
        <v>1532</v>
      </c>
      <c r="E1741" t="s">
        <v>3520</v>
      </c>
      <c r="F1741" t="s">
        <v>803</v>
      </c>
      <c r="G1741" s="4" t="s">
        <v>5422</v>
      </c>
      <c r="H1741" t="s">
        <v>3016</v>
      </c>
      <c r="I1741" t="s">
        <v>93</v>
      </c>
      <c r="J1741" s="4" t="s">
        <v>60</v>
      </c>
      <c r="K1741" t="s">
        <v>3049</v>
      </c>
      <c r="L1741">
        <v>3</v>
      </c>
      <c r="M1741" t="s">
        <v>1550</v>
      </c>
      <c r="N1741" t="s">
        <v>1550</v>
      </c>
      <c r="O1741" t="s">
        <v>1550</v>
      </c>
      <c r="P1741" s="2" t="str">
        <f t="shared" si="81"/>
        <v>14/11/2025 to 19/11/2025</v>
      </c>
      <c r="Q1741" s="3">
        <v>45974</v>
      </c>
      <c r="R1741" t="str">
        <f t="shared" si="82"/>
        <v>Late</v>
      </c>
      <c r="S1741" t="s">
        <v>398</v>
      </c>
      <c r="T1741">
        <v>25.5</v>
      </c>
      <c r="U1741" t="s">
        <v>65</v>
      </c>
      <c r="V1741" t="s">
        <v>80</v>
      </c>
      <c r="W1741" t="str">
        <f t="shared" ca="1" si="83"/>
        <v>At Risk</v>
      </c>
    </row>
    <row r="1742" spans="1:23" x14ac:dyDescent="0.2">
      <c r="A1742">
        <v>1191</v>
      </c>
      <c r="B1742" t="s">
        <v>3518</v>
      </c>
      <c r="C1742" t="s">
        <v>3521</v>
      </c>
      <c r="D1742" s="1" t="s">
        <v>1532</v>
      </c>
      <c r="E1742" t="s">
        <v>3520</v>
      </c>
      <c r="F1742" t="s">
        <v>803</v>
      </c>
      <c r="G1742" s="4" t="s">
        <v>5424</v>
      </c>
      <c r="H1742" t="s">
        <v>3016</v>
      </c>
      <c r="I1742" t="s">
        <v>93</v>
      </c>
      <c r="J1742" s="4" t="s">
        <v>60</v>
      </c>
      <c r="K1742" t="s">
        <v>3522</v>
      </c>
      <c r="L1742">
        <v>3</v>
      </c>
      <c r="M1742" t="s">
        <v>1550</v>
      </c>
      <c r="N1742" t="s">
        <v>374</v>
      </c>
      <c r="O1742" t="s">
        <v>1550</v>
      </c>
      <c r="P1742" s="2" t="str">
        <f t="shared" si="81"/>
        <v>14/11/2025 to 19/11/2025</v>
      </c>
      <c r="Q1742" s="3">
        <v>45979</v>
      </c>
      <c r="R1742" t="str">
        <f t="shared" si="82"/>
        <v>On-Time</v>
      </c>
      <c r="S1742" t="s">
        <v>383</v>
      </c>
      <c r="T1742">
        <v>25.5</v>
      </c>
      <c r="U1742" t="s">
        <v>79</v>
      </c>
      <c r="V1742" t="s">
        <v>72</v>
      </c>
      <c r="W1742" t="str">
        <f t="shared" ca="1" si="83"/>
        <v>At Risk</v>
      </c>
    </row>
    <row r="1743" spans="1:23" x14ac:dyDescent="0.2">
      <c r="A1743">
        <v>1553</v>
      </c>
      <c r="B1743" t="s">
        <v>4395</v>
      </c>
      <c r="C1743" t="s">
        <v>4396</v>
      </c>
      <c r="D1743" s="1" t="s">
        <v>1532</v>
      </c>
      <c r="E1743" t="s">
        <v>4397</v>
      </c>
      <c r="F1743" t="s">
        <v>121</v>
      </c>
      <c r="G1743" s="4" t="s">
        <v>5418</v>
      </c>
      <c r="H1743" t="s">
        <v>2127</v>
      </c>
      <c r="I1743" t="s">
        <v>201</v>
      </c>
      <c r="J1743" s="4" t="s">
        <v>74</v>
      </c>
      <c r="K1743" t="s">
        <v>4398</v>
      </c>
      <c r="L1743">
        <v>4</v>
      </c>
      <c r="M1743" t="s">
        <v>1550</v>
      </c>
      <c r="N1743" t="s">
        <v>1550</v>
      </c>
      <c r="O1743" t="s">
        <v>369</v>
      </c>
      <c r="P1743" s="2" t="str">
        <f t="shared" si="81"/>
        <v>14/11/2025 to 19/11/2025</v>
      </c>
      <c r="Q1743" s="3">
        <v>45976</v>
      </c>
      <c r="R1743" t="str">
        <f t="shared" si="82"/>
        <v>On-Time</v>
      </c>
      <c r="S1743" t="s">
        <v>398</v>
      </c>
      <c r="T1743">
        <v>42</v>
      </c>
      <c r="U1743" t="s">
        <v>79</v>
      </c>
      <c r="V1743" t="s">
        <v>80</v>
      </c>
      <c r="W1743" t="str">
        <f t="shared" ca="1" si="83"/>
        <v>At Risk</v>
      </c>
    </row>
    <row r="1744" spans="1:23" x14ac:dyDescent="0.2">
      <c r="A1744">
        <v>1554</v>
      </c>
      <c r="B1744" t="s">
        <v>4395</v>
      </c>
      <c r="C1744" t="s">
        <v>4399</v>
      </c>
      <c r="D1744" s="1" t="s">
        <v>1532</v>
      </c>
      <c r="E1744" t="s">
        <v>4397</v>
      </c>
      <c r="F1744" t="s">
        <v>121</v>
      </c>
      <c r="G1744" s="4" t="s">
        <v>5423</v>
      </c>
      <c r="H1744" t="s">
        <v>2127</v>
      </c>
      <c r="I1744" t="s">
        <v>201</v>
      </c>
      <c r="J1744" s="4" t="s">
        <v>5417</v>
      </c>
      <c r="K1744" t="s">
        <v>3122</v>
      </c>
      <c r="L1744">
        <v>2</v>
      </c>
      <c r="M1744" t="s">
        <v>1532</v>
      </c>
      <c r="N1744" t="s">
        <v>369</v>
      </c>
      <c r="O1744" t="s">
        <v>1532</v>
      </c>
      <c r="P1744" s="2" t="str">
        <f t="shared" si="81"/>
        <v>13/11/2025 to 18/11/2025</v>
      </c>
      <c r="Q1744" s="3">
        <v>45972</v>
      </c>
      <c r="R1744" t="str">
        <f t="shared" si="82"/>
        <v>Late</v>
      </c>
      <c r="S1744" t="s">
        <v>602</v>
      </c>
      <c r="T1744">
        <v>18</v>
      </c>
      <c r="U1744" t="s">
        <v>79</v>
      </c>
      <c r="V1744" t="s">
        <v>66</v>
      </c>
      <c r="W1744" t="str">
        <f t="shared" ca="1" si="83"/>
        <v>At Risk</v>
      </c>
    </row>
    <row r="1745" spans="1:23" x14ac:dyDescent="0.2">
      <c r="A1745">
        <v>793</v>
      </c>
      <c r="B1745" t="s">
        <v>2555</v>
      </c>
      <c r="C1745" t="s">
        <v>2556</v>
      </c>
      <c r="D1745" s="1" t="s">
        <v>1550</v>
      </c>
      <c r="E1745" t="s">
        <v>2557</v>
      </c>
      <c r="F1745" t="s">
        <v>1154</v>
      </c>
      <c r="G1745" s="4" t="s">
        <v>5423</v>
      </c>
      <c r="H1745" t="s">
        <v>512</v>
      </c>
      <c r="I1745" t="s">
        <v>112</v>
      </c>
      <c r="J1745" s="4" t="s">
        <v>68</v>
      </c>
      <c r="K1745" t="s">
        <v>2558</v>
      </c>
      <c r="L1745">
        <v>4</v>
      </c>
      <c r="M1745" t="s">
        <v>369</v>
      </c>
      <c r="N1745" t="s">
        <v>369</v>
      </c>
      <c r="O1745" t="s">
        <v>374</v>
      </c>
      <c r="P1745" s="2" t="str">
        <f t="shared" si="81"/>
        <v>17/11/2025 to 20/11/2025</v>
      </c>
      <c r="Q1745" s="3">
        <v>45978</v>
      </c>
      <c r="R1745" t="str">
        <f t="shared" si="82"/>
        <v>On-Time</v>
      </c>
      <c r="S1745" t="s">
        <v>386</v>
      </c>
      <c r="T1745">
        <v>34.5</v>
      </c>
      <c r="U1745" t="s">
        <v>79</v>
      </c>
      <c r="V1745" t="s">
        <v>66</v>
      </c>
      <c r="W1745" t="str">
        <f t="shared" ca="1" si="83"/>
        <v>At Risk</v>
      </c>
    </row>
    <row r="1746" spans="1:23" x14ac:dyDescent="0.2">
      <c r="A1746">
        <v>794</v>
      </c>
      <c r="B1746" t="s">
        <v>2555</v>
      </c>
      <c r="C1746" t="s">
        <v>2559</v>
      </c>
      <c r="D1746" s="1" t="s">
        <v>1550</v>
      </c>
      <c r="E1746" t="s">
        <v>2557</v>
      </c>
      <c r="F1746" t="s">
        <v>1154</v>
      </c>
      <c r="G1746" s="4" t="s">
        <v>5419</v>
      </c>
      <c r="H1746" t="s">
        <v>512</v>
      </c>
      <c r="I1746" t="s">
        <v>112</v>
      </c>
      <c r="J1746" s="4" t="s">
        <v>74</v>
      </c>
      <c r="K1746" t="s">
        <v>2560</v>
      </c>
      <c r="L1746">
        <v>4</v>
      </c>
      <c r="M1746" t="s">
        <v>374</v>
      </c>
      <c r="N1746" t="s">
        <v>375</v>
      </c>
      <c r="O1746" t="s">
        <v>374</v>
      </c>
      <c r="P1746" s="2" t="str">
        <f t="shared" si="81"/>
        <v>18/11/2025 to 21/11/2025</v>
      </c>
      <c r="Q1746" s="3">
        <v>45977</v>
      </c>
      <c r="R1746" t="str">
        <f t="shared" si="82"/>
        <v>Late</v>
      </c>
      <c r="S1746" t="s">
        <v>386</v>
      </c>
      <c r="T1746">
        <v>37.5</v>
      </c>
      <c r="U1746" t="s">
        <v>65</v>
      </c>
      <c r="V1746" t="s">
        <v>66</v>
      </c>
      <c r="W1746" t="str">
        <f t="shared" ca="1" si="83"/>
        <v>At Risk</v>
      </c>
    </row>
    <row r="1747" spans="1:23" x14ac:dyDescent="0.2">
      <c r="A1747">
        <v>795</v>
      </c>
      <c r="B1747" t="s">
        <v>2555</v>
      </c>
      <c r="C1747" t="s">
        <v>2561</v>
      </c>
      <c r="D1747" s="1" t="s">
        <v>1550</v>
      </c>
      <c r="E1747" t="s">
        <v>2557</v>
      </c>
      <c r="F1747" t="s">
        <v>1154</v>
      </c>
      <c r="G1747" s="4" t="s">
        <v>5423</v>
      </c>
      <c r="H1747" t="s">
        <v>512</v>
      </c>
      <c r="I1747" t="s">
        <v>112</v>
      </c>
      <c r="J1747" s="4" t="s">
        <v>60</v>
      </c>
      <c r="K1747" t="s">
        <v>2562</v>
      </c>
      <c r="L1747">
        <v>3</v>
      </c>
      <c r="M1747" t="s">
        <v>369</v>
      </c>
      <c r="N1747" t="s">
        <v>369</v>
      </c>
      <c r="O1747" t="s">
        <v>375</v>
      </c>
      <c r="P1747" s="2" t="str">
        <f t="shared" si="81"/>
        <v>17/11/2025 to 20/11/2025</v>
      </c>
      <c r="Q1747" s="3">
        <v>45979</v>
      </c>
      <c r="R1747" t="str">
        <f t="shared" si="82"/>
        <v>On-Time</v>
      </c>
      <c r="S1747" t="s">
        <v>383</v>
      </c>
      <c r="T1747">
        <v>29</v>
      </c>
      <c r="U1747" t="s">
        <v>65</v>
      </c>
      <c r="V1747" t="s">
        <v>66</v>
      </c>
      <c r="W1747" t="str">
        <f t="shared" ca="1" si="83"/>
        <v>At Risk</v>
      </c>
    </row>
    <row r="1748" spans="1:23" x14ac:dyDescent="0.2">
      <c r="A1748">
        <v>796</v>
      </c>
      <c r="B1748" t="s">
        <v>2555</v>
      </c>
      <c r="C1748" t="s">
        <v>2563</v>
      </c>
      <c r="D1748" s="1" t="s">
        <v>1550</v>
      </c>
      <c r="E1748" t="s">
        <v>2557</v>
      </c>
      <c r="F1748" t="s">
        <v>1154</v>
      </c>
      <c r="G1748" s="4" t="s">
        <v>5424</v>
      </c>
      <c r="H1748" t="s">
        <v>512</v>
      </c>
      <c r="I1748" t="s">
        <v>112</v>
      </c>
      <c r="J1748" s="4" t="s">
        <v>60</v>
      </c>
      <c r="K1748" t="s">
        <v>2564</v>
      </c>
      <c r="L1748">
        <v>3</v>
      </c>
      <c r="M1748" t="s">
        <v>1550</v>
      </c>
      <c r="N1748" t="s">
        <v>374</v>
      </c>
      <c r="O1748" t="s">
        <v>374</v>
      </c>
      <c r="P1748" s="2" t="str">
        <f t="shared" si="81"/>
        <v>14/11/2025 to 19/11/2025</v>
      </c>
      <c r="Q1748" s="3">
        <v>45978</v>
      </c>
      <c r="R1748" t="str">
        <f t="shared" si="82"/>
        <v>On-Time</v>
      </c>
      <c r="S1748" t="s">
        <v>386</v>
      </c>
      <c r="T1748">
        <v>30</v>
      </c>
      <c r="U1748" t="s">
        <v>65</v>
      </c>
      <c r="V1748" t="s">
        <v>80</v>
      </c>
      <c r="W1748" t="str">
        <f t="shared" ca="1" si="83"/>
        <v>At Risk</v>
      </c>
    </row>
    <row r="1749" spans="1:23" x14ac:dyDescent="0.2">
      <c r="A1749">
        <v>1566</v>
      </c>
      <c r="B1749" t="s">
        <v>4424</v>
      </c>
      <c r="C1749" t="s">
        <v>4425</v>
      </c>
      <c r="D1749" s="1" t="s">
        <v>1550</v>
      </c>
      <c r="E1749" t="s">
        <v>4426</v>
      </c>
      <c r="F1749" t="s">
        <v>266</v>
      </c>
      <c r="G1749" s="4" t="s">
        <v>5418</v>
      </c>
      <c r="H1749" t="s">
        <v>4427</v>
      </c>
      <c r="I1749" t="s">
        <v>59</v>
      </c>
      <c r="J1749" s="4" t="s">
        <v>60</v>
      </c>
      <c r="K1749" t="s">
        <v>3582</v>
      </c>
      <c r="L1749">
        <v>2</v>
      </c>
      <c r="M1749" t="s">
        <v>369</v>
      </c>
      <c r="N1749" t="s">
        <v>375</v>
      </c>
      <c r="O1749" t="s">
        <v>369</v>
      </c>
      <c r="P1749" s="2" t="str">
        <f t="shared" si="81"/>
        <v>17/11/2025 to 20/11/2025</v>
      </c>
      <c r="Q1749" s="3">
        <v>45976</v>
      </c>
      <c r="R1749" t="str">
        <f t="shared" si="82"/>
        <v>Late</v>
      </c>
      <c r="S1749" t="s">
        <v>376</v>
      </c>
      <c r="T1749">
        <v>18</v>
      </c>
      <c r="U1749" t="s">
        <v>79</v>
      </c>
      <c r="V1749" t="s">
        <v>72</v>
      </c>
      <c r="W1749" t="str">
        <f t="shared" ca="1" si="83"/>
        <v>At Risk</v>
      </c>
    </row>
    <row r="1750" spans="1:23" x14ac:dyDescent="0.2">
      <c r="A1750">
        <v>1567</v>
      </c>
      <c r="B1750" t="s">
        <v>4424</v>
      </c>
      <c r="C1750" t="s">
        <v>4428</v>
      </c>
      <c r="D1750" s="1" t="s">
        <v>1550</v>
      </c>
      <c r="E1750" t="s">
        <v>4426</v>
      </c>
      <c r="F1750" t="s">
        <v>266</v>
      </c>
      <c r="G1750" s="4" t="s">
        <v>5421</v>
      </c>
      <c r="H1750" t="s">
        <v>4427</v>
      </c>
      <c r="I1750" t="s">
        <v>59</v>
      </c>
      <c r="J1750" s="4" t="s">
        <v>68</v>
      </c>
      <c r="K1750" t="s">
        <v>3531</v>
      </c>
      <c r="L1750">
        <v>2</v>
      </c>
      <c r="M1750" t="s">
        <v>369</v>
      </c>
      <c r="N1750" t="s">
        <v>369</v>
      </c>
      <c r="O1750" t="s">
        <v>375</v>
      </c>
      <c r="P1750" s="2" t="str">
        <f t="shared" si="81"/>
        <v>17/11/2025 to 20/11/2025</v>
      </c>
      <c r="Q1750" s="3">
        <v>45977</v>
      </c>
      <c r="R1750" t="str">
        <f t="shared" si="82"/>
        <v>Late</v>
      </c>
      <c r="S1750" t="s">
        <v>386</v>
      </c>
      <c r="T1750">
        <v>17.5</v>
      </c>
      <c r="U1750" t="s">
        <v>79</v>
      </c>
      <c r="V1750" t="s">
        <v>72</v>
      </c>
      <c r="W1750" t="str">
        <f t="shared" ca="1" si="83"/>
        <v>At Risk</v>
      </c>
    </row>
    <row r="1751" spans="1:23" x14ac:dyDescent="0.2">
      <c r="A1751">
        <v>1568</v>
      </c>
      <c r="B1751" t="s">
        <v>4424</v>
      </c>
      <c r="C1751" t="s">
        <v>4429</v>
      </c>
      <c r="D1751" s="1" t="s">
        <v>1550</v>
      </c>
      <c r="E1751" t="s">
        <v>4426</v>
      </c>
      <c r="F1751" t="s">
        <v>266</v>
      </c>
      <c r="G1751" s="4" t="s">
        <v>5426</v>
      </c>
      <c r="H1751" t="s">
        <v>4427</v>
      </c>
      <c r="I1751" t="s">
        <v>59</v>
      </c>
      <c r="J1751" s="4" t="s">
        <v>68</v>
      </c>
      <c r="K1751" t="s">
        <v>4430</v>
      </c>
      <c r="L1751">
        <v>4</v>
      </c>
      <c r="M1751" t="s">
        <v>1550</v>
      </c>
      <c r="N1751" t="s">
        <v>374</v>
      </c>
      <c r="O1751" t="s">
        <v>374</v>
      </c>
      <c r="P1751" s="2" t="str">
        <f t="shared" si="81"/>
        <v>14/11/2025 to 19/11/2025</v>
      </c>
      <c r="Q1751" s="3">
        <v>45975</v>
      </c>
      <c r="R1751" t="str">
        <f t="shared" si="82"/>
        <v>On-Time</v>
      </c>
      <c r="S1751" t="s">
        <v>401</v>
      </c>
      <c r="T1751">
        <v>41.5</v>
      </c>
      <c r="U1751" t="s">
        <v>65</v>
      </c>
      <c r="V1751" t="s">
        <v>80</v>
      </c>
      <c r="W1751" t="str">
        <f t="shared" ca="1" si="83"/>
        <v>At Risk</v>
      </c>
    </row>
    <row r="1752" spans="1:23" x14ac:dyDescent="0.2">
      <c r="A1752">
        <v>1877</v>
      </c>
      <c r="B1752" t="s">
        <v>5129</v>
      </c>
      <c r="C1752" t="s">
        <v>5130</v>
      </c>
      <c r="D1752" s="1" t="s">
        <v>1550</v>
      </c>
      <c r="E1752" t="s">
        <v>5131</v>
      </c>
      <c r="F1752" t="s">
        <v>536</v>
      </c>
      <c r="G1752" s="4" t="s">
        <v>5421</v>
      </c>
      <c r="H1752" t="s">
        <v>5132</v>
      </c>
      <c r="I1752" t="s">
        <v>112</v>
      </c>
      <c r="J1752" s="4" t="s">
        <v>5417</v>
      </c>
      <c r="K1752" t="s">
        <v>1412</v>
      </c>
      <c r="L1752">
        <v>2</v>
      </c>
      <c r="M1752" t="s">
        <v>369</v>
      </c>
      <c r="N1752" t="s">
        <v>375</v>
      </c>
      <c r="O1752" t="s">
        <v>375</v>
      </c>
      <c r="P1752" s="2" t="str">
        <f t="shared" si="81"/>
        <v>17/11/2025 to 20/11/2025</v>
      </c>
      <c r="Q1752" s="3">
        <v>45979</v>
      </c>
      <c r="R1752" t="str">
        <f t="shared" si="82"/>
        <v>On-Time</v>
      </c>
      <c r="S1752" t="s">
        <v>383</v>
      </c>
      <c r="T1752">
        <v>18</v>
      </c>
      <c r="U1752" t="s">
        <v>65</v>
      </c>
      <c r="V1752" t="s">
        <v>72</v>
      </c>
      <c r="W1752" t="str">
        <f t="shared" ca="1" si="83"/>
        <v>At Risk</v>
      </c>
    </row>
    <row r="1753" spans="1:23" x14ac:dyDescent="0.2">
      <c r="A1753">
        <v>1878</v>
      </c>
      <c r="B1753" t="s">
        <v>5129</v>
      </c>
      <c r="C1753" t="s">
        <v>5133</v>
      </c>
      <c r="D1753" s="1" t="s">
        <v>1550</v>
      </c>
      <c r="E1753" t="s">
        <v>5131</v>
      </c>
      <c r="F1753" t="s">
        <v>536</v>
      </c>
      <c r="G1753" s="4" t="s">
        <v>5421</v>
      </c>
      <c r="H1753" t="s">
        <v>5132</v>
      </c>
      <c r="I1753" t="s">
        <v>112</v>
      </c>
      <c r="J1753" s="4" t="s">
        <v>68</v>
      </c>
      <c r="K1753" t="s">
        <v>3989</v>
      </c>
      <c r="L1753">
        <v>2</v>
      </c>
      <c r="M1753" t="s">
        <v>369</v>
      </c>
      <c r="N1753" t="s">
        <v>375</v>
      </c>
      <c r="O1753" t="s">
        <v>375</v>
      </c>
      <c r="P1753" s="2" t="str">
        <f t="shared" si="81"/>
        <v>17/11/2025 to 20/11/2025</v>
      </c>
      <c r="Q1753" s="3">
        <v>45979</v>
      </c>
      <c r="R1753" t="str">
        <f t="shared" si="82"/>
        <v>On-Time</v>
      </c>
      <c r="S1753" t="s">
        <v>213</v>
      </c>
      <c r="T1753">
        <v>16.5</v>
      </c>
      <c r="U1753" t="s">
        <v>65</v>
      </c>
      <c r="V1753" t="s">
        <v>72</v>
      </c>
      <c r="W1753" t="str">
        <f t="shared" ca="1" si="83"/>
        <v>At Risk</v>
      </c>
    </row>
    <row r="1754" spans="1:23" x14ac:dyDescent="0.2">
      <c r="A1754">
        <v>1879</v>
      </c>
      <c r="B1754" t="s">
        <v>5129</v>
      </c>
      <c r="C1754" t="s">
        <v>5134</v>
      </c>
      <c r="D1754" s="1" t="s">
        <v>1550</v>
      </c>
      <c r="E1754" t="s">
        <v>5131</v>
      </c>
      <c r="F1754" t="s">
        <v>536</v>
      </c>
      <c r="G1754" s="4" t="s">
        <v>5425</v>
      </c>
      <c r="H1754" t="s">
        <v>5132</v>
      </c>
      <c r="I1754" t="s">
        <v>112</v>
      </c>
      <c r="J1754" s="4" t="s">
        <v>74</v>
      </c>
      <c r="K1754" t="s">
        <v>5135</v>
      </c>
      <c r="L1754">
        <v>3</v>
      </c>
      <c r="M1754" t="s">
        <v>1550</v>
      </c>
      <c r="N1754" t="s">
        <v>1550</v>
      </c>
      <c r="O1754" t="s">
        <v>369</v>
      </c>
      <c r="P1754" s="2" t="str">
        <f t="shared" si="81"/>
        <v>14/11/2025 to 19/11/2025</v>
      </c>
      <c r="Q1754" s="3">
        <v>45975</v>
      </c>
      <c r="R1754" t="str">
        <f t="shared" si="82"/>
        <v>On-Time</v>
      </c>
      <c r="S1754" t="s">
        <v>398</v>
      </c>
      <c r="T1754">
        <v>27.5</v>
      </c>
      <c r="U1754" t="s">
        <v>79</v>
      </c>
      <c r="V1754" t="s">
        <v>66</v>
      </c>
      <c r="W1754" t="str">
        <f t="shared" ca="1" si="83"/>
        <v>At Risk</v>
      </c>
    </row>
    <row r="1755" spans="1:23" x14ac:dyDescent="0.2">
      <c r="A1755">
        <v>1880</v>
      </c>
      <c r="B1755" t="s">
        <v>5129</v>
      </c>
      <c r="C1755" t="s">
        <v>5136</v>
      </c>
      <c r="D1755" s="1" t="s">
        <v>1550</v>
      </c>
      <c r="E1755" t="s">
        <v>5131</v>
      </c>
      <c r="F1755" t="s">
        <v>536</v>
      </c>
      <c r="G1755" s="4" t="s">
        <v>5418</v>
      </c>
      <c r="H1755" t="s">
        <v>5132</v>
      </c>
      <c r="I1755" t="s">
        <v>112</v>
      </c>
      <c r="J1755" s="4" t="s">
        <v>60</v>
      </c>
      <c r="K1755" t="s">
        <v>5137</v>
      </c>
      <c r="L1755">
        <v>4</v>
      </c>
      <c r="M1755" t="s">
        <v>374</v>
      </c>
      <c r="N1755" t="s">
        <v>374</v>
      </c>
      <c r="O1755" t="s">
        <v>374</v>
      </c>
      <c r="P1755" s="2" t="str">
        <f t="shared" si="81"/>
        <v>18/11/2025 to 21/11/2025</v>
      </c>
      <c r="Q1755" s="3">
        <v>45976</v>
      </c>
      <c r="R1755" t="str">
        <f t="shared" si="82"/>
        <v>Late</v>
      </c>
      <c r="S1755" t="s">
        <v>376</v>
      </c>
      <c r="T1755">
        <v>36.5</v>
      </c>
      <c r="U1755" t="s">
        <v>65</v>
      </c>
      <c r="V1755" t="s">
        <v>80</v>
      </c>
      <c r="W1755" t="str">
        <f t="shared" ca="1" si="83"/>
        <v>At Risk</v>
      </c>
    </row>
    <row r="1756" spans="1:23" x14ac:dyDescent="0.2">
      <c r="A1756">
        <v>61</v>
      </c>
      <c r="B1756" t="s">
        <v>367</v>
      </c>
      <c r="C1756" t="s">
        <v>368</v>
      </c>
      <c r="D1756" s="1" t="s">
        <v>369</v>
      </c>
      <c r="E1756" t="s">
        <v>370</v>
      </c>
      <c r="F1756" t="s">
        <v>371</v>
      </c>
      <c r="G1756" s="4" t="s">
        <v>5426</v>
      </c>
      <c r="H1756" t="s">
        <v>372</v>
      </c>
      <c r="I1756" t="s">
        <v>59</v>
      </c>
      <c r="J1756" s="4" t="s">
        <v>68</v>
      </c>
      <c r="K1756" t="s">
        <v>373</v>
      </c>
      <c r="L1756">
        <v>2</v>
      </c>
      <c r="M1756" t="s">
        <v>374</v>
      </c>
      <c r="N1756" t="s">
        <v>374</v>
      </c>
      <c r="O1756" t="s">
        <v>375</v>
      </c>
      <c r="P1756" s="2" t="str">
        <f t="shared" si="81"/>
        <v>18/11/2025 to 21/11/2025</v>
      </c>
      <c r="Q1756" s="3">
        <v>45977</v>
      </c>
      <c r="R1756" t="str">
        <f t="shared" si="82"/>
        <v>Late</v>
      </c>
      <c r="S1756" t="s">
        <v>377</v>
      </c>
      <c r="T1756">
        <v>19.5</v>
      </c>
      <c r="U1756" t="s">
        <v>79</v>
      </c>
      <c r="V1756" t="s">
        <v>72</v>
      </c>
      <c r="W1756" t="str">
        <f t="shared" ca="1" si="83"/>
        <v>At Risk</v>
      </c>
    </row>
    <row r="1757" spans="1:23" x14ac:dyDescent="0.2">
      <c r="A1757">
        <v>62</v>
      </c>
      <c r="B1757" t="s">
        <v>367</v>
      </c>
      <c r="C1757" t="s">
        <v>378</v>
      </c>
      <c r="D1757" s="1" t="s">
        <v>369</v>
      </c>
      <c r="E1757" t="s">
        <v>370</v>
      </c>
      <c r="F1757" t="s">
        <v>371</v>
      </c>
      <c r="G1757" s="4" t="s">
        <v>5418</v>
      </c>
      <c r="H1757" t="s">
        <v>372</v>
      </c>
      <c r="I1757" t="s">
        <v>59</v>
      </c>
      <c r="J1757" s="4" t="s">
        <v>68</v>
      </c>
      <c r="K1757" t="s">
        <v>379</v>
      </c>
      <c r="L1757">
        <v>2</v>
      </c>
      <c r="M1757" t="s">
        <v>374</v>
      </c>
      <c r="N1757" t="s">
        <v>375</v>
      </c>
      <c r="O1757" t="s">
        <v>380</v>
      </c>
      <c r="P1757" s="2" t="str">
        <f t="shared" si="81"/>
        <v>18/11/2025 to 21/11/2025</v>
      </c>
      <c r="Q1757" s="3">
        <v>45982</v>
      </c>
      <c r="R1757" t="str">
        <f t="shared" si="82"/>
        <v>On-Time</v>
      </c>
      <c r="S1757" t="s">
        <v>217</v>
      </c>
      <c r="T1757">
        <v>17.5</v>
      </c>
      <c r="U1757" t="s">
        <v>65</v>
      </c>
      <c r="V1757" t="s">
        <v>80</v>
      </c>
      <c r="W1757" t="str">
        <f t="shared" ca="1" si="83"/>
        <v>At Risk</v>
      </c>
    </row>
    <row r="1758" spans="1:23" x14ac:dyDescent="0.2">
      <c r="A1758">
        <v>63</v>
      </c>
      <c r="B1758" t="s">
        <v>367</v>
      </c>
      <c r="C1758" t="s">
        <v>381</v>
      </c>
      <c r="D1758" s="1" t="s">
        <v>369</v>
      </c>
      <c r="E1758" t="s">
        <v>370</v>
      </c>
      <c r="F1758" t="s">
        <v>371</v>
      </c>
      <c r="G1758" s="4" t="s">
        <v>5427</v>
      </c>
      <c r="H1758" t="s">
        <v>372</v>
      </c>
      <c r="I1758" t="s">
        <v>59</v>
      </c>
      <c r="J1758" s="4" t="s">
        <v>60</v>
      </c>
      <c r="K1758" t="s">
        <v>382</v>
      </c>
      <c r="L1758">
        <v>2</v>
      </c>
      <c r="M1758" t="s">
        <v>375</v>
      </c>
      <c r="N1758" t="s">
        <v>207</v>
      </c>
      <c r="O1758" t="s">
        <v>207</v>
      </c>
      <c r="P1758" s="2" t="str">
        <f t="shared" si="81"/>
        <v>18/11/2025 to 21/11/2025</v>
      </c>
      <c r="Q1758" s="3">
        <v>45980</v>
      </c>
      <c r="R1758" t="str">
        <f t="shared" si="82"/>
        <v>On-Time</v>
      </c>
      <c r="S1758" t="s">
        <v>213</v>
      </c>
      <c r="T1758">
        <v>19</v>
      </c>
      <c r="U1758" t="s">
        <v>79</v>
      </c>
      <c r="V1758" t="s">
        <v>80</v>
      </c>
      <c r="W1758" t="str">
        <f t="shared" ca="1" si="83"/>
        <v>At Risk</v>
      </c>
    </row>
    <row r="1759" spans="1:23" x14ac:dyDescent="0.2">
      <c r="A1759">
        <v>64</v>
      </c>
      <c r="B1759" t="s">
        <v>367</v>
      </c>
      <c r="C1759" t="s">
        <v>384</v>
      </c>
      <c r="D1759" s="1" t="s">
        <v>369</v>
      </c>
      <c r="E1759" t="s">
        <v>370</v>
      </c>
      <c r="F1759" t="s">
        <v>371</v>
      </c>
      <c r="G1759" s="4" t="s">
        <v>5419</v>
      </c>
      <c r="H1759" t="s">
        <v>372</v>
      </c>
      <c r="I1759" t="s">
        <v>59</v>
      </c>
      <c r="J1759" s="4" t="s">
        <v>68</v>
      </c>
      <c r="K1759" t="s">
        <v>385</v>
      </c>
      <c r="L1759">
        <v>2</v>
      </c>
      <c r="M1759" t="s">
        <v>369</v>
      </c>
      <c r="N1759" t="s">
        <v>374</v>
      </c>
      <c r="O1759" t="s">
        <v>374</v>
      </c>
      <c r="P1759" s="2" t="str">
        <f t="shared" si="81"/>
        <v>17/11/2025 to 20/11/2025</v>
      </c>
      <c r="Q1759" s="3">
        <v>45978</v>
      </c>
      <c r="R1759" t="str">
        <f t="shared" si="82"/>
        <v>On-Time</v>
      </c>
      <c r="S1759" t="s">
        <v>386</v>
      </c>
      <c r="T1759">
        <v>18</v>
      </c>
      <c r="U1759" t="s">
        <v>65</v>
      </c>
      <c r="V1759" t="s">
        <v>72</v>
      </c>
      <c r="W1759" t="str">
        <f t="shared" ca="1" si="83"/>
        <v>At Risk</v>
      </c>
    </row>
    <row r="1760" spans="1:23" x14ac:dyDescent="0.2">
      <c r="A1760">
        <v>65</v>
      </c>
      <c r="B1760" t="s">
        <v>367</v>
      </c>
      <c r="C1760" t="s">
        <v>387</v>
      </c>
      <c r="D1760" s="1" t="s">
        <v>369</v>
      </c>
      <c r="E1760" t="s">
        <v>370</v>
      </c>
      <c r="F1760" t="s">
        <v>371</v>
      </c>
      <c r="G1760" s="4" t="s">
        <v>38</v>
      </c>
      <c r="H1760" t="s">
        <v>372</v>
      </c>
      <c r="I1760" t="s">
        <v>59</v>
      </c>
      <c r="J1760" s="4" t="s">
        <v>60</v>
      </c>
      <c r="K1760" t="s">
        <v>388</v>
      </c>
      <c r="L1760">
        <v>3</v>
      </c>
      <c r="M1760" t="s">
        <v>375</v>
      </c>
      <c r="N1760" t="s">
        <v>375</v>
      </c>
      <c r="O1760" t="s">
        <v>207</v>
      </c>
      <c r="P1760" s="2" t="str">
        <f t="shared" si="81"/>
        <v>18/11/2025 to 21/11/2025</v>
      </c>
      <c r="Q1760" s="3">
        <v>45982</v>
      </c>
      <c r="R1760" t="str">
        <f t="shared" si="82"/>
        <v>On-Time</v>
      </c>
      <c r="S1760" t="s">
        <v>217</v>
      </c>
      <c r="T1760">
        <v>29</v>
      </c>
      <c r="U1760" t="s">
        <v>79</v>
      </c>
      <c r="V1760" t="s">
        <v>80</v>
      </c>
      <c r="W1760" t="str">
        <f t="shared" ca="1" si="83"/>
        <v>At Risk</v>
      </c>
    </row>
    <row r="1761" spans="1:23" x14ac:dyDescent="0.2">
      <c r="A1761">
        <v>224</v>
      </c>
      <c r="B1761" t="s">
        <v>1025</v>
      </c>
      <c r="C1761" t="s">
        <v>1026</v>
      </c>
      <c r="D1761" s="1" t="s">
        <v>369</v>
      </c>
      <c r="E1761" t="s">
        <v>1027</v>
      </c>
      <c r="F1761" t="s">
        <v>424</v>
      </c>
      <c r="G1761" s="4" t="s">
        <v>5424</v>
      </c>
      <c r="H1761" t="s">
        <v>1028</v>
      </c>
      <c r="I1761" t="s">
        <v>93</v>
      </c>
      <c r="J1761" s="4" t="s">
        <v>68</v>
      </c>
      <c r="K1761" t="s">
        <v>1029</v>
      </c>
      <c r="L1761">
        <v>3</v>
      </c>
      <c r="M1761" t="s">
        <v>374</v>
      </c>
      <c r="N1761" t="s">
        <v>374</v>
      </c>
      <c r="O1761" t="s">
        <v>374</v>
      </c>
      <c r="P1761" s="2" t="str">
        <f t="shared" si="81"/>
        <v>18/11/2025 to 21/11/2025</v>
      </c>
      <c r="Q1761" s="3">
        <v>45981</v>
      </c>
      <c r="R1761" t="str">
        <f t="shared" si="82"/>
        <v>On-Time</v>
      </c>
      <c r="S1761" t="s">
        <v>214</v>
      </c>
      <c r="T1761">
        <v>34</v>
      </c>
      <c r="U1761" t="s">
        <v>79</v>
      </c>
      <c r="V1761" t="s">
        <v>80</v>
      </c>
      <c r="W1761" t="str">
        <f t="shared" ca="1" si="83"/>
        <v>At Risk</v>
      </c>
    </row>
    <row r="1762" spans="1:23" x14ac:dyDescent="0.2">
      <c r="A1762">
        <v>225</v>
      </c>
      <c r="B1762" t="s">
        <v>1025</v>
      </c>
      <c r="C1762" t="s">
        <v>1030</v>
      </c>
      <c r="D1762" s="1" t="s">
        <v>369</v>
      </c>
      <c r="E1762" t="s">
        <v>1027</v>
      </c>
      <c r="F1762" t="s">
        <v>424</v>
      </c>
      <c r="G1762" s="4" t="s">
        <v>5427</v>
      </c>
      <c r="H1762" t="s">
        <v>1028</v>
      </c>
      <c r="I1762" t="s">
        <v>93</v>
      </c>
      <c r="J1762" s="4" t="s">
        <v>74</v>
      </c>
      <c r="K1762" t="s">
        <v>1031</v>
      </c>
      <c r="L1762">
        <v>4</v>
      </c>
      <c r="M1762" t="s">
        <v>369</v>
      </c>
      <c r="N1762" t="s">
        <v>375</v>
      </c>
      <c r="O1762" t="s">
        <v>375</v>
      </c>
      <c r="P1762" s="2" t="str">
        <f t="shared" si="81"/>
        <v>17/11/2025 to 20/11/2025</v>
      </c>
      <c r="Q1762" s="3">
        <v>45977</v>
      </c>
      <c r="R1762" t="str">
        <f t="shared" si="82"/>
        <v>Late</v>
      </c>
      <c r="S1762" t="s">
        <v>376</v>
      </c>
      <c r="T1762">
        <v>39.5</v>
      </c>
      <c r="U1762" t="s">
        <v>79</v>
      </c>
      <c r="V1762" t="s">
        <v>72</v>
      </c>
      <c r="W1762" t="str">
        <f t="shared" ca="1" si="83"/>
        <v>At Risk</v>
      </c>
    </row>
    <row r="1763" spans="1:23" x14ac:dyDescent="0.2">
      <c r="A1763">
        <v>226</v>
      </c>
      <c r="B1763" t="s">
        <v>1025</v>
      </c>
      <c r="C1763" t="s">
        <v>1032</v>
      </c>
      <c r="D1763" s="1" t="s">
        <v>369</v>
      </c>
      <c r="E1763" t="s">
        <v>1027</v>
      </c>
      <c r="F1763" t="s">
        <v>424</v>
      </c>
      <c r="G1763" s="4" t="s">
        <v>5427</v>
      </c>
      <c r="H1763" t="s">
        <v>1028</v>
      </c>
      <c r="I1763" t="s">
        <v>93</v>
      </c>
      <c r="J1763" s="4" t="s">
        <v>60</v>
      </c>
      <c r="K1763" t="s">
        <v>22</v>
      </c>
      <c r="L1763">
        <v>1</v>
      </c>
      <c r="M1763" t="s">
        <v>369</v>
      </c>
      <c r="N1763" t="s">
        <v>375</v>
      </c>
      <c r="O1763" t="s">
        <v>374</v>
      </c>
      <c r="P1763" s="2" t="str">
        <f t="shared" si="81"/>
        <v>17/11/2025 to 20/11/2025</v>
      </c>
      <c r="Q1763" s="3">
        <v>45978</v>
      </c>
      <c r="R1763" t="str">
        <f t="shared" si="82"/>
        <v>On-Time</v>
      </c>
      <c r="S1763" t="s">
        <v>383</v>
      </c>
      <c r="T1763">
        <v>8</v>
      </c>
      <c r="U1763" t="s">
        <v>79</v>
      </c>
      <c r="V1763" t="s">
        <v>72</v>
      </c>
      <c r="W1763" t="str">
        <f t="shared" ca="1" si="83"/>
        <v>At Risk</v>
      </c>
    </row>
    <row r="1764" spans="1:23" x14ac:dyDescent="0.2">
      <c r="A1764">
        <v>557</v>
      </c>
      <c r="B1764" t="s">
        <v>1972</v>
      </c>
      <c r="C1764" t="s">
        <v>1973</v>
      </c>
      <c r="D1764" s="1" t="s">
        <v>369</v>
      </c>
      <c r="E1764" t="s">
        <v>1974</v>
      </c>
      <c r="F1764" t="s">
        <v>1785</v>
      </c>
      <c r="G1764" s="4" t="s">
        <v>5425</v>
      </c>
      <c r="H1764" t="s">
        <v>1975</v>
      </c>
      <c r="I1764" t="s">
        <v>93</v>
      </c>
      <c r="J1764" s="4" t="s">
        <v>74</v>
      </c>
      <c r="K1764" t="s">
        <v>1976</v>
      </c>
      <c r="L1764">
        <v>3</v>
      </c>
      <c r="M1764" t="s">
        <v>375</v>
      </c>
      <c r="N1764" t="s">
        <v>375</v>
      </c>
      <c r="O1764" t="s">
        <v>207</v>
      </c>
      <c r="P1764" s="2" t="str">
        <f t="shared" si="81"/>
        <v>18/11/2025 to 21/11/2025</v>
      </c>
      <c r="Q1764" s="3">
        <v>45982</v>
      </c>
      <c r="R1764" t="str">
        <f t="shared" si="82"/>
        <v>On-Time</v>
      </c>
      <c r="S1764" t="s">
        <v>217</v>
      </c>
      <c r="T1764">
        <v>33</v>
      </c>
      <c r="U1764" t="s">
        <v>65</v>
      </c>
      <c r="V1764" t="s">
        <v>80</v>
      </c>
      <c r="W1764" t="str">
        <f t="shared" ca="1" si="83"/>
        <v>At Risk</v>
      </c>
    </row>
    <row r="1765" spans="1:23" x14ac:dyDescent="0.2">
      <c r="A1765">
        <v>558</v>
      </c>
      <c r="B1765" t="s">
        <v>1972</v>
      </c>
      <c r="C1765" t="s">
        <v>1977</v>
      </c>
      <c r="D1765" s="1" t="s">
        <v>369</v>
      </c>
      <c r="E1765" t="s">
        <v>1974</v>
      </c>
      <c r="F1765" t="s">
        <v>1785</v>
      </c>
      <c r="G1765" s="4" t="s">
        <v>5419</v>
      </c>
      <c r="H1765" t="s">
        <v>1975</v>
      </c>
      <c r="I1765" t="s">
        <v>93</v>
      </c>
      <c r="J1765" s="4" t="s">
        <v>74</v>
      </c>
      <c r="K1765" t="s">
        <v>1978</v>
      </c>
      <c r="L1765">
        <v>3</v>
      </c>
      <c r="M1765" t="s">
        <v>375</v>
      </c>
      <c r="N1765" t="s">
        <v>380</v>
      </c>
      <c r="O1765" t="s">
        <v>207</v>
      </c>
      <c r="P1765" s="2" t="str">
        <f t="shared" si="81"/>
        <v>18/11/2025 to 21/11/2025</v>
      </c>
      <c r="Q1765" s="3">
        <v>45980</v>
      </c>
      <c r="R1765" t="str">
        <f t="shared" si="82"/>
        <v>On-Time</v>
      </c>
      <c r="S1765" t="s">
        <v>213</v>
      </c>
      <c r="T1765">
        <v>26.5</v>
      </c>
      <c r="U1765" t="s">
        <v>79</v>
      </c>
      <c r="V1765" t="s">
        <v>80</v>
      </c>
      <c r="W1765" t="str">
        <f t="shared" ca="1" si="83"/>
        <v>At Risk</v>
      </c>
    </row>
    <row r="1766" spans="1:23" x14ac:dyDescent="0.2">
      <c r="A1766">
        <v>559</v>
      </c>
      <c r="B1766" t="s">
        <v>1972</v>
      </c>
      <c r="C1766" t="s">
        <v>1979</v>
      </c>
      <c r="D1766" s="1" t="s">
        <v>369</v>
      </c>
      <c r="E1766" t="s">
        <v>1974</v>
      </c>
      <c r="F1766" t="s">
        <v>1785</v>
      </c>
      <c r="G1766" s="4" t="s">
        <v>5422</v>
      </c>
      <c r="H1766" t="s">
        <v>1975</v>
      </c>
      <c r="I1766" t="s">
        <v>93</v>
      </c>
      <c r="J1766" s="4" t="s">
        <v>68</v>
      </c>
      <c r="K1766" t="s">
        <v>1980</v>
      </c>
      <c r="L1766">
        <v>4</v>
      </c>
      <c r="M1766" t="s">
        <v>369</v>
      </c>
      <c r="N1766" t="s">
        <v>369</v>
      </c>
      <c r="O1766" t="s">
        <v>369</v>
      </c>
      <c r="P1766" s="2" t="str">
        <f t="shared" si="81"/>
        <v>17/11/2025 to 20/11/2025</v>
      </c>
      <c r="Q1766" s="3">
        <v>45976</v>
      </c>
      <c r="R1766" t="str">
        <f t="shared" si="82"/>
        <v>Late</v>
      </c>
      <c r="S1766" t="s">
        <v>377</v>
      </c>
      <c r="T1766">
        <v>41</v>
      </c>
      <c r="U1766" t="s">
        <v>79</v>
      </c>
      <c r="V1766" t="s">
        <v>66</v>
      </c>
      <c r="W1766" t="str">
        <f t="shared" ca="1" si="83"/>
        <v>At Risk</v>
      </c>
    </row>
    <row r="1767" spans="1:23" x14ac:dyDescent="0.2">
      <c r="A1767">
        <v>560</v>
      </c>
      <c r="B1767" t="s">
        <v>1972</v>
      </c>
      <c r="C1767" t="s">
        <v>1981</v>
      </c>
      <c r="D1767" s="1" t="s">
        <v>369</v>
      </c>
      <c r="E1767" t="s">
        <v>1974</v>
      </c>
      <c r="F1767" t="s">
        <v>1785</v>
      </c>
      <c r="G1767" s="4" t="s">
        <v>5424</v>
      </c>
      <c r="H1767" t="s">
        <v>1975</v>
      </c>
      <c r="I1767" t="s">
        <v>93</v>
      </c>
      <c r="J1767" s="4" t="s">
        <v>60</v>
      </c>
      <c r="K1767" t="s">
        <v>1982</v>
      </c>
      <c r="L1767">
        <v>4</v>
      </c>
      <c r="M1767" t="s">
        <v>369</v>
      </c>
      <c r="N1767" t="s">
        <v>375</v>
      </c>
      <c r="O1767" t="s">
        <v>375</v>
      </c>
      <c r="P1767" s="2" t="str">
        <f t="shared" si="81"/>
        <v>17/11/2025 to 20/11/2025</v>
      </c>
      <c r="Q1767" s="3">
        <v>45979</v>
      </c>
      <c r="R1767" t="str">
        <f t="shared" si="82"/>
        <v>On-Time</v>
      </c>
      <c r="S1767" t="s">
        <v>386</v>
      </c>
      <c r="T1767">
        <v>36.5</v>
      </c>
      <c r="U1767" t="s">
        <v>79</v>
      </c>
      <c r="V1767" t="s">
        <v>66</v>
      </c>
      <c r="W1767" t="str">
        <f t="shared" ca="1" si="83"/>
        <v>At Risk</v>
      </c>
    </row>
    <row r="1768" spans="1:23" x14ac:dyDescent="0.2">
      <c r="A1768">
        <v>561</v>
      </c>
      <c r="B1768" t="s">
        <v>1972</v>
      </c>
      <c r="C1768" t="s">
        <v>1983</v>
      </c>
      <c r="D1768" s="1" t="s">
        <v>369</v>
      </c>
      <c r="E1768" t="s">
        <v>1974</v>
      </c>
      <c r="F1768" t="s">
        <v>1785</v>
      </c>
      <c r="G1768" s="4" t="s">
        <v>5426</v>
      </c>
      <c r="H1768" t="s">
        <v>1975</v>
      </c>
      <c r="I1768" t="s">
        <v>93</v>
      </c>
      <c r="J1768" s="4" t="s">
        <v>68</v>
      </c>
      <c r="K1768" t="s">
        <v>1984</v>
      </c>
      <c r="L1768">
        <v>4</v>
      </c>
      <c r="M1768" t="s">
        <v>375</v>
      </c>
      <c r="N1768" t="s">
        <v>375</v>
      </c>
      <c r="O1768" t="s">
        <v>207</v>
      </c>
      <c r="P1768" s="2" t="str">
        <f t="shared" si="81"/>
        <v>18/11/2025 to 21/11/2025</v>
      </c>
      <c r="Q1768" s="3">
        <v>45984</v>
      </c>
      <c r="R1768" t="str">
        <f t="shared" si="82"/>
        <v>Late</v>
      </c>
      <c r="S1768" t="s">
        <v>224</v>
      </c>
      <c r="T1768">
        <v>43</v>
      </c>
      <c r="U1768" t="s">
        <v>79</v>
      </c>
      <c r="V1768" t="s">
        <v>66</v>
      </c>
      <c r="W1768" t="str">
        <f t="shared" ca="1" si="83"/>
        <v>At Risk</v>
      </c>
    </row>
    <row r="1769" spans="1:23" x14ac:dyDescent="0.2">
      <c r="A1769">
        <v>109</v>
      </c>
      <c r="B1769" t="s">
        <v>597</v>
      </c>
      <c r="C1769" t="s">
        <v>598</v>
      </c>
      <c r="D1769" s="1" t="s">
        <v>374</v>
      </c>
      <c r="E1769" t="s">
        <v>599</v>
      </c>
      <c r="F1769" t="s">
        <v>600</v>
      </c>
      <c r="G1769" s="4" t="s">
        <v>5428</v>
      </c>
      <c r="H1769" t="s">
        <v>527</v>
      </c>
      <c r="I1769" t="s">
        <v>59</v>
      </c>
      <c r="J1769" s="4" t="s">
        <v>60</v>
      </c>
      <c r="K1769" t="s">
        <v>601</v>
      </c>
      <c r="L1769">
        <v>4</v>
      </c>
      <c r="M1769" t="s">
        <v>380</v>
      </c>
      <c r="N1769" t="s">
        <v>602</v>
      </c>
      <c r="O1769" t="s">
        <v>207</v>
      </c>
      <c r="P1769" s="2" t="str">
        <f t="shared" si="81"/>
        <v>18/11/2025 to 21/11/2025</v>
      </c>
      <c r="Q1769" s="3">
        <v>45983</v>
      </c>
      <c r="R1769" t="str">
        <f t="shared" si="82"/>
        <v>Late</v>
      </c>
      <c r="S1769" t="s">
        <v>560</v>
      </c>
      <c r="T1769">
        <v>38.5</v>
      </c>
      <c r="U1769" t="s">
        <v>65</v>
      </c>
      <c r="V1769" t="s">
        <v>80</v>
      </c>
      <c r="W1769" t="str">
        <f t="shared" ca="1" si="83"/>
        <v>At Risk</v>
      </c>
    </row>
    <row r="1770" spans="1:23" x14ac:dyDescent="0.2">
      <c r="A1770">
        <v>28</v>
      </c>
      <c r="B1770" t="s">
        <v>205</v>
      </c>
      <c r="C1770" t="s">
        <v>206</v>
      </c>
      <c r="D1770" s="1" t="s">
        <v>207</v>
      </c>
      <c r="E1770" t="s">
        <v>208</v>
      </c>
      <c r="F1770" t="s">
        <v>209</v>
      </c>
      <c r="G1770" s="4" t="s">
        <v>5427</v>
      </c>
      <c r="H1770" t="s">
        <v>210</v>
      </c>
      <c r="I1770" t="s">
        <v>201</v>
      </c>
      <c r="J1770" s="4" t="s">
        <v>74</v>
      </c>
      <c r="K1770" t="s">
        <v>211</v>
      </c>
      <c r="L1770">
        <v>2</v>
      </c>
      <c r="M1770" t="s">
        <v>207</v>
      </c>
      <c r="N1770" t="s">
        <v>212</v>
      </c>
      <c r="O1770" t="s">
        <v>212</v>
      </c>
      <c r="P1770" s="2" t="str">
        <f t="shared" si="81"/>
        <v>19/11/2025 to 24/11/2025</v>
      </c>
      <c r="Q1770" s="3">
        <v>45981</v>
      </c>
      <c r="R1770" t="str">
        <f t="shared" si="82"/>
        <v>On-Time</v>
      </c>
      <c r="S1770" t="s">
        <v>214</v>
      </c>
      <c r="T1770">
        <v>17</v>
      </c>
      <c r="U1770" t="s">
        <v>65</v>
      </c>
      <c r="V1770" t="s">
        <v>72</v>
      </c>
      <c r="W1770" t="str">
        <f t="shared" ca="1" si="83"/>
        <v>At Risk</v>
      </c>
    </row>
    <row r="1771" spans="1:23" x14ac:dyDescent="0.2">
      <c r="A1771">
        <v>29</v>
      </c>
      <c r="B1771" t="s">
        <v>205</v>
      </c>
      <c r="C1771" t="s">
        <v>215</v>
      </c>
      <c r="D1771" s="1" t="s">
        <v>207</v>
      </c>
      <c r="E1771" t="s">
        <v>208</v>
      </c>
      <c r="F1771" t="s">
        <v>209</v>
      </c>
      <c r="G1771" s="4" t="s">
        <v>5426</v>
      </c>
      <c r="H1771" t="s">
        <v>210</v>
      </c>
      <c r="I1771" t="s">
        <v>201</v>
      </c>
      <c r="J1771" s="4" t="s">
        <v>5417</v>
      </c>
      <c r="K1771" t="s">
        <v>216</v>
      </c>
      <c r="L1771">
        <v>2</v>
      </c>
      <c r="M1771" t="s">
        <v>207</v>
      </c>
      <c r="N1771" t="s">
        <v>207</v>
      </c>
      <c r="O1771" t="s">
        <v>212</v>
      </c>
      <c r="P1771" s="2" t="str">
        <f t="shared" si="81"/>
        <v>19/11/2025 to 24/11/2025</v>
      </c>
      <c r="Q1771" s="3">
        <v>45982</v>
      </c>
      <c r="R1771" t="str">
        <f t="shared" si="82"/>
        <v>On-Time</v>
      </c>
      <c r="S1771" t="s">
        <v>217</v>
      </c>
      <c r="T1771">
        <v>19</v>
      </c>
      <c r="U1771" t="s">
        <v>65</v>
      </c>
      <c r="V1771" t="s">
        <v>66</v>
      </c>
      <c r="W1771" t="str">
        <f t="shared" ca="1" si="83"/>
        <v>At Risk</v>
      </c>
    </row>
    <row r="1772" spans="1:23" x14ac:dyDescent="0.2">
      <c r="A1772">
        <v>1339</v>
      </c>
      <c r="B1772" t="s">
        <v>3874</v>
      </c>
      <c r="C1772" t="s">
        <v>3875</v>
      </c>
      <c r="D1772" s="1" t="s">
        <v>207</v>
      </c>
      <c r="E1772" t="s">
        <v>3876</v>
      </c>
      <c r="F1772" t="s">
        <v>1723</v>
      </c>
      <c r="G1772" s="4" t="s">
        <v>5425</v>
      </c>
      <c r="H1772" t="s">
        <v>3877</v>
      </c>
      <c r="I1772" t="s">
        <v>59</v>
      </c>
      <c r="J1772" s="4" t="s">
        <v>5417</v>
      </c>
      <c r="K1772" t="s">
        <v>3878</v>
      </c>
      <c r="L1772">
        <v>4</v>
      </c>
      <c r="M1772" t="s">
        <v>207</v>
      </c>
      <c r="N1772" t="s">
        <v>602</v>
      </c>
      <c r="O1772" t="s">
        <v>207</v>
      </c>
      <c r="P1772" s="2" t="str">
        <f t="shared" si="81"/>
        <v>19/11/2025 to 24/11/2025</v>
      </c>
      <c r="Q1772" s="3">
        <v>45982</v>
      </c>
      <c r="R1772" t="str">
        <f t="shared" si="82"/>
        <v>On-Time</v>
      </c>
      <c r="S1772" t="s">
        <v>217</v>
      </c>
      <c r="T1772">
        <v>36</v>
      </c>
      <c r="U1772" t="s">
        <v>65</v>
      </c>
      <c r="V1772" t="s">
        <v>66</v>
      </c>
      <c r="W1772" t="str">
        <f t="shared" ca="1" si="83"/>
        <v>At Risk</v>
      </c>
    </row>
    <row r="1773" spans="1:23" x14ac:dyDescent="0.2">
      <c r="A1773">
        <v>481</v>
      </c>
      <c r="B1773" t="s">
        <v>1765</v>
      </c>
      <c r="C1773" t="s">
        <v>1766</v>
      </c>
      <c r="D1773" s="1" t="s">
        <v>212</v>
      </c>
      <c r="E1773" t="s">
        <v>1767</v>
      </c>
      <c r="F1773" t="s">
        <v>209</v>
      </c>
      <c r="G1773" s="4" t="s">
        <v>5421</v>
      </c>
      <c r="H1773" t="s">
        <v>1768</v>
      </c>
      <c r="I1773" t="s">
        <v>112</v>
      </c>
      <c r="J1773" s="4" t="s">
        <v>74</v>
      </c>
      <c r="K1773" t="s">
        <v>6</v>
      </c>
      <c r="L1773">
        <v>1</v>
      </c>
      <c r="M1773" t="s">
        <v>212</v>
      </c>
      <c r="N1773" t="s">
        <v>401</v>
      </c>
      <c r="O1773" t="s">
        <v>220</v>
      </c>
      <c r="P1773" s="2" t="str">
        <f t="shared" si="81"/>
        <v>21/11/2025 to 26/11/2025</v>
      </c>
      <c r="Q1773" s="3">
        <v>45986</v>
      </c>
      <c r="R1773" t="str">
        <f t="shared" si="82"/>
        <v>On-Time</v>
      </c>
      <c r="S1773" t="s">
        <v>563</v>
      </c>
      <c r="T1773">
        <v>7.5</v>
      </c>
      <c r="U1773" t="s">
        <v>65</v>
      </c>
      <c r="V1773" t="s">
        <v>80</v>
      </c>
      <c r="W1773" t="str">
        <f t="shared" ca="1" si="83"/>
        <v>At Risk</v>
      </c>
    </row>
    <row r="1774" spans="1:23" x14ac:dyDescent="0.2">
      <c r="A1774">
        <v>1857</v>
      </c>
      <c r="B1774" t="s">
        <v>5085</v>
      </c>
      <c r="C1774" t="s">
        <v>5086</v>
      </c>
      <c r="D1774" s="1" t="s">
        <v>212</v>
      </c>
      <c r="E1774" t="s">
        <v>5087</v>
      </c>
      <c r="F1774" t="s">
        <v>1829</v>
      </c>
      <c r="G1774" s="4" t="s">
        <v>5424</v>
      </c>
      <c r="H1774" t="s">
        <v>2940</v>
      </c>
      <c r="I1774" t="s">
        <v>112</v>
      </c>
      <c r="J1774" s="4" t="s">
        <v>60</v>
      </c>
      <c r="K1774" t="s">
        <v>22</v>
      </c>
      <c r="L1774">
        <v>1</v>
      </c>
      <c r="M1774" t="s">
        <v>220</v>
      </c>
      <c r="N1774" t="s">
        <v>398</v>
      </c>
      <c r="O1774" t="s">
        <v>398</v>
      </c>
      <c r="P1774" s="2" t="str">
        <f t="shared" si="81"/>
        <v>24/11/2025 to 27/11/2025</v>
      </c>
      <c r="Q1774" s="3">
        <v>45989</v>
      </c>
      <c r="R1774" t="str">
        <f t="shared" si="82"/>
        <v>Late</v>
      </c>
      <c r="S1774" t="s">
        <v>727</v>
      </c>
      <c r="T1774">
        <v>8</v>
      </c>
      <c r="U1774" t="s">
        <v>65</v>
      </c>
      <c r="V1774" t="s">
        <v>66</v>
      </c>
      <c r="W1774" t="str">
        <f t="shared" ca="1" si="83"/>
        <v>At Risk</v>
      </c>
    </row>
    <row r="1775" spans="1:23" x14ac:dyDescent="0.2">
      <c r="A1775">
        <v>30</v>
      </c>
      <c r="B1775" t="s">
        <v>218</v>
      </c>
      <c r="C1775" t="s">
        <v>219</v>
      </c>
      <c r="D1775" s="1" t="s">
        <v>220</v>
      </c>
      <c r="E1775" t="s">
        <v>221</v>
      </c>
      <c r="F1775" t="s">
        <v>91</v>
      </c>
      <c r="G1775" s="4" t="s">
        <v>5420</v>
      </c>
      <c r="H1775" t="s">
        <v>222</v>
      </c>
      <c r="I1775" t="s">
        <v>112</v>
      </c>
      <c r="J1775" s="4" t="s">
        <v>60</v>
      </c>
      <c r="K1775" t="s">
        <v>223</v>
      </c>
      <c r="L1775">
        <v>2</v>
      </c>
      <c r="M1775" t="s">
        <v>220</v>
      </c>
      <c r="N1775" t="s">
        <v>220</v>
      </c>
      <c r="O1775" t="s">
        <v>220</v>
      </c>
      <c r="P1775" s="2" t="str">
        <f t="shared" si="81"/>
        <v>24/11/2025 to 27/11/2025</v>
      </c>
      <c r="Q1775" s="3">
        <v>45984</v>
      </c>
      <c r="R1775" t="str">
        <f t="shared" si="82"/>
        <v>Late</v>
      </c>
      <c r="S1775" t="s">
        <v>224</v>
      </c>
      <c r="T1775">
        <v>20</v>
      </c>
      <c r="U1775" t="s">
        <v>79</v>
      </c>
      <c r="V1775" t="s">
        <v>80</v>
      </c>
      <c r="W1775" t="str">
        <f t="shared" ca="1" si="83"/>
        <v>At Risk</v>
      </c>
    </row>
    <row r="1776" spans="1:23" x14ac:dyDescent="0.2">
      <c r="A1776">
        <v>101</v>
      </c>
      <c r="B1776" t="s">
        <v>556</v>
      </c>
      <c r="C1776" t="s">
        <v>557</v>
      </c>
      <c r="D1776" s="1" t="s">
        <v>220</v>
      </c>
      <c r="E1776" t="s">
        <v>558</v>
      </c>
      <c r="F1776" t="s">
        <v>424</v>
      </c>
      <c r="G1776" s="4" t="s">
        <v>5419</v>
      </c>
      <c r="H1776" t="s">
        <v>559</v>
      </c>
      <c r="I1776" t="s">
        <v>59</v>
      </c>
      <c r="J1776" s="4" t="s">
        <v>60</v>
      </c>
      <c r="K1776" t="s">
        <v>22</v>
      </c>
      <c r="L1776">
        <v>1</v>
      </c>
      <c r="M1776" t="s">
        <v>220</v>
      </c>
      <c r="N1776" t="s">
        <v>401</v>
      </c>
      <c r="O1776" t="s">
        <v>220</v>
      </c>
      <c r="P1776" s="2" t="str">
        <f t="shared" si="81"/>
        <v>24/11/2025 to 27/11/2025</v>
      </c>
      <c r="Q1776" s="3">
        <v>45982</v>
      </c>
      <c r="R1776" t="str">
        <f t="shared" si="82"/>
        <v>Late</v>
      </c>
      <c r="S1776" t="s">
        <v>560</v>
      </c>
      <c r="T1776">
        <v>8</v>
      </c>
      <c r="U1776" t="s">
        <v>79</v>
      </c>
      <c r="V1776" t="s">
        <v>66</v>
      </c>
      <c r="W1776" t="str">
        <f t="shared" ca="1" si="83"/>
        <v>At Risk</v>
      </c>
    </row>
    <row r="1777" spans="1:23" x14ac:dyDescent="0.2">
      <c r="A1777">
        <v>102</v>
      </c>
      <c r="B1777" t="s">
        <v>556</v>
      </c>
      <c r="C1777" t="s">
        <v>561</v>
      </c>
      <c r="D1777" s="1" t="s">
        <v>220</v>
      </c>
      <c r="E1777" t="s">
        <v>558</v>
      </c>
      <c r="F1777" t="s">
        <v>424</v>
      </c>
      <c r="G1777" s="4" t="s">
        <v>5423</v>
      </c>
      <c r="H1777" t="s">
        <v>559</v>
      </c>
      <c r="I1777" t="s">
        <v>59</v>
      </c>
      <c r="J1777" s="4" t="s">
        <v>74</v>
      </c>
      <c r="K1777" t="s">
        <v>562</v>
      </c>
      <c r="L1777">
        <v>4</v>
      </c>
      <c r="M1777" t="s">
        <v>401</v>
      </c>
      <c r="N1777" t="s">
        <v>398</v>
      </c>
      <c r="O1777" t="s">
        <v>376</v>
      </c>
      <c r="P1777" s="2" t="str">
        <f t="shared" si="81"/>
        <v>25/11/2025 to 28/11/2025</v>
      </c>
      <c r="Q1777" s="3">
        <v>45987</v>
      </c>
      <c r="R1777" t="str">
        <f t="shared" si="82"/>
        <v>On-Time</v>
      </c>
      <c r="S1777" t="s">
        <v>564</v>
      </c>
      <c r="T1777">
        <v>35</v>
      </c>
      <c r="U1777" t="s">
        <v>79</v>
      </c>
      <c r="V1777" t="s">
        <v>72</v>
      </c>
      <c r="W1777" t="str">
        <f t="shared" ca="1" si="83"/>
        <v>At Risk</v>
      </c>
    </row>
    <row r="1778" spans="1:23" x14ac:dyDescent="0.2">
      <c r="A1778">
        <v>103</v>
      </c>
      <c r="B1778" t="s">
        <v>556</v>
      </c>
      <c r="C1778" t="s">
        <v>565</v>
      </c>
      <c r="D1778" s="1" t="s">
        <v>220</v>
      </c>
      <c r="E1778" t="s">
        <v>558</v>
      </c>
      <c r="F1778" t="s">
        <v>424</v>
      </c>
      <c r="G1778" s="4" t="s">
        <v>5422</v>
      </c>
      <c r="H1778" t="s">
        <v>559</v>
      </c>
      <c r="I1778" t="s">
        <v>59</v>
      </c>
      <c r="J1778" s="4" t="s">
        <v>74</v>
      </c>
      <c r="K1778" t="s">
        <v>566</v>
      </c>
      <c r="L1778">
        <v>2</v>
      </c>
      <c r="M1778" t="s">
        <v>398</v>
      </c>
      <c r="N1778" t="s">
        <v>377</v>
      </c>
      <c r="O1778" t="s">
        <v>376</v>
      </c>
      <c r="P1778" s="2" t="str">
        <f t="shared" si="81"/>
        <v>25/11/2025 to 28/11/2025</v>
      </c>
      <c r="Q1778" s="3">
        <v>45988</v>
      </c>
      <c r="R1778" t="str">
        <f t="shared" si="82"/>
        <v>On-Time</v>
      </c>
      <c r="S1778" t="s">
        <v>567</v>
      </c>
      <c r="T1778">
        <v>20.5</v>
      </c>
      <c r="U1778" t="s">
        <v>65</v>
      </c>
      <c r="V1778" t="s">
        <v>72</v>
      </c>
      <c r="W1778" t="str">
        <f t="shared" ca="1" si="83"/>
        <v>At Risk</v>
      </c>
    </row>
    <row r="1779" spans="1:23" x14ac:dyDescent="0.2">
      <c r="A1779">
        <v>1455</v>
      </c>
      <c r="B1779" t="s">
        <v>4158</v>
      </c>
      <c r="C1779" t="s">
        <v>4159</v>
      </c>
      <c r="D1779" s="1" t="s">
        <v>220</v>
      </c>
      <c r="E1779" t="s">
        <v>4160</v>
      </c>
      <c r="F1779" t="s">
        <v>872</v>
      </c>
      <c r="G1779" s="4" t="s">
        <v>5422</v>
      </c>
      <c r="H1779" t="s">
        <v>4161</v>
      </c>
      <c r="I1779" t="s">
        <v>201</v>
      </c>
      <c r="J1779" s="4" t="s">
        <v>5417</v>
      </c>
      <c r="K1779" t="s">
        <v>4162</v>
      </c>
      <c r="L1779">
        <v>3</v>
      </c>
      <c r="M1779" t="s">
        <v>398</v>
      </c>
      <c r="N1779" t="s">
        <v>398</v>
      </c>
      <c r="O1779" t="s">
        <v>376</v>
      </c>
      <c r="P1779" s="2" t="str">
        <f t="shared" si="81"/>
        <v>25/11/2025 to 28/11/2025</v>
      </c>
      <c r="Q1779" s="3">
        <v>45986</v>
      </c>
      <c r="R1779" t="str">
        <f t="shared" si="82"/>
        <v>On-Time</v>
      </c>
      <c r="S1779" t="s">
        <v>563</v>
      </c>
      <c r="T1779">
        <v>28</v>
      </c>
      <c r="U1779" t="s">
        <v>65</v>
      </c>
      <c r="V1779" t="s">
        <v>80</v>
      </c>
      <c r="W1779" t="str">
        <f t="shared" ca="1" si="83"/>
        <v>At Risk</v>
      </c>
    </row>
    <row r="1780" spans="1:23" x14ac:dyDescent="0.2">
      <c r="A1780">
        <v>1456</v>
      </c>
      <c r="B1780" t="s">
        <v>4158</v>
      </c>
      <c r="C1780" t="s">
        <v>4163</v>
      </c>
      <c r="D1780" s="1" t="s">
        <v>220</v>
      </c>
      <c r="E1780" t="s">
        <v>4160</v>
      </c>
      <c r="F1780" t="s">
        <v>872</v>
      </c>
      <c r="G1780" s="4" t="s">
        <v>5423</v>
      </c>
      <c r="H1780" t="s">
        <v>4161</v>
      </c>
      <c r="I1780" t="s">
        <v>201</v>
      </c>
      <c r="J1780" s="4" t="s">
        <v>5417</v>
      </c>
      <c r="K1780" t="s">
        <v>16</v>
      </c>
      <c r="L1780">
        <v>1</v>
      </c>
      <c r="M1780" t="s">
        <v>220</v>
      </c>
      <c r="N1780" t="s">
        <v>401</v>
      </c>
      <c r="O1780" t="s">
        <v>401</v>
      </c>
      <c r="P1780" s="2" t="str">
        <f t="shared" si="81"/>
        <v>24/11/2025 to 27/11/2025</v>
      </c>
      <c r="Q1780" s="3">
        <v>45983</v>
      </c>
      <c r="R1780" t="str">
        <f t="shared" si="82"/>
        <v>Late</v>
      </c>
      <c r="S1780" t="s">
        <v>560</v>
      </c>
      <c r="T1780">
        <v>11</v>
      </c>
      <c r="U1780" t="s">
        <v>65</v>
      </c>
      <c r="V1780" t="s">
        <v>66</v>
      </c>
      <c r="W1780" t="str">
        <f t="shared" ca="1" si="83"/>
        <v>At Risk</v>
      </c>
    </row>
    <row r="1781" spans="1:23" x14ac:dyDescent="0.2">
      <c r="A1781">
        <v>1457</v>
      </c>
      <c r="B1781" t="s">
        <v>4158</v>
      </c>
      <c r="C1781" t="s">
        <v>4164</v>
      </c>
      <c r="D1781" s="1" t="s">
        <v>220</v>
      </c>
      <c r="E1781" t="s">
        <v>4160</v>
      </c>
      <c r="F1781" t="s">
        <v>872</v>
      </c>
      <c r="G1781" s="4" t="s">
        <v>38</v>
      </c>
      <c r="H1781" t="s">
        <v>4161</v>
      </c>
      <c r="I1781" t="s">
        <v>201</v>
      </c>
      <c r="J1781" s="4" t="s">
        <v>5417</v>
      </c>
      <c r="K1781" t="s">
        <v>22</v>
      </c>
      <c r="L1781">
        <v>1</v>
      </c>
      <c r="M1781" t="s">
        <v>220</v>
      </c>
      <c r="N1781" t="s">
        <v>398</v>
      </c>
      <c r="O1781" t="s">
        <v>220</v>
      </c>
      <c r="P1781" s="2" t="str">
        <f t="shared" si="81"/>
        <v>24/11/2025 to 27/11/2025</v>
      </c>
      <c r="Q1781" s="3">
        <v>45986</v>
      </c>
      <c r="R1781" t="str">
        <f t="shared" si="82"/>
        <v>On-Time</v>
      </c>
      <c r="S1781" t="s">
        <v>224</v>
      </c>
      <c r="T1781">
        <v>8</v>
      </c>
      <c r="U1781" t="s">
        <v>79</v>
      </c>
      <c r="V1781" t="s">
        <v>72</v>
      </c>
      <c r="W1781" t="str">
        <f t="shared" ca="1" si="83"/>
        <v>At Risk</v>
      </c>
    </row>
    <row r="1782" spans="1:23" x14ac:dyDescent="0.2">
      <c r="A1782">
        <v>1056</v>
      </c>
      <c r="B1782" t="s">
        <v>3196</v>
      </c>
      <c r="C1782" t="s">
        <v>3197</v>
      </c>
      <c r="D1782" s="1" t="s">
        <v>401</v>
      </c>
      <c r="E1782" t="s">
        <v>3198</v>
      </c>
      <c r="F1782" t="s">
        <v>406</v>
      </c>
      <c r="G1782" s="4" t="s">
        <v>5419</v>
      </c>
      <c r="H1782" t="s">
        <v>3199</v>
      </c>
      <c r="I1782" t="s">
        <v>201</v>
      </c>
      <c r="J1782" s="4" t="s">
        <v>74</v>
      </c>
      <c r="K1782" t="s">
        <v>20</v>
      </c>
      <c r="L1782">
        <v>1</v>
      </c>
      <c r="M1782" t="s">
        <v>376</v>
      </c>
      <c r="N1782" t="s">
        <v>377</v>
      </c>
      <c r="O1782" t="s">
        <v>376</v>
      </c>
      <c r="P1782" s="2" t="str">
        <f t="shared" si="81"/>
        <v>25/11/2025 to 28/11/2025</v>
      </c>
      <c r="Q1782" s="3">
        <v>45988</v>
      </c>
      <c r="R1782" t="str">
        <f t="shared" si="82"/>
        <v>On-Time</v>
      </c>
      <c r="S1782" t="s">
        <v>564</v>
      </c>
      <c r="T1782">
        <v>10.5</v>
      </c>
      <c r="U1782" t="s">
        <v>65</v>
      </c>
      <c r="V1782" t="s">
        <v>72</v>
      </c>
      <c r="W1782" t="str">
        <f t="shared" ca="1" si="83"/>
        <v>At Risk</v>
      </c>
    </row>
    <row r="1783" spans="1:23" x14ac:dyDescent="0.2">
      <c r="A1783">
        <v>1057</v>
      </c>
      <c r="B1783" t="s">
        <v>3196</v>
      </c>
      <c r="C1783" t="s">
        <v>3200</v>
      </c>
      <c r="D1783" s="1" t="s">
        <v>401</v>
      </c>
      <c r="E1783" t="s">
        <v>3198</v>
      </c>
      <c r="F1783" t="s">
        <v>406</v>
      </c>
      <c r="G1783" s="4" t="s">
        <v>5427</v>
      </c>
      <c r="H1783" t="s">
        <v>3199</v>
      </c>
      <c r="I1783" t="s">
        <v>201</v>
      </c>
      <c r="J1783" s="4" t="s">
        <v>5417</v>
      </c>
      <c r="K1783" t="s">
        <v>12</v>
      </c>
      <c r="L1783">
        <v>1</v>
      </c>
      <c r="M1783" t="s">
        <v>398</v>
      </c>
      <c r="N1783" t="s">
        <v>377</v>
      </c>
      <c r="O1783" t="s">
        <v>376</v>
      </c>
      <c r="P1783" s="2" t="str">
        <f t="shared" si="81"/>
        <v>25/11/2025 to 28/11/2025</v>
      </c>
      <c r="Q1783" s="3">
        <v>45986</v>
      </c>
      <c r="R1783" t="str">
        <f t="shared" si="82"/>
        <v>On-Time</v>
      </c>
      <c r="S1783" t="s">
        <v>564</v>
      </c>
      <c r="T1783">
        <v>9.5</v>
      </c>
      <c r="U1783" t="s">
        <v>79</v>
      </c>
      <c r="V1783" t="s">
        <v>72</v>
      </c>
      <c r="W1783" t="str">
        <f t="shared" ca="1" si="83"/>
        <v>At Risk</v>
      </c>
    </row>
    <row r="1784" spans="1:23" x14ac:dyDescent="0.2">
      <c r="A1784">
        <v>1058</v>
      </c>
      <c r="B1784" t="s">
        <v>3196</v>
      </c>
      <c r="C1784" t="s">
        <v>3201</v>
      </c>
      <c r="D1784" s="1" t="s">
        <v>401</v>
      </c>
      <c r="E1784" t="s">
        <v>3198</v>
      </c>
      <c r="F1784" t="s">
        <v>406</v>
      </c>
      <c r="G1784" s="4" t="s">
        <v>5419</v>
      </c>
      <c r="H1784" t="s">
        <v>3199</v>
      </c>
      <c r="I1784" t="s">
        <v>201</v>
      </c>
      <c r="J1784" s="4" t="s">
        <v>68</v>
      </c>
      <c r="K1784" t="s">
        <v>3202</v>
      </c>
      <c r="L1784">
        <v>4</v>
      </c>
      <c r="M1784" t="s">
        <v>398</v>
      </c>
      <c r="N1784" t="s">
        <v>398</v>
      </c>
      <c r="O1784" t="s">
        <v>377</v>
      </c>
      <c r="P1784" s="2" t="str">
        <f t="shared" si="81"/>
        <v>25/11/2025 to 28/11/2025</v>
      </c>
      <c r="Q1784" s="3">
        <v>45990</v>
      </c>
      <c r="R1784" t="str">
        <f t="shared" si="82"/>
        <v>Late</v>
      </c>
      <c r="S1784" t="s">
        <v>695</v>
      </c>
      <c r="T1784">
        <v>38</v>
      </c>
      <c r="U1784" t="s">
        <v>79</v>
      </c>
      <c r="V1784" t="s">
        <v>72</v>
      </c>
      <c r="W1784" t="str">
        <f t="shared" ca="1" si="83"/>
        <v>At Risk</v>
      </c>
    </row>
    <row r="1785" spans="1:23" x14ac:dyDescent="0.2">
      <c r="A1785">
        <v>163</v>
      </c>
      <c r="B1785" t="s">
        <v>816</v>
      </c>
      <c r="C1785" t="s">
        <v>817</v>
      </c>
      <c r="D1785" s="1" t="s">
        <v>398</v>
      </c>
      <c r="E1785" t="s">
        <v>818</v>
      </c>
      <c r="F1785" t="s">
        <v>335</v>
      </c>
      <c r="G1785" s="4" t="s">
        <v>5419</v>
      </c>
      <c r="H1785" t="s">
        <v>819</v>
      </c>
      <c r="I1785" t="s">
        <v>93</v>
      </c>
      <c r="J1785" s="4" t="s">
        <v>60</v>
      </c>
      <c r="K1785" t="s">
        <v>820</v>
      </c>
      <c r="L1785">
        <v>3</v>
      </c>
      <c r="M1785" t="s">
        <v>377</v>
      </c>
      <c r="N1785" t="s">
        <v>377</v>
      </c>
      <c r="O1785" t="s">
        <v>383</v>
      </c>
      <c r="P1785" s="2" t="str">
        <f t="shared" si="81"/>
        <v>26/11/2025 to 01/12/2025</v>
      </c>
      <c r="Q1785" s="3">
        <v>45987</v>
      </c>
      <c r="R1785" t="str">
        <f t="shared" si="82"/>
        <v>On-Time</v>
      </c>
      <c r="S1785" t="s">
        <v>564</v>
      </c>
      <c r="T1785">
        <v>31</v>
      </c>
      <c r="U1785" t="s">
        <v>79</v>
      </c>
      <c r="V1785" t="s">
        <v>80</v>
      </c>
      <c r="W1785" t="str">
        <f t="shared" ca="1" si="83"/>
        <v>At Risk</v>
      </c>
    </row>
    <row r="1786" spans="1:23" x14ac:dyDescent="0.2">
      <c r="A1786">
        <v>164</v>
      </c>
      <c r="B1786" t="s">
        <v>816</v>
      </c>
      <c r="C1786" t="s">
        <v>821</v>
      </c>
      <c r="D1786" s="1" t="s">
        <v>398</v>
      </c>
      <c r="E1786" t="s">
        <v>818</v>
      </c>
      <c r="F1786" t="s">
        <v>335</v>
      </c>
      <c r="G1786" s="4" t="s">
        <v>5418</v>
      </c>
      <c r="H1786" t="s">
        <v>819</v>
      </c>
      <c r="I1786" t="s">
        <v>93</v>
      </c>
      <c r="J1786" s="4" t="s">
        <v>68</v>
      </c>
      <c r="K1786" t="s">
        <v>822</v>
      </c>
      <c r="L1786">
        <v>4</v>
      </c>
      <c r="M1786" t="s">
        <v>398</v>
      </c>
      <c r="N1786" t="s">
        <v>376</v>
      </c>
      <c r="O1786" t="s">
        <v>376</v>
      </c>
      <c r="P1786" s="2" t="str">
        <f t="shared" si="81"/>
        <v>25/11/2025 to 28/11/2025</v>
      </c>
      <c r="Q1786" s="3">
        <v>45984</v>
      </c>
      <c r="R1786" t="str">
        <f t="shared" si="82"/>
        <v>Late</v>
      </c>
      <c r="S1786" t="s">
        <v>217</v>
      </c>
      <c r="T1786">
        <v>39</v>
      </c>
      <c r="U1786" t="s">
        <v>65</v>
      </c>
      <c r="V1786" t="s">
        <v>66</v>
      </c>
      <c r="W1786" t="str">
        <f t="shared" ca="1" si="83"/>
        <v>At Risk</v>
      </c>
    </row>
    <row r="1787" spans="1:23" x14ac:dyDescent="0.2">
      <c r="A1787">
        <v>165</v>
      </c>
      <c r="B1787" t="s">
        <v>816</v>
      </c>
      <c r="C1787" t="s">
        <v>823</v>
      </c>
      <c r="D1787" s="1" t="s">
        <v>398</v>
      </c>
      <c r="E1787" t="s">
        <v>818</v>
      </c>
      <c r="F1787" t="s">
        <v>335</v>
      </c>
      <c r="G1787" s="4" t="s">
        <v>5424</v>
      </c>
      <c r="H1787" t="s">
        <v>819</v>
      </c>
      <c r="I1787" t="s">
        <v>93</v>
      </c>
      <c r="J1787" s="4" t="s">
        <v>5417</v>
      </c>
      <c r="K1787" t="s">
        <v>824</v>
      </c>
      <c r="L1787">
        <v>2</v>
      </c>
      <c r="M1787" t="s">
        <v>377</v>
      </c>
      <c r="N1787" t="s">
        <v>377</v>
      </c>
      <c r="O1787" t="s">
        <v>377</v>
      </c>
      <c r="P1787" s="2" t="str">
        <f t="shared" si="81"/>
        <v>26/11/2025 to 01/12/2025</v>
      </c>
      <c r="Q1787" s="3">
        <v>45986</v>
      </c>
      <c r="R1787" t="str">
        <f t="shared" si="82"/>
        <v>Late</v>
      </c>
      <c r="S1787" t="s">
        <v>564</v>
      </c>
      <c r="T1787">
        <v>21</v>
      </c>
      <c r="U1787" t="s">
        <v>79</v>
      </c>
      <c r="V1787" t="s">
        <v>80</v>
      </c>
      <c r="W1787" t="str">
        <f t="shared" ca="1" si="83"/>
        <v>At Risk</v>
      </c>
    </row>
    <row r="1788" spans="1:23" x14ac:dyDescent="0.2">
      <c r="A1788">
        <v>166</v>
      </c>
      <c r="B1788" t="s">
        <v>816</v>
      </c>
      <c r="C1788" t="s">
        <v>825</v>
      </c>
      <c r="D1788" s="1" t="s">
        <v>398</v>
      </c>
      <c r="E1788" t="s">
        <v>818</v>
      </c>
      <c r="F1788" t="s">
        <v>335</v>
      </c>
      <c r="G1788" s="4" t="s">
        <v>5419</v>
      </c>
      <c r="H1788" t="s">
        <v>819</v>
      </c>
      <c r="I1788" t="s">
        <v>93</v>
      </c>
      <c r="J1788" s="4" t="s">
        <v>74</v>
      </c>
      <c r="K1788" t="s">
        <v>18</v>
      </c>
      <c r="L1788">
        <v>1</v>
      </c>
      <c r="M1788" t="s">
        <v>398</v>
      </c>
      <c r="N1788" t="s">
        <v>377</v>
      </c>
      <c r="O1788" t="s">
        <v>398</v>
      </c>
      <c r="P1788" s="2" t="str">
        <f t="shared" si="81"/>
        <v>25/11/2025 to 28/11/2025</v>
      </c>
      <c r="Q1788" s="3">
        <v>45986</v>
      </c>
      <c r="R1788" t="str">
        <f t="shared" si="82"/>
        <v>On-Time</v>
      </c>
      <c r="S1788" t="s">
        <v>224</v>
      </c>
      <c r="T1788">
        <v>8.5</v>
      </c>
      <c r="U1788" t="s">
        <v>65</v>
      </c>
      <c r="V1788" t="s">
        <v>72</v>
      </c>
      <c r="W1788" t="str">
        <f t="shared" ca="1" si="83"/>
        <v>At Risk</v>
      </c>
    </row>
    <row r="1789" spans="1:23" x14ac:dyDescent="0.2">
      <c r="A1789">
        <v>1519</v>
      </c>
      <c r="B1789" t="s">
        <v>4317</v>
      </c>
      <c r="C1789" t="s">
        <v>4318</v>
      </c>
      <c r="D1789" s="1" t="s">
        <v>376</v>
      </c>
      <c r="E1789" t="s">
        <v>4319</v>
      </c>
      <c r="F1789" t="s">
        <v>1756</v>
      </c>
      <c r="G1789" s="4" t="s">
        <v>5424</v>
      </c>
      <c r="H1789" t="s">
        <v>4320</v>
      </c>
      <c r="I1789" t="s">
        <v>201</v>
      </c>
      <c r="J1789" s="4" t="s">
        <v>60</v>
      </c>
      <c r="K1789" t="s">
        <v>4321</v>
      </c>
      <c r="L1789">
        <v>4</v>
      </c>
      <c r="M1789" t="s">
        <v>377</v>
      </c>
      <c r="N1789" t="s">
        <v>386</v>
      </c>
      <c r="O1789" t="s">
        <v>386</v>
      </c>
      <c r="P1789" s="2" t="str">
        <f t="shared" si="81"/>
        <v>26/11/2025 to 01/12/2025</v>
      </c>
      <c r="Q1789" s="3">
        <v>45990</v>
      </c>
      <c r="R1789" t="str">
        <f t="shared" si="82"/>
        <v>On-Time</v>
      </c>
      <c r="S1789" t="s">
        <v>695</v>
      </c>
      <c r="T1789">
        <v>43</v>
      </c>
      <c r="U1789" t="s">
        <v>65</v>
      </c>
      <c r="V1789" t="s">
        <v>80</v>
      </c>
      <c r="W1789" t="str">
        <f t="shared" ca="1" si="83"/>
        <v>At Risk</v>
      </c>
    </row>
    <row r="1790" spans="1:23" x14ac:dyDescent="0.2">
      <c r="A1790">
        <v>1520</v>
      </c>
      <c r="B1790" t="s">
        <v>4317</v>
      </c>
      <c r="C1790" t="s">
        <v>4322</v>
      </c>
      <c r="D1790" s="1" t="s">
        <v>376</v>
      </c>
      <c r="E1790" t="s">
        <v>4319</v>
      </c>
      <c r="F1790" t="s">
        <v>1756</v>
      </c>
      <c r="G1790" s="4" t="s">
        <v>5420</v>
      </c>
      <c r="H1790" t="s">
        <v>4320</v>
      </c>
      <c r="I1790" t="s">
        <v>201</v>
      </c>
      <c r="J1790" s="4" t="s">
        <v>60</v>
      </c>
      <c r="K1790" t="s">
        <v>1269</v>
      </c>
      <c r="L1790">
        <v>2</v>
      </c>
      <c r="M1790" t="s">
        <v>386</v>
      </c>
      <c r="N1790" t="s">
        <v>386</v>
      </c>
      <c r="O1790" t="s">
        <v>213</v>
      </c>
      <c r="P1790" s="2" t="str">
        <f t="shared" si="81"/>
        <v>27/11/2025 to 02/12/2025</v>
      </c>
      <c r="Q1790" s="3">
        <v>45993</v>
      </c>
      <c r="R1790" t="str">
        <f t="shared" si="82"/>
        <v>On-Time</v>
      </c>
      <c r="S1790" t="s">
        <v>592</v>
      </c>
      <c r="T1790">
        <v>17</v>
      </c>
      <c r="U1790" t="s">
        <v>65</v>
      </c>
      <c r="V1790" t="s">
        <v>72</v>
      </c>
      <c r="W1790" t="str">
        <f t="shared" ca="1" si="83"/>
        <v>At Risk</v>
      </c>
    </row>
    <row r="1791" spans="1:23" x14ac:dyDescent="0.2">
      <c r="A1791">
        <v>1521</v>
      </c>
      <c r="B1791" t="s">
        <v>4317</v>
      </c>
      <c r="C1791" t="s">
        <v>4323</v>
      </c>
      <c r="D1791" s="1" t="s">
        <v>376</v>
      </c>
      <c r="E1791" t="s">
        <v>4319</v>
      </c>
      <c r="F1791" t="s">
        <v>1756</v>
      </c>
      <c r="G1791" s="4" t="s">
        <v>5423</v>
      </c>
      <c r="H1791" t="s">
        <v>4320</v>
      </c>
      <c r="I1791" t="s">
        <v>201</v>
      </c>
      <c r="J1791" s="4" t="s">
        <v>74</v>
      </c>
      <c r="K1791" t="s">
        <v>4324</v>
      </c>
      <c r="L1791">
        <v>4</v>
      </c>
      <c r="M1791" t="s">
        <v>377</v>
      </c>
      <c r="N1791" t="s">
        <v>386</v>
      </c>
      <c r="O1791" t="s">
        <v>383</v>
      </c>
      <c r="P1791" s="2" t="str">
        <f t="shared" si="81"/>
        <v>26/11/2025 to 01/12/2025</v>
      </c>
      <c r="Q1791" s="3">
        <v>45988</v>
      </c>
      <c r="R1791" t="str">
        <f t="shared" si="82"/>
        <v>On-Time</v>
      </c>
      <c r="S1791" t="s">
        <v>727</v>
      </c>
      <c r="T1791">
        <v>36</v>
      </c>
      <c r="U1791" t="s">
        <v>65</v>
      </c>
      <c r="V1791" t="s">
        <v>66</v>
      </c>
      <c r="W1791" t="str">
        <f t="shared" ca="1" si="83"/>
        <v>At Risk</v>
      </c>
    </row>
    <row r="1792" spans="1:23" x14ac:dyDescent="0.2">
      <c r="A1792">
        <v>1845</v>
      </c>
      <c r="B1792" t="s">
        <v>5058</v>
      </c>
      <c r="C1792" t="s">
        <v>5059</v>
      </c>
      <c r="D1792" s="1" t="s">
        <v>376</v>
      </c>
      <c r="E1792" t="s">
        <v>5060</v>
      </c>
      <c r="F1792" t="s">
        <v>199</v>
      </c>
      <c r="G1792" s="4" t="s">
        <v>5424</v>
      </c>
      <c r="H1792" t="s">
        <v>4785</v>
      </c>
      <c r="I1792" t="s">
        <v>59</v>
      </c>
      <c r="J1792" s="4" t="s">
        <v>5417</v>
      </c>
      <c r="K1792" t="s">
        <v>5061</v>
      </c>
      <c r="L1792">
        <v>4</v>
      </c>
      <c r="M1792" t="s">
        <v>376</v>
      </c>
      <c r="N1792" t="s">
        <v>386</v>
      </c>
      <c r="O1792" t="s">
        <v>377</v>
      </c>
      <c r="P1792" s="2" t="str">
        <f t="shared" si="81"/>
        <v>25/11/2025 to 28/11/2025</v>
      </c>
      <c r="Q1792" s="3">
        <v>45985</v>
      </c>
      <c r="R1792" t="str">
        <f t="shared" si="82"/>
        <v>Late</v>
      </c>
      <c r="S1792" t="s">
        <v>692</v>
      </c>
      <c r="T1792">
        <v>39.5</v>
      </c>
      <c r="U1792" t="s">
        <v>79</v>
      </c>
      <c r="V1792" t="s">
        <v>66</v>
      </c>
      <c r="W1792" t="str">
        <f t="shared" ca="1" si="83"/>
        <v>At Risk</v>
      </c>
    </row>
    <row r="1793" spans="1:23" x14ac:dyDescent="0.2">
      <c r="A1793">
        <v>1846</v>
      </c>
      <c r="B1793" t="s">
        <v>5058</v>
      </c>
      <c r="C1793" t="s">
        <v>5062</v>
      </c>
      <c r="D1793" s="1" t="s">
        <v>376</v>
      </c>
      <c r="E1793" t="s">
        <v>5060</v>
      </c>
      <c r="F1793" t="s">
        <v>199</v>
      </c>
      <c r="G1793" s="4" t="s">
        <v>5428</v>
      </c>
      <c r="H1793" t="s">
        <v>4785</v>
      </c>
      <c r="I1793" t="s">
        <v>59</v>
      </c>
      <c r="J1793" s="4" t="s">
        <v>68</v>
      </c>
      <c r="K1793" t="s">
        <v>8</v>
      </c>
      <c r="L1793">
        <v>1</v>
      </c>
      <c r="M1793" t="s">
        <v>377</v>
      </c>
      <c r="N1793" t="s">
        <v>377</v>
      </c>
      <c r="O1793" t="s">
        <v>383</v>
      </c>
      <c r="P1793" s="2" t="str">
        <f t="shared" si="81"/>
        <v>26/11/2025 to 01/12/2025</v>
      </c>
      <c r="Q1793" s="3">
        <v>45988</v>
      </c>
      <c r="R1793" t="str">
        <f t="shared" si="82"/>
        <v>On-Time</v>
      </c>
      <c r="S1793" t="s">
        <v>567</v>
      </c>
      <c r="T1793">
        <v>9</v>
      </c>
      <c r="U1793" t="s">
        <v>65</v>
      </c>
      <c r="V1793" t="s">
        <v>80</v>
      </c>
      <c r="W1793" t="str">
        <f t="shared" ca="1" si="83"/>
        <v>At Risk</v>
      </c>
    </row>
    <row r="1794" spans="1:23" x14ac:dyDescent="0.2">
      <c r="A1794">
        <v>1847</v>
      </c>
      <c r="B1794" t="s">
        <v>5058</v>
      </c>
      <c r="C1794" t="s">
        <v>5063</v>
      </c>
      <c r="D1794" s="1" t="s">
        <v>376</v>
      </c>
      <c r="E1794" t="s">
        <v>5060</v>
      </c>
      <c r="F1794" t="s">
        <v>199</v>
      </c>
      <c r="G1794" s="4" t="s">
        <v>5419</v>
      </c>
      <c r="H1794" t="s">
        <v>4785</v>
      </c>
      <c r="I1794" t="s">
        <v>59</v>
      </c>
      <c r="J1794" s="4" t="s">
        <v>68</v>
      </c>
      <c r="K1794" t="s">
        <v>282</v>
      </c>
      <c r="L1794">
        <v>2</v>
      </c>
      <c r="M1794" t="s">
        <v>376</v>
      </c>
      <c r="N1794" t="s">
        <v>386</v>
      </c>
      <c r="O1794" t="s">
        <v>377</v>
      </c>
      <c r="P1794" s="2" t="str">
        <f t="shared" ref="P1794:P1857" si="84">IF(ISBLANK(M1794), "", TEXT(WORKDAY(M1794, 7), "dd/mm/yyyy") &amp; " to " &amp; TEXT(WORKDAY(M1794, 10), "dd/mm/yyyy"))</f>
        <v>25/11/2025 to 28/11/2025</v>
      </c>
      <c r="Q1794" s="3">
        <v>45989</v>
      </c>
      <c r="R1794" t="str">
        <f t="shared" ref="R1794:R1857" si="85">IF(Q1794="","In Progress",
IF(AND(--Q1794&gt;=DATEVALUE(LEFT(P1794,10)),
       --Q1794&lt;=DATEVALUE(TRIM(MID(P1794,FIND("to",P1794)+3,10)))),
   "On-Time","Late"))</f>
        <v>On-Time</v>
      </c>
      <c r="S1794" t="s">
        <v>1393</v>
      </c>
      <c r="T1794">
        <v>21</v>
      </c>
      <c r="U1794" t="s">
        <v>79</v>
      </c>
      <c r="V1794" t="s">
        <v>80</v>
      </c>
      <c r="W1794" t="str">
        <f t="shared" ca="1" si="83"/>
        <v>At Risk</v>
      </c>
    </row>
    <row r="1795" spans="1:23" x14ac:dyDescent="0.2">
      <c r="A1795">
        <v>1848</v>
      </c>
      <c r="B1795" t="s">
        <v>5058</v>
      </c>
      <c r="C1795" t="s">
        <v>5064</v>
      </c>
      <c r="D1795" s="1" t="s">
        <v>376</v>
      </c>
      <c r="E1795" t="s">
        <v>5060</v>
      </c>
      <c r="F1795" t="s">
        <v>199</v>
      </c>
      <c r="G1795" s="4" t="s">
        <v>5421</v>
      </c>
      <c r="H1795" t="s">
        <v>4785</v>
      </c>
      <c r="I1795" t="s">
        <v>59</v>
      </c>
      <c r="J1795" s="4" t="s">
        <v>74</v>
      </c>
      <c r="K1795" t="s">
        <v>5065</v>
      </c>
      <c r="L1795">
        <v>4</v>
      </c>
      <c r="M1795" t="s">
        <v>377</v>
      </c>
      <c r="N1795" t="s">
        <v>386</v>
      </c>
      <c r="O1795" t="s">
        <v>377</v>
      </c>
      <c r="P1795" s="2" t="str">
        <f t="shared" si="84"/>
        <v>26/11/2025 to 01/12/2025</v>
      </c>
      <c r="Q1795" s="3">
        <v>45988</v>
      </c>
      <c r="R1795" t="str">
        <f t="shared" si="85"/>
        <v>On-Time</v>
      </c>
      <c r="S1795" t="s">
        <v>564</v>
      </c>
      <c r="T1795">
        <v>38</v>
      </c>
      <c r="U1795" t="s">
        <v>65</v>
      </c>
      <c r="V1795" t="s">
        <v>66</v>
      </c>
      <c r="W1795" t="str">
        <f t="shared" ref="W1795:W1858" ca="1" si="86">IF(D1795="","",
IF(TODAY()-D1795&lt;=120,"Active",
IF(TODAY()-D1795&lt;=210,"At Risk",
IF(TODAY()-D1795&lt;=395,"Dormant",
IF(TODAY()-D1795&lt;=730,"Inactive","Archived")))))</f>
        <v>At Risk</v>
      </c>
    </row>
    <row r="1796" spans="1:23" x14ac:dyDescent="0.2">
      <c r="A1796">
        <v>1849</v>
      </c>
      <c r="B1796" t="s">
        <v>5058</v>
      </c>
      <c r="C1796" t="s">
        <v>5066</v>
      </c>
      <c r="D1796" s="1" t="s">
        <v>376</v>
      </c>
      <c r="E1796" t="s">
        <v>5060</v>
      </c>
      <c r="F1796" t="s">
        <v>199</v>
      </c>
      <c r="G1796" s="4" t="s">
        <v>5425</v>
      </c>
      <c r="H1796" t="s">
        <v>4785</v>
      </c>
      <c r="I1796" t="s">
        <v>59</v>
      </c>
      <c r="J1796" s="4" t="s">
        <v>68</v>
      </c>
      <c r="K1796" t="s">
        <v>28</v>
      </c>
      <c r="L1796">
        <v>1</v>
      </c>
      <c r="M1796" t="s">
        <v>386</v>
      </c>
      <c r="N1796" t="s">
        <v>213</v>
      </c>
      <c r="O1796" t="s">
        <v>383</v>
      </c>
      <c r="P1796" s="2" t="str">
        <f t="shared" si="84"/>
        <v>27/11/2025 to 02/12/2025</v>
      </c>
      <c r="Q1796" s="3">
        <v>45993</v>
      </c>
      <c r="R1796" t="str">
        <f t="shared" si="85"/>
        <v>On-Time</v>
      </c>
      <c r="S1796" t="s">
        <v>593</v>
      </c>
      <c r="T1796">
        <v>9</v>
      </c>
      <c r="U1796" t="s">
        <v>65</v>
      </c>
      <c r="V1796" t="s">
        <v>80</v>
      </c>
      <c r="W1796" t="str">
        <f t="shared" ca="1" si="86"/>
        <v>At Risk</v>
      </c>
    </row>
    <row r="1797" spans="1:23" x14ac:dyDescent="0.2">
      <c r="A1797">
        <v>808</v>
      </c>
      <c r="B1797" t="s">
        <v>2593</v>
      </c>
      <c r="C1797" t="s">
        <v>2594</v>
      </c>
      <c r="D1797" s="1" t="s">
        <v>377</v>
      </c>
      <c r="E1797" t="s">
        <v>2595</v>
      </c>
      <c r="F1797" t="s">
        <v>134</v>
      </c>
      <c r="G1797" s="4" t="s">
        <v>5425</v>
      </c>
      <c r="H1797" t="s">
        <v>2596</v>
      </c>
      <c r="I1797" t="s">
        <v>136</v>
      </c>
      <c r="J1797" s="4" t="s">
        <v>60</v>
      </c>
      <c r="K1797" t="s">
        <v>918</v>
      </c>
      <c r="L1797">
        <v>2</v>
      </c>
      <c r="M1797" t="s">
        <v>386</v>
      </c>
      <c r="N1797" t="s">
        <v>213</v>
      </c>
      <c r="O1797" t="s">
        <v>213</v>
      </c>
      <c r="P1797" s="2" t="str">
        <f t="shared" si="84"/>
        <v>27/11/2025 to 02/12/2025</v>
      </c>
      <c r="Q1797" s="3">
        <v>45991</v>
      </c>
      <c r="R1797" t="str">
        <f t="shared" si="85"/>
        <v>On-Time</v>
      </c>
      <c r="S1797" t="s">
        <v>589</v>
      </c>
      <c r="T1797">
        <v>24</v>
      </c>
      <c r="U1797" t="s">
        <v>65</v>
      </c>
      <c r="V1797" t="s">
        <v>66</v>
      </c>
      <c r="W1797" t="str">
        <f t="shared" ca="1" si="86"/>
        <v>At Risk</v>
      </c>
    </row>
    <row r="1798" spans="1:23" x14ac:dyDescent="0.2">
      <c r="A1798">
        <v>809</v>
      </c>
      <c r="B1798" t="s">
        <v>2593</v>
      </c>
      <c r="C1798" t="s">
        <v>2597</v>
      </c>
      <c r="D1798" s="1" t="s">
        <v>377</v>
      </c>
      <c r="E1798" t="s">
        <v>2595</v>
      </c>
      <c r="F1798" t="s">
        <v>134</v>
      </c>
      <c r="G1798" s="4" t="s">
        <v>5428</v>
      </c>
      <c r="H1798" t="s">
        <v>2596</v>
      </c>
      <c r="I1798" t="s">
        <v>136</v>
      </c>
      <c r="J1798" s="4" t="s">
        <v>68</v>
      </c>
      <c r="K1798" t="s">
        <v>2598</v>
      </c>
      <c r="L1798">
        <v>2</v>
      </c>
      <c r="M1798" t="s">
        <v>383</v>
      </c>
      <c r="N1798" t="s">
        <v>214</v>
      </c>
      <c r="O1798" t="s">
        <v>213</v>
      </c>
      <c r="P1798" s="2" t="str">
        <f t="shared" si="84"/>
        <v>28/11/2025 to 03/12/2025</v>
      </c>
      <c r="Q1798" s="3">
        <v>45990</v>
      </c>
      <c r="R1798" t="str">
        <f t="shared" si="85"/>
        <v>On-Time</v>
      </c>
      <c r="S1798" t="s">
        <v>695</v>
      </c>
      <c r="T1798">
        <v>17.5</v>
      </c>
      <c r="U1798" t="s">
        <v>79</v>
      </c>
      <c r="V1798" t="s">
        <v>66</v>
      </c>
      <c r="W1798" t="str">
        <f t="shared" ca="1" si="86"/>
        <v>At Risk</v>
      </c>
    </row>
    <row r="1799" spans="1:23" x14ac:dyDescent="0.2">
      <c r="A1799">
        <v>810</v>
      </c>
      <c r="B1799" t="s">
        <v>2593</v>
      </c>
      <c r="C1799" t="s">
        <v>2599</v>
      </c>
      <c r="D1799" s="1" t="s">
        <v>377</v>
      </c>
      <c r="E1799" t="s">
        <v>2595</v>
      </c>
      <c r="F1799" t="s">
        <v>134</v>
      </c>
      <c r="G1799" s="4" t="s">
        <v>5425</v>
      </c>
      <c r="H1799" t="s">
        <v>2596</v>
      </c>
      <c r="I1799" t="s">
        <v>136</v>
      </c>
      <c r="J1799" s="4" t="s">
        <v>5417</v>
      </c>
      <c r="K1799" t="s">
        <v>2600</v>
      </c>
      <c r="L1799">
        <v>4</v>
      </c>
      <c r="M1799" t="s">
        <v>377</v>
      </c>
      <c r="N1799" t="s">
        <v>386</v>
      </c>
      <c r="O1799" t="s">
        <v>383</v>
      </c>
      <c r="P1799" s="2" t="str">
        <f t="shared" si="84"/>
        <v>26/11/2025 to 01/12/2025</v>
      </c>
      <c r="Q1799" s="3">
        <v>45988</v>
      </c>
      <c r="R1799" t="str">
        <f t="shared" si="85"/>
        <v>On-Time</v>
      </c>
      <c r="S1799" t="s">
        <v>567</v>
      </c>
      <c r="T1799">
        <v>37.5</v>
      </c>
      <c r="U1799" t="s">
        <v>65</v>
      </c>
      <c r="V1799" t="s">
        <v>80</v>
      </c>
      <c r="W1799" t="str">
        <f t="shared" ca="1" si="86"/>
        <v>At Risk</v>
      </c>
    </row>
    <row r="1800" spans="1:23" x14ac:dyDescent="0.2">
      <c r="A1800">
        <v>811</v>
      </c>
      <c r="B1800" t="s">
        <v>2593</v>
      </c>
      <c r="C1800" t="s">
        <v>2601</v>
      </c>
      <c r="D1800" s="1" t="s">
        <v>377</v>
      </c>
      <c r="E1800" t="s">
        <v>2595</v>
      </c>
      <c r="F1800" t="s">
        <v>134</v>
      </c>
      <c r="G1800" s="4" t="s">
        <v>5425</v>
      </c>
      <c r="H1800" t="s">
        <v>2596</v>
      </c>
      <c r="I1800" t="s">
        <v>136</v>
      </c>
      <c r="J1800" s="4" t="s">
        <v>5417</v>
      </c>
      <c r="K1800" t="s">
        <v>2602</v>
      </c>
      <c r="L1800">
        <v>3</v>
      </c>
      <c r="M1800" t="s">
        <v>383</v>
      </c>
      <c r="N1800" t="s">
        <v>214</v>
      </c>
      <c r="O1800" t="s">
        <v>214</v>
      </c>
      <c r="P1800" s="2" t="str">
        <f t="shared" si="84"/>
        <v>28/11/2025 to 03/12/2025</v>
      </c>
      <c r="Q1800" s="3">
        <v>45994</v>
      </c>
      <c r="R1800" t="str">
        <f t="shared" si="85"/>
        <v>On-Time</v>
      </c>
      <c r="S1800" t="s">
        <v>593</v>
      </c>
      <c r="T1800">
        <v>24.5</v>
      </c>
      <c r="U1800" t="s">
        <v>79</v>
      </c>
      <c r="V1800" t="s">
        <v>66</v>
      </c>
      <c r="W1800" t="str">
        <f t="shared" ca="1" si="86"/>
        <v>At Risk</v>
      </c>
    </row>
    <row r="1801" spans="1:23" x14ac:dyDescent="0.2">
      <c r="A1801">
        <v>812</v>
      </c>
      <c r="B1801" t="s">
        <v>2593</v>
      </c>
      <c r="C1801" t="s">
        <v>2603</v>
      </c>
      <c r="D1801" s="1" t="s">
        <v>377</v>
      </c>
      <c r="E1801" t="s">
        <v>2595</v>
      </c>
      <c r="F1801" t="s">
        <v>134</v>
      </c>
      <c r="G1801" s="4" t="s">
        <v>5423</v>
      </c>
      <c r="H1801" t="s">
        <v>2596</v>
      </c>
      <c r="I1801" t="s">
        <v>136</v>
      </c>
      <c r="J1801" s="4" t="s">
        <v>74</v>
      </c>
      <c r="K1801" t="s">
        <v>2604</v>
      </c>
      <c r="L1801">
        <v>3</v>
      </c>
      <c r="M1801" t="s">
        <v>383</v>
      </c>
      <c r="N1801" t="s">
        <v>214</v>
      </c>
      <c r="O1801" t="s">
        <v>213</v>
      </c>
      <c r="P1801" s="2" t="str">
        <f t="shared" si="84"/>
        <v>28/11/2025 to 03/12/2025</v>
      </c>
      <c r="Q1801" s="3">
        <v>45992</v>
      </c>
      <c r="R1801" t="str">
        <f t="shared" si="85"/>
        <v>On-Time</v>
      </c>
      <c r="S1801" t="s">
        <v>592</v>
      </c>
      <c r="T1801">
        <v>36</v>
      </c>
      <c r="U1801" t="s">
        <v>79</v>
      </c>
      <c r="V1801" t="s">
        <v>72</v>
      </c>
      <c r="W1801" t="str">
        <f t="shared" ca="1" si="86"/>
        <v>At Risk</v>
      </c>
    </row>
    <row r="1802" spans="1:23" x14ac:dyDescent="0.2">
      <c r="A1802">
        <v>346</v>
      </c>
      <c r="B1802" t="s">
        <v>1389</v>
      </c>
      <c r="C1802" t="s">
        <v>1390</v>
      </c>
      <c r="D1802" s="1" t="s">
        <v>386</v>
      </c>
      <c r="E1802" t="s">
        <v>1391</v>
      </c>
      <c r="F1802" t="s">
        <v>668</v>
      </c>
      <c r="G1802" s="4" t="s">
        <v>5418</v>
      </c>
      <c r="H1802" t="s">
        <v>1392</v>
      </c>
      <c r="I1802" t="s">
        <v>136</v>
      </c>
      <c r="J1802" s="4" t="s">
        <v>74</v>
      </c>
      <c r="K1802" t="s">
        <v>8</v>
      </c>
      <c r="L1802">
        <v>1</v>
      </c>
      <c r="M1802" t="s">
        <v>213</v>
      </c>
      <c r="N1802" t="s">
        <v>560</v>
      </c>
      <c r="O1802" t="s">
        <v>560</v>
      </c>
      <c r="P1802" s="2" t="str">
        <f t="shared" si="84"/>
        <v>01/12/2025 to 04/12/2025</v>
      </c>
      <c r="Q1802" s="3">
        <v>45990</v>
      </c>
      <c r="R1802" t="str">
        <f t="shared" si="85"/>
        <v>Late</v>
      </c>
      <c r="S1802" t="s">
        <v>1393</v>
      </c>
      <c r="T1802">
        <v>9</v>
      </c>
      <c r="U1802" t="s">
        <v>79</v>
      </c>
      <c r="V1802" t="s">
        <v>66</v>
      </c>
      <c r="W1802" t="str">
        <f t="shared" ca="1" si="86"/>
        <v>Active</v>
      </c>
    </row>
    <row r="1803" spans="1:23" x14ac:dyDescent="0.2">
      <c r="A1803">
        <v>876</v>
      </c>
      <c r="B1803" t="s">
        <v>2755</v>
      </c>
      <c r="C1803" t="s">
        <v>2756</v>
      </c>
      <c r="D1803" s="1" t="s">
        <v>386</v>
      </c>
      <c r="E1803" t="s">
        <v>2757</v>
      </c>
      <c r="F1803" t="s">
        <v>1723</v>
      </c>
      <c r="G1803" s="4" t="s">
        <v>5418</v>
      </c>
      <c r="H1803" t="s">
        <v>425</v>
      </c>
      <c r="I1803" t="s">
        <v>136</v>
      </c>
      <c r="J1803" s="4" t="s">
        <v>68</v>
      </c>
      <c r="K1803" t="s">
        <v>2758</v>
      </c>
      <c r="L1803">
        <v>3</v>
      </c>
      <c r="M1803" t="s">
        <v>213</v>
      </c>
      <c r="N1803" t="s">
        <v>213</v>
      </c>
      <c r="O1803" t="s">
        <v>560</v>
      </c>
      <c r="P1803" s="2" t="str">
        <f t="shared" si="84"/>
        <v>01/12/2025 to 04/12/2025</v>
      </c>
      <c r="Q1803" s="3">
        <v>45992</v>
      </c>
      <c r="R1803" t="str">
        <f t="shared" si="85"/>
        <v>On-Time</v>
      </c>
      <c r="S1803" t="s">
        <v>592</v>
      </c>
      <c r="T1803">
        <v>27</v>
      </c>
      <c r="U1803" t="s">
        <v>79</v>
      </c>
      <c r="V1803" t="s">
        <v>80</v>
      </c>
      <c r="W1803" t="str">
        <f t="shared" ca="1" si="86"/>
        <v>Active</v>
      </c>
    </row>
    <row r="1804" spans="1:23" x14ac:dyDescent="0.2">
      <c r="A1804">
        <v>877</v>
      </c>
      <c r="B1804" t="s">
        <v>2755</v>
      </c>
      <c r="C1804" t="s">
        <v>2759</v>
      </c>
      <c r="D1804" s="1" t="s">
        <v>386</v>
      </c>
      <c r="E1804" t="s">
        <v>2757</v>
      </c>
      <c r="F1804" t="s">
        <v>1723</v>
      </c>
      <c r="G1804" s="4" t="s">
        <v>5426</v>
      </c>
      <c r="H1804" t="s">
        <v>425</v>
      </c>
      <c r="I1804" t="s">
        <v>136</v>
      </c>
      <c r="J1804" s="4" t="s">
        <v>60</v>
      </c>
      <c r="K1804" t="s">
        <v>2760</v>
      </c>
      <c r="L1804">
        <v>3</v>
      </c>
      <c r="M1804" t="s">
        <v>383</v>
      </c>
      <c r="N1804" t="s">
        <v>214</v>
      </c>
      <c r="O1804" t="s">
        <v>214</v>
      </c>
      <c r="P1804" s="2" t="str">
        <f t="shared" si="84"/>
        <v>28/11/2025 to 03/12/2025</v>
      </c>
      <c r="Q1804" s="3">
        <v>45992</v>
      </c>
      <c r="R1804" t="str">
        <f t="shared" si="85"/>
        <v>On-Time</v>
      </c>
      <c r="S1804" t="s">
        <v>695</v>
      </c>
      <c r="T1804">
        <v>31</v>
      </c>
      <c r="U1804" t="s">
        <v>79</v>
      </c>
      <c r="V1804" t="s">
        <v>72</v>
      </c>
      <c r="W1804" t="str">
        <f t="shared" ca="1" si="86"/>
        <v>Active</v>
      </c>
    </row>
    <row r="1805" spans="1:23" x14ac:dyDescent="0.2">
      <c r="A1805">
        <v>1786</v>
      </c>
      <c r="B1805" t="s">
        <v>4924</v>
      </c>
      <c r="C1805" t="s">
        <v>4925</v>
      </c>
      <c r="D1805" s="1" t="s">
        <v>386</v>
      </c>
      <c r="E1805" t="s">
        <v>4926</v>
      </c>
      <c r="F1805" t="s">
        <v>1756</v>
      </c>
      <c r="G1805" s="4" t="s">
        <v>5418</v>
      </c>
      <c r="H1805" t="s">
        <v>3699</v>
      </c>
      <c r="I1805" t="s">
        <v>93</v>
      </c>
      <c r="J1805" s="4" t="s">
        <v>74</v>
      </c>
      <c r="K1805" t="s">
        <v>4927</v>
      </c>
      <c r="L1805">
        <v>3</v>
      </c>
      <c r="M1805" t="s">
        <v>383</v>
      </c>
      <c r="N1805" t="s">
        <v>214</v>
      </c>
      <c r="O1805" t="s">
        <v>213</v>
      </c>
      <c r="P1805" s="2" t="str">
        <f t="shared" si="84"/>
        <v>28/11/2025 to 03/12/2025</v>
      </c>
      <c r="Q1805" s="3">
        <v>45988</v>
      </c>
      <c r="R1805" t="str">
        <f t="shared" si="85"/>
        <v>Late</v>
      </c>
      <c r="S1805" t="s">
        <v>727</v>
      </c>
      <c r="T1805">
        <v>27.5</v>
      </c>
      <c r="U1805" t="s">
        <v>65</v>
      </c>
      <c r="V1805" t="s">
        <v>72</v>
      </c>
      <c r="W1805" t="str">
        <f t="shared" ca="1" si="86"/>
        <v>Active</v>
      </c>
    </row>
    <row r="1806" spans="1:23" x14ac:dyDescent="0.2">
      <c r="A1806">
        <v>1787</v>
      </c>
      <c r="B1806" t="s">
        <v>4924</v>
      </c>
      <c r="C1806" t="s">
        <v>4928</v>
      </c>
      <c r="D1806" s="1" t="s">
        <v>386</v>
      </c>
      <c r="E1806" t="s">
        <v>4926</v>
      </c>
      <c r="F1806" t="s">
        <v>1756</v>
      </c>
      <c r="G1806" s="4" t="s">
        <v>5428</v>
      </c>
      <c r="H1806" t="s">
        <v>3699</v>
      </c>
      <c r="I1806" t="s">
        <v>93</v>
      </c>
      <c r="J1806" s="4" t="s">
        <v>74</v>
      </c>
      <c r="K1806" t="s">
        <v>6</v>
      </c>
      <c r="L1806">
        <v>1</v>
      </c>
      <c r="M1806" t="s">
        <v>213</v>
      </c>
      <c r="N1806" t="s">
        <v>213</v>
      </c>
      <c r="O1806" t="s">
        <v>560</v>
      </c>
      <c r="P1806" s="2" t="str">
        <f t="shared" si="84"/>
        <v>01/12/2025 to 04/12/2025</v>
      </c>
      <c r="Q1806" s="3">
        <v>45995</v>
      </c>
      <c r="R1806" t="str">
        <f t="shared" si="85"/>
        <v>On-Time</v>
      </c>
      <c r="S1806" t="s">
        <v>593</v>
      </c>
      <c r="T1806">
        <v>7.5</v>
      </c>
      <c r="U1806" t="s">
        <v>65</v>
      </c>
      <c r="V1806" t="s">
        <v>80</v>
      </c>
      <c r="W1806" t="str">
        <f t="shared" ca="1" si="86"/>
        <v>Active</v>
      </c>
    </row>
    <row r="1807" spans="1:23" x14ac:dyDescent="0.2">
      <c r="A1807">
        <v>1788</v>
      </c>
      <c r="B1807" t="s">
        <v>4924</v>
      </c>
      <c r="C1807" t="s">
        <v>4929</v>
      </c>
      <c r="D1807" s="1" t="s">
        <v>386</v>
      </c>
      <c r="E1807" t="s">
        <v>4926</v>
      </c>
      <c r="F1807" t="s">
        <v>1756</v>
      </c>
      <c r="G1807" s="4" t="s">
        <v>5420</v>
      </c>
      <c r="H1807" t="s">
        <v>3699</v>
      </c>
      <c r="I1807" t="s">
        <v>93</v>
      </c>
      <c r="J1807" s="4" t="s">
        <v>5417</v>
      </c>
      <c r="K1807" t="s">
        <v>4</v>
      </c>
      <c r="L1807">
        <v>1</v>
      </c>
      <c r="M1807" t="s">
        <v>383</v>
      </c>
      <c r="N1807" t="s">
        <v>214</v>
      </c>
      <c r="O1807" t="s">
        <v>214</v>
      </c>
      <c r="P1807" s="2" t="str">
        <f t="shared" si="84"/>
        <v>28/11/2025 to 03/12/2025</v>
      </c>
      <c r="Q1807" s="3">
        <v>45994</v>
      </c>
      <c r="R1807" t="str">
        <f t="shared" si="85"/>
        <v>On-Time</v>
      </c>
      <c r="S1807" t="s">
        <v>593</v>
      </c>
      <c r="T1807">
        <v>8</v>
      </c>
      <c r="U1807" t="s">
        <v>65</v>
      </c>
      <c r="V1807" t="s">
        <v>72</v>
      </c>
      <c r="W1807" t="str">
        <f t="shared" ca="1" si="86"/>
        <v>Active</v>
      </c>
    </row>
    <row r="1808" spans="1:23" x14ac:dyDescent="0.2">
      <c r="A1808">
        <v>1789</v>
      </c>
      <c r="B1808" t="s">
        <v>4924</v>
      </c>
      <c r="C1808" t="s">
        <v>4930</v>
      </c>
      <c r="D1808" s="1" t="s">
        <v>386</v>
      </c>
      <c r="E1808" t="s">
        <v>4926</v>
      </c>
      <c r="F1808" t="s">
        <v>1756</v>
      </c>
      <c r="G1808" s="4" t="s">
        <v>5421</v>
      </c>
      <c r="H1808" t="s">
        <v>3699</v>
      </c>
      <c r="I1808" t="s">
        <v>93</v>
      </c>
      <c r="J1808" s="4" t="s">
        <v>74</v>
      </c>
      <c r="K1808" t="s">
        <v>4931</v>
      </c>
      <c r="L1808">
        <v>4</v>
      </c>
      <c r="M1808" t="s">
        <v>386</v>
      </c>
      <c r="N1808" t="s">
        <v>213</v>
      </c>
      <c r="O1808" t="s">
        <v>386</v>
      </c>
      <c r="P1808" s="2" t="str">
        <f t="shared" si="84"/>
        <v>27/11/2025 to 02/12/2025</v>
      </c>
      <c r="Q1808" s="3">
        <v>45989</v>
      </c>
      <c r="R1808" t="str">
        <f t="shared" si="85"/>
        <v>On-Time</v>
      </c>
      <c r="S1808" t="s">
        <v>567</v>
      </c>
      <c r="T1808">
        <v>37.5</v>
      </c>
      <c r="U1808" t="s">
        <v>65</v>
      </c>
      <c r="V1808" t="s">
        <v>80</v>
      </c>
      <c r="W1808" t="str">
        <f t="shared" ca="1" si="86"/>
        <v>Active</v>
      </c>
    </row>
    <row r="1809" spans="1:23" x14ac:dyDescent="0.2">
      <c r="A1809">
        <v>1790</v>
      </c>
      <c r="B1809" t="s">
        <v>4924</v>
      </c>
      <c r="C1809" t="s">
        <v>4932</v>
      </c>
      <c r="D1809" s="1" t="s">
        <v>386</v>
      </c>
      <c r="E1809" t="s">
        <v>4926</v>
      </c>
      <c r="F1809" t="s">
        <v>1756</v>
      </c>
      <c r="G1809" s="4" t="s">
        <v>5423</v>
      </c>
      <c r="H1809" t="s">
        <v>3699</v>
      </c>
      <c r="I1809" t="s">
        <v>93</v>
      </c>
      <c r="J1809" s="4" t="s">
        <v>74</v>
      </c>
      <c r="K1809" t="s">
        <v>4933</v>
      </c>
      <c r="L1809">
        <v>4</v>
      </c>
      <c r="M1809" t="s">
        <v>213</v>
      </c>
      <c r="N1809" t="s">
        <v>560</v>
      </c>
      <c r="O1809" t="s">
        <v>213</v>
      </c>
      <c r="P1809" s="2" t="str">
        <f t="shared" si="84"/>
        <v>01/12/2025 to 04/12/2025</v>
      </c>
      <c r="Q1809" s="3">
        <v>45994</v>
      </c>
      <c r="R1809" t="str">
        <f t="shared" si="85"/>
        <v>On-Time</v>
      </c>
      <c r="S1809" t="s">
        <v>592</v>
      </c>
      <c r="T1809">
        <v>41.5</v>
      </c>
      <c r="U1809" t="s">
        <v>79</v>
      </c>
      <c r="V1809" t="s">
        <v>80</v>
      </c>
      <c r="W1809" t="str">
        <f t="shared" ca="1" si="86"/>
        <v>Active</v>
      </c>
    </row>
    <row r="1810" spans="1:23" x14ac:dyDescent="0.2">
      <c r="A1810">
        <v>438</v>
      </c>
      <c r="B1810" t="s">
        <v>1642</v>
      </c>
      <c r="C1810" t="s">
        <v>1643</v>
      </c>
      <c r="D1810" s="1" t="s">
        <v>213</v>
      </c>
      <c r="E1810" t="s">
        <v>1644</v>
      </c>
      <c r="F1810" t="s">
        <v>741</v>
      </c>
      <c r="G1810" s="4" t="s">
        <v>5425</v>
      </c>
      <c r="H1810" t="s">
        <v>1645</v>
      </c>
      <c r="I1810" t="s">
        <v>112</v>
      </c>
      <c r="J1810" s="4" t="s">
        <v>60</v>
      </c>
      <c r="K1810" t="s">
        <v>1646</v>
      </c>
      <c r="L1810">
        <v>4</v>
      </c>
      <c r="M1810" t="s">
        <v>560</v>
      </c>
      <c r="N1810" t="s">
        <v>692</v>
      </c>
      <c r="O1810" t="s">
        <v>692</v>
      </c>
      <c r="P1810" s="2" t="str">
        <f t="shared" si="84"/>
        <v>02/12/2025 to 05/12/2025</v>
      </c>
      <c r="Q1810" s="3">
        <v>45997</v>
      </c>
      <c r="R1810" t="str">
        <f t="shared" si="85"/>
        <v>Late</v>
      </c>
      <c r="S1810" t="s">
        <v>728</v>
      </c>
      <c r="T1810">
        <v>39</v>
      </c>
      <c r="U1810" t="s">
        <v>79</v>
      </c>
      <c r="V1810" t="s">
        <v>66</v>
      </c>
      <c r="W1810" t="str">
        <f t="shared" ca="1" si="86"/>
        <v>Active</v>
      </c>
    </row>
    <row r="1811" spans="1:23" x14ac:dyDescent="0.2">
      <c r="A1811">
        <v>439</v>
      </c>
      <c r="B1811" t="s">
        <v>1642</v>
      </c>
      <c r="C1811" t="s">
        <v>1647</v>
      </c>
      <c r="D1811" s="1" t="s">
        <v>213</v>
      </c>
      <c r="E1811" t="s">
        <v>1644</v>
      </c>
      <c r="F1811" t="s">
        <v>741</v>
      </c>
      <c r="G1811" s="4" t="s">
        <v>5420</v>
      </c>
      <c r="H1811" t="s">
        <v>1645</v>
      </c>
      <c r="I1811" t="s">
        <v>112</v>
      </c>
      <c r="J1811" s="4" t="s">
        <v>5417</v>
      </c>
      <c r="K1811" t="s">
        <v>1648</v>
      </c>
      <c r="L1811">
        <v>3</v>
      </c>
      <c r="M1811" t="s">
        <v>213</v>
      </c>
      <c r="N1811" t="s">
        <v>213</v>
      </c>
      <c r="O1811" t="s">
        <v>560</v>
      </c>
      <c r="P1811" s="2" t="str">
        <f t="shared" si="84"/>
        <v>01/12/2025 to 04/12/2025</v>
      </c>
      <c r="Q1811" s="3">
        <v>45994</v>
      </c>
      <c r="R1811" t="str">
        <f t="shared" si="85"/>
        <v>On-Time</v>
      </c>
      <c r="S1811" t="s">
        <v>593</v>
      </c>
      <c r="T1811">
        <v>30</v>
      </c>
      <c r="U1811" t="s">
        <v>79</v>
      </c>
      <c r="V1811" t="s">
        <v>66</v>
      </c>
      <c r="W1811" t="str">
        <f t="shared" ca="1" si="86"/>
        <v>Active</v>
      </c>
    </row>
    <row r="1812" spans="1:23" x14ac:dyDescent="0.2">
      <c r="A1812">
        <v>440</v>
      </c>
      <c r="B1812" t="s">
        <v>1642</v>
      </c>
      <c r="C1812" t="s">
        <v>1649</v>
      </c>
      <c r="D1812" s="1" t="s">
        <v>213</v>
      </c>
      <c r="E1812" t="s">
        <v>1644</v>
      </c>
      <c r="F1812" t="s">
        <v>741</v>
      </c>
      <c r="G1812" s="4" t="s">
        <v>5428</v>
      </c>
      <c r="H1812" t="s">
        <v>1645</v>
      </c>
      <c r="I1812" t="s">
        <v>112</v>
      </c>
      <c r="J1812" s="4" t="s">
        <v>60</v>
      </c>
      <c r="K1812" t="s">
        <v>1650</v>
      </c>
      <c r="L1812">
        <v>3</v>
      </c>
      <c r="M1812" t="s">
        <v>560</v>
      </c>
      <c r="N1812" t="s">
        <v>692</v>
      </c>
      <c r="O1812" t="s">
        <v>217</v>
      </c>
      <c r="P1812" s="2" t="str">
        <f t="shared" si="84"/>
        <v>02/12/2025 to 05/12/2025</v>
      </c>
      <c r="Q1812" s="3">
        <v>45992</v>
      </c>
      <c r="R1812" t="str">
        <f t="shared" si="85"/>
        <v>Late</v>
      </c>
      <c r="S1812" t="s">
        <v>589</v>
      </c>
      <c r="T1812">
        <v>27.5</v>
      </c>
      <c r="U1812" t="s">
        <v>65</v>
      </c>
      <c r="V1812" t="s">
        <v>72</v>
      </c>
      <c r="W1812" t="str">
        <f t="shared" ca="1" si="86"/>
        <v>Active</v>
      </c>
    </row>
    <row r="1813" spans="1:23" x14ac:dyDescent="0.2">
      <c r="A1813">
        <v>441</v>
      </c>
      <c r="B1813" t="s">
        <v>1642</v>
      </c>
      <c r="C1813" t="s">
        <v>1651</v>
      </c>
      <c r="D1813" s="1" t="s">
        <v>213</v>
      </c>
      <c r="E1813" t="s">
        <v>1644</v>
      </c>
      <c r="F1813" t="s">
        <v>741</v>
      </c>
      <c r="G1813" s="4" t="s">
        <v>5426</v>
      </c>
      <c r="H1813" t="s">
        <v>1645</v>
      </c>
      <c r="I1813" t="s">
        <v>112</v>
      </c>
      <c r="J1813" s="4" t="s">
        <v>60</v>
      </c>
      <c r="K1813" t="s">
        <v>1652</v>
      </c>
      <c r="L1813">
        <v>2</v>
      </c>
      <c r="M1813" t="s">
        <v>213</v>
      </c>
      <c r="N1813" t="s">
        <v>560</v>
      </c>
      <c r="O1813" t="s">
        <v>214</v>
      </c>
      <c r="P1813" s="2" t="str">
        <f t="shared" si="84"/>
        <v>01/12/2025 to 04/12/2025</v>
      </c>
      <c r="Q1813" s="3">
        <v>45994</v>
      </c>
      <c r="R1813" t="str">
        <f t="shared" si="85"/>
        <v>On-Time</v>
      </c>
      <c r="S1813" t="s">
        <v>592</v>
      </c>
      <c r="T1813">
        <v>17</v>
      </c>
      <c r="U1813" t="s">
        <v>79</v>
      </c>
      <c r="V1813" t="s">
        <v>66</v>
      </c>
      <c r="W1813" t="str">
        <f t="shared" ca="1" si="86"/>
        <v>Active</v>
      </c>
    </row>
    <row r="1814" spans="1:23" x14ac:dyDescent="0.2">
      <c r="A1814">
        <v>442</v>
      </c>
      <c r="B1814" t="s">
        <v>1642</v>
      </c>
      <c r="C1814" t="s">
        <v>1653</v>
      </c>
      <c r="D1814" s="1" t="s">
        <v>213</v>
      </c>
      <c r="E1814" t="s">
        <v>1644</v>
      </c>
      <c r="F1814" t="s">
        <v>741</v>
      </c>
      <c r="G1814" s="4" t="s">
        <v>5424</v>
      </c>
      <c r="H1814" t="s">
        <v>1645</v>
      </c>
      <c r="I1814" t="s">
        <v>112</v>
      </c>
      <c r="J1814" s="4" t="s">
        <v>60</v>
      </c>
      <c r="K1814" t="s">
        <v>1654</v>
      </c>
      <c r="L1814">
        <v>4</v>
      </c>
      <c r="M1814" t="s">
        <v>214</v>
      </c>
      <c r="N1814" t="s">
        <v>560</v>
      </c>
      <c r="O1814" t="s">
        <v>560</v>
      </c>
      <c r="P1814" s="2" t="str">
        <f t="shared" si="84"/>
        <v>02/12/2025 to 05/12/2025</v>
      </c>
      <c r="Q1814" s="3">
        <v>45990</v>
      </c>
      <c r="R1814" t="str">
        <f t="shared" si="85"/>
        <v>Late</v>
      </c>
      <c r="S1814" t="s">
        <v>1393</v>
      </c>
      <c r="T1814">
        <v>40.5</v>
      </c>
      <c r="U1814" t="s">
        <v>79</v>
      </c>
      <c r="V1814" t="s">
        <v>72</v>
      </c>
      <c r="W1814" t="str">
        <f t="shared" ca="1" si="86"/>
        <v>Active</v>
      </c>
    </row>
    <row r="1815" spans="1:23" x14ac:dyDescent="0.2">
      <c r="A1815">
        <v>458</v>
      </c>
      <c r="B1815" t="s">
        <v>1699</v>
      </c>
      <c r="C1815" t="s">
        <v>1700</v>
      </c>
      <c r="D1815" s="1" t="s">
        <v>213</v>
      </c>
      <c r="E1815" t="s">
        <v>1701</v>
      </c>
      <c r="F1815" t="s">
        <v>607</v>
      </c>
      <c r="G1815" s="4" t="s">
        <v>5419</v>
      </c>
      <c r="H1815" t="s">
        <v>1702</v>
      </c>
      <c r="I1815" t="s">
        <v>136</v>
      </c>
      <c r="J1815" s="4" t="s">
        <v>68</v>
      </c>
      <c r="K1815" t="s">
        <v>18</v>
      </c>
      <c r="L1815">
        <v>1</v>
      </c>
      <c r="M1815" t="s">
        <v>560</v>
      </c>
      <c r="N1815" t="s">
        <v>560</v>
      </c>
      <c r="O1815" t="s">
        <v>560</v>
      </c>
      <c r="P1815" s="2" t="str">
        <f t="shared" si="84"/>
        <v>02/12/2025 to 05/12/2025</v>
      </c>
      <c r="Q1815" s="3">
        <v>45990</v>
      </c>
      <c r="R1815" t="str">
        <f t="shared" si="85"/>
        <v>Late</v>
      </c>
      <c r="S1815" t="s">
        <v>1393</v>
      </c>
      <c r="T1815">
        <v>8.5</v>
      </c>
      <c r="U1815" t="s">
        <v>79</v>
      </c>
      <c r="V1815" t="s">
        <v>72</v>
      </c>
      <c r="W1815" t="str">
        <f t="shared" ca="1" si="86"/>
        <v>Active</v>
      </c>
    </row>
    <row r="1816" spans="1:23" x14ac:dyDescent="0.2">
      <c r="A1816">
        <v>459</v>
      </c>
      <c r="B1816" t="s">
        <v>1699</v>
      </c>
      <c r="C1816" t="s">
        <v>1703</v>
      </c>
      <c r="D1816" s="1" t="s">
        <v>213</v>
      </c>
      <c r="E1816" t="s">
        <v>1701</v>
      </c>
      <c r="F1816" t="s">
        <v>607</v>
      </c>
      <c r="G1816" s="4" t="s">
        <v>5418</v>
      </c>
      <c r="H1816" t="s">
        <v>1702</v>
      </c>
      <c r="I1816" t="s">
        <v>136</v>
      </c>
      <c r="J1816" s="4" t="s">
        <v>74</v>
      </c>
      <c r="K1816" t="s">
        <v>1704</v>
      </c>
      <c r="L1816">
        <v>3</v>
      </c>
      <c r="M1816" t="s">
        <v>213</v>
      </c>
      <c r="N1816" t="s">
        <v>213</v>
      </c>
      <c r="O1816" t="s">
        <v>560</v>
      </c>
      <c r="P1816" s="2" t="str">
        <f t="shared" si="84"/>
        <v>01/12/2025 to 04/12/2025</v>
      </c>
      <c r="Q1816" s="3">
        <v>45992</v>
      </c>
      <c r="R1816" t="str">
        <f t="shared" si="85"/>
        <v>On-Time</v>
      </c>
      <c r="S1816" t="s">
        <v>589</v>
      </c>
      <c r="T1816">
        <v>31</v>
      </c>
      <c r="U1816" t="s">
        <v>79</v>
      </c>
      <c r="V1816" t="s">
        <v>72</v>
      </c>
      <c r="W1816" t="str">
        <f t="shared" ca="1" si="86"/>
        <v>Active</v>
      </c>
    </row>
    <row r="1817" spans="1:23" x14ac:dyDescent="0.2">
      <c r="A1817">
        <v>460</v>
      </c>
      <c r="B1817" t="s">
        <v>1699</v>
      </c>
      <c r="C1817" t="s">
        <v>1705</v>
      </c>
      <c r="D1817" s="1" t="s">
        <v>213</v>
      </c>
      <c r="E1817" t="s">
        <v>1701</v>
      </c>
      <c r="F1817" t="s">
        <v>607</v>
      </c>
      <c r="G1817" s="4" t="s">
        <v>5425</v>
      </c>
      <c r="H1817" t="s">
        <v>1702</v>
      </c>
      <c r="I1817" t="s">
        <v>136</v>
      </c>
      <c r="J1817" s="4" t="s">
        <v>60</v>
      </c>
      <c r="K1817" t="s">
        <v>6</v>
      </c>
      <c r="L1817">
        <v>1</v>
      </c>
      <c r="M1817" t="s">
        <v>560</v>
      </c>
      <c r="N1817" t="s">
        <v>560</v>
      </c>
      <c r="O1817" t="s">
        <v>692</v>
      </c>
      <c r="P1817" s="2" t="str">
        <f t="shared" si="84"/>
        <v>02/12/2025 to 05/12/2025</v>
      </c>
      <c r="Q1817" s="3">
        <v>45998</v>
      </c>
      <c r="R1817" t="str">
        <f t="shared" si="85"/>
        <v>Late</v>
      </c>
      <c r="S1817" t="s">
        <v>724</v>
      </c>
      <c r="T1817">
        <v>7.5</v>
      </c>
      <c r="U1817" t="s">
        <v>65</v>
      </c>
      <c r="V1817" t="s">
        <v>80</v>
      </c>
      <c r="W1817" t="str">
        <f t="shared" ca="1" si="86"/>
        <v>Active</v>
      </c>
    </row>
    <row r="1818" spans="1:23" x14ac:dyDescent="0.2">
      <c r="A1818">
        <v>461</v>
      </c>
      <c r="B1818" t="s">
        <v>1699</v>
      </c>
      <c r="C1818" t="s">
        <v>1706</v>
      </c>
      <c r="D1818" s="1" t="s">
        <v>213</v>
      </c>
      <c r="E1818" t="s">
        <v>1701</v>
      </c>
      <c r="F1818" t="s">
        <v>607</v>
      </c>
      <c r="G1818" s="4" t="s">
        <v>5423</v>
      </c>
      <c r="H1818" t="s">
        <v>1702</v>
      </c>
      <c r="I1818" t="s">
        <v>136</v>
      </c>
      <c r="J1818" s="4" t="s">
        <v>60</v>
      </c>
      <c r="K1818" t="s">
        <v>1707</v>
      </c>
      <c r="L1818">
        <v>4</v>
      </c>
      <c r="M1818" t="s">
        <v>560</v>
      </c>
      <c r="N1818" t="s">
        <v>217</v>
      </c>
      <c r="O1818" t="s">
        <v>692</v>
      </c>
      <c r="P1818" s="2" t="str">
        <f t="shared" si="84"/>
        <v>02/12/2025 to 05/12/2025</v>
      </c>
      <c r="Q1818" s="3">
        <v>45993</v>
      </c>
      <c r="R1818" t="str">
        <f t="shared" si="85"/>
        <v>On-Time</v>
      </c>
      <c r="S1818" t="s">
        <v>593</v>
      </c>
      <c r="T1818">
        <v>37.5</v>
      </c>
      <c r="U1818" t="s">
        <v>79</v>
      </c>
      <c r="V1818" t="s">
        <v>80</v>
      </c>
      <c r="W1818" t="str">
        <f t="shared" ca="1" si="86"/>
        <v>Active</v>
      </c>
    </row>
    <row r="1819" spans="1:23" x14ac:dyDescent="0.2">
      <c r="A1819">
        <v>462</v>
      </c>
      <c r="B1819" t="s">
        <v>1699</v>
      </c>
      <c r="C1819" t="s">
        <v>1708</v>
      </c>
      <c r="D1819" s="1" t="s">
        <v>213</v>
      </c>
      <c r="E1819" t="s">
        <v>1701</v>
      </c>
      <c r="F1819" t="s">
        <v>607</v>
      </c>
      <c r="G1819" s="4" t="s">
        <v>5418</v>
      </c>
      <c r="H1819" t="s">
        <v>1702</v>
      </c>
      <c r="I1819" t="s">
        <v>136</v>
      </c>
      <c r="J1819" s="4" t="s">
        <v>74</v>
      </c>
      <c r="K1819" t="s">
        <v>1709</v>
      </c>
      <c r="L1819">
        <v>2</v>
      </c>
      <c r="M1819" t="s">
        <v>213</v>
      </c>
      <c r="N1819" t="s">
        <v>213</v>
      </c>
      <c r="O1819" t="s">
        <v>213</v>
      </c>
      <c r="P1819" s="2" t="str">
        <f t="shared" si="84"/>
        <v>01/12/2025 to 04/12/2025</v>
      </c>
      <c r="Q1819" s="3">
        <v>45993</v>
      </c>
      <c r="R1819" t="str">
        <f t="shared" si="85"/>
        <v>On-Time</v>
      </c>
      <c r="S1819" t="s">
        <v>593</v>
      </c>
      <c r="T1819">
        <v>22</v>
      </c>
      <c r="U1819" t="s">
        <v>65</v>
      </c>
      <c r="V1819" t="s">
        <v>66</v>
      </c>
      <c r="W1819" t="str">
        <f t="shared" ca="1" si="86"/>
        <v>Active</v>
      </c>
    </row>
    <row r="1820" spans="1:23" x14ac:dyDescent="0.2">
      <c r="A1820">
        <v>1430</v>
      </c>
      <c r="B1820" t="s">
        <v>4094</v>
      </c>
      <c r="C1820" t="s">
        <v>4095</v>
      </c>
      <c r="D1820" s="1" t="s">
        <v>213</v>
      </c>
      <c r="E1820" t="s">
        <v>4096</v>
      </c>
      <c r="F1820" t="s">
        <v>1204</v>
      </c>
      <c r="G1820" s="4" t="s">
        <v>5422</v>
      </c>
      <c r="H1820" t="s">
        <v>3416</v>
      </c>
      <c r="I1820" t="s">
        <v>136</v>
      </c>
      <c r="J1820" s="4" t="s">
        <v>5417</v>
      </c>
      <c r="K1820" t="s">
        <v>18</v>
      </c>
      <c r="L1820">
        <v>1</v>
      </c>
      <c r="M1820" t="s">
        <v>213</v>
      </c>
      <c r="N1820" t="s">
        <v>214</v>
      </c>
      <c r="O1820" t="s">
        <v>213</v>
      </c>
      <c r="P1820" s="2" t="str">
        <f t="shared" si="84"/>
        <v>01/12/2025 to 04/12/2025</v>
      </c>
      <c r="Q1820" s="3">
        <v>45991</v>
      </c>
      <c r="R1820" t="str">
        <f t="shared" si="85"/>
        <v>Late</v>
      </c>
      <c r="S1820" t="s">
        <v>695</v>
      </c>
      <c r="T1820">
        <v>8.5</v>
      </c>
      <c r="U1820" t="s">
        <v>65</v>
      </c>
      <c r="V1820" t="s">
        <v>66</v>
      </c>
      <c r="W1820" t="str">
        <f t="shared" ca="1" si="86"/>
        <v>Active</v>
      </c>
    </row>
    <row r="1821" spans="1:23" x14ac:dyDescent="0.2">
      <c r="A1821">
        <v>1431</v>
      </c>
      <c r="B1821" t="s">
        <v>4094</v>
      </c>
      <c r="C1821" t="s">
        <v>4097</v>
      </c>
      <c r="D1821" s="1" t="s">
        <v>213</v>
      </c>
      <c r="E1821" t="s">
        <v>4096</v>
      </c>
      <c r="F1821" t="s">
        <v>1204</v>
      </c>
      <c r="G1821" s="4" t="s">
        <v>5427</v>
      </c>
      <c r="H1821" t="s">
        <v>3416</v>
      </c>
      <c r="I1821" t="s">
        <v>136</v>
      </c>
      <c r="J1821" s="4" t="s">
        <v>68</v>
      </c>
      <c r="K1821" t="s">
        <v>4098</v>
      </c>
      <c r="L1821">
        <v>4</v>
      </c>
      <c r="M1821" t="s">
        <v>214</v>
      </c>
      <c r="N1821" t="s">
        <v>217</v>
      </c>
      <c r="O1821" t="s">
        <v>560</v>
      </c>
      <c r="P1821" s="2" t="str">
        <f t="shared" si="84"/>
        <v>02/12/2025 to 05/12/2025</v>
      </c>
      <c r="Q1821" s="3">
        <v>45994</v>
      </c>
      <c r="R1821" t="str">
        <f t="shared" si="85"/>
        <v>On-Time</v>
      </c>
      <c r="S1821" t="s">
        <v>1011</v>
      </c>
      <c r="T1821">
        <v>37</v>
      </c>
      <c r="U1821" t="s">
        <v>65</v>
      </c>
      <c r="V1821" t="s">
        <v>72</v>
      </c>
      <c r="W1821" t="str">
        <f t="shared" ca="1" si="86"/>
        <v>Active</v>
      </c>
    </row>
    <row r="1822" spans="1:23" x14ac:dyDescent="0.2">
      <c r="A1822">
        <v>1432</v>
      </c>
      <c r="B1822" t="s">
        <v>4094</v>
      </c>
      <c r="C1822" t="s">
        <v>4099</v>
      </c>
      <c r="D1822" s="1" t="s">
        <v>213</v>
      </c>
      <c r="E1822" t="s">
        <v>4096</v>
      </c>
      <c r="F1822" t="s">
        <v>1204</v>
      </c>
      <c r="G1822" s="4" t="s">
        <v>5421</v>
      </c>
      <c r="H1822" t="s">
        <v>3416</v>
      </c>
      <c r="I1822" t="s">
        <v>136</v>
      </c>
      <c r="J1822" s="4" t="s">
        <v>60</v>
      </c>
      <c r="K1822" t="s">
        <v>30</v>
      </c>
      <c r="L1822">
        <v>1</v>
      </c>
      <c r="M1822" t="s">
        <v>214</v>
      </c>
      <c r="N1822" t="s">
        <v>214</v>
      </c>
      <c r="O1822" t="s">
        <v>217</v>
      </c>
      <c r="P1822" s="2" t="str">
        <f t="shared" si="84"/>
        <v>02/12/2025 to 05/12/2025</v>
      </c>
      <c r="Q1822" s="3">
        <v>45993</v>
      </c>
      <c r="R1822" t="str">
        <f t="shared" si="85"/>
        <v>On-Time</v>
      </c>
      <c r="S1822" t="s">
        <v>592</v>
      </c>
      <c r="T1822">
        <v>12</v>
      </c>
      <c r="U1822" t="s">
        <v>65</v>
      </c>
      <c r="V1822" t="s">
        <v>80</v>
      </c>
      <c r="W1822" t="str">
        <f t="shared" ca="1" si="86"/>
        <v>Active</v>
      </c>
    </row>
    <row r="1823" spans="1:23" x14ac:dyDescent="0.2">
      <c r="A1823">
        <v>1738</v>
      </c>
      <c r="B1823" t="s">
        <v>4822</v>
      </c>
      <c r="C1823" t="s">
        <v>4823</v>
      </c>
      <c r="D1823" s="1" t="s">
        <v>213</v>
      </c>
      <c r="E1823" t="s">
        <v>4824</v>
      </c>
      <c r="F1823" t="s">
        <v>490</v>
      </c>
      <c r="G1823" s="4" t="s">
        <v>5428</v>
      </c>
      <c r="H1823" t="s">
        <v>160</v>
      </c>
      <c r="I1823" t="s">
        <v>112</v>
      </c>
      <c r="J1823" s="4" t="s">
        <v>60</v>
      </c>
      <c r="K1823" t="s">
        <v>12</v>
      </c>
      <c r="L1823">
        <v>1</v>
      </c>
      <c r="M1823" t="s">
        <v>214</v>
      </c>
      <c r="N1823" t="s">
        <v>560</v>
      </c>
      <c r="O1823" t="s">
        <v>560</v>
      </c>
      <c r="P1823" s="2" t="str">
        <f t="shared" si="84"/>
        <v>02/12/2025 to 05/12/2025</v>
      </c>
      <c r="Q1823" s="3">
        <v>45996</v>
      </c>
      <c r="R1823" t="str">
        <f t="shared" si="85"/>
        <v>On-Time</v>
      </c>
      <c r="S1823" t="s">
        <v>595</v>
      </c>
      <c r="T1823">
        <v>9.5</v>
      </c>
      <c r="U1823" t="s">
        <v>79</v>
      </c>
      <c r="V1823" t="s">
        <v>72</v>
      </c>
      <c r="W1823" t="str">
        <f t="shared" ca="1" si="86"/>
        <v>Active</v>
      </c>
    </row>
    <row r="1824" spans="1:23" x14ac:dyDescent="0.2">
      <c r="A1824">
        <v>1739</v>
      </c>
      <c r="B1824" t="s">
        <v>4822</v>
      </c>
      <c r="C1824" t="s">
        <v>4825</v>
      </c>
      <c r="D1824" s="1" t="s">
        <v>213</v>
      </c>
      <c r="E1824" t="s">
        <v>4824</v>
      </c>
      <c r="F1824" t="s">
        <v>490</v>
      </c>
      <c r="G1824" s="4" t="s">
        <v>5428</v>
      </c>
      <c r="H1824" t="s">
        <v>160</v>
      </c>
      <c r="I1824" t="s">
        <v>112</v>
      </c>
      <c r="J1824" s="4" t="s">
        <v>60</v>
      </c>
      <c r="K1824" t="s">
        <v>4826</v>
      </c>
      <c r="L1824">
        <v>3</v>
      </c>
      <c r="M1824" t="s">
        <v>213</v>
      </c>
      <c r="N1824" t="s">
        <v>214</v>
      </c>
      <c r="O1824" t="s">
        <v>214</v>
      </c>
      <c r="P1824" s="2" t="str">
        <f t="shared" si="84"/>
        <v>01/12/2025 to 04/12/2025</v>
      </c>
      <c r="Q1824" s="3">
        <v>45992</v>
      </c>
      <c r="R1824" t="str">
        <f t="shared" si="85"/>
        <v>On-Time</v>
      </c>
      <c r="S1824" t="s">
        <v>695</v>
      </c>
      <c r="T1824">
        <v>26.5</v>
      </c>
      <c r="U1824" t="s">
        <v>79</v>
      </c>
      <c r="V1824" t="s">
        <v>66</v>
      </c>
      <c r="W1824" t="str">
        <f t="shared" ca="1" si="86"/>
        <v>Active</v>
      </c>
    </row>
    <row r="1825" spans="1:23" x14ac:dyDescent="0.2">
      <c r="A1825">
        <v>1740</v>
      </c>
      <c r="B1825" t="s">
        <v>4822</v>
      </c>
      <c r="C1825" t="s">
        <v>4827</v>
      </c>
      <c r="D1825" s="1" t="s">
        <v>213</v>
      </c>
      <c r="E1825" t="s">
        <v>4824</v>
      </c>
      <c r="F1825" t="s">
        <v>490</v>
      </c>
      <c r="G1825" s="4" t="s">
        <v>5425</v>
      </c>
      <c r="H1825" t="s">
        <v>160</v>
      </c>
      <c r="I1825" t="s">
        <v>112</v>
      </c>
      <c r="J1825" s="4" t="s">
        <v>60</v>
      </c>
      <c r="K1825" t="s">
        <v>4828</v>
      </c>
      <c r="L1825">
        <v>2</v>
      </c>
      <c r="M1825" t="s">
        <v>214</v>
      </c>
      <c r="N1825" t="s">
        <v>214</v>
      </c>
      <c r="O1825" t="s">
        <v>217</v>
      </c>
      <c r="P1825" s="2" t="str">
        <f t="shared" si="84"/>
        <v>02/12/2025 to 05/12/2025</v>
      </c>
      <c r="Q1825" s="3">
        <v>45996</v>
      </c>
      <c r="R1825" t="str">
        <f t="shared" si="85"/>
        <v>On-Time</v>
      </c>
      <c r="S1825" t="s">
        <v>595</v>
      </c>
      <c r="T1825">
        <v>19.5</v>
      </c>
      <c r="U1825" t="s">
        <v>79</v>
      </c>
      <c r="V1825" t="s">
        <v>72</v>
      </c>
      <c r="W1825" t="str">
        <f t="shared" ca="1" si="86"/>
        <v>Active</v>
      </c>
    </row>
    <row r="1826" spans="1:23" x14ac:dyDescent="0.2">
      <c r="A1826">
        <v>1741</v>
      </c>
      <c r="B1826" t="s">
        <v>4822</v>
      </c>
      <c r="C1826" t="s">
        <v>4829</v>
      </c>
      <c r="D1826" s="1" t="s">
        <v>213</v>
      </c>
      <c r="E1826" t="s">
        <v>4824</v>
      </c>
      <c r="F1826" t="s">
        <v>490</v>
      </c>
      <c r="G1826" s="4" t="s">
        <v>5422</v>
      </c>
      <c r="H1826" t="s">
        <v>160</v>
      </c>
      <c r="I1826" t="s">
        <v>112</v>
      </c>
      <c r="J1826" s="4" t="s">
        <v>60</v>
      </c>
      <c r="K1826" t="s">
        <v>4830</v>
      </c>
      <c r="L1826">
        <v>3</v>
      </c>
      <c r="M1826" t="s">
        <v>560</v>
      </c>
      <c r="N1826" t="s">
        <v>217</v>
      </c>
      <c r="O1826" t="s">
        <v>560</v>
      </c>
      <c r="P1826" s="2" t="str">
        <f t="shared" si="84"/>
        <v>02/12/2025 to 05/12/2025</v>
      </c>
      <c r="Q1826" s="3">
        <v>45990</v>
      </c>
      <c r="R1826" t="str">
        <f t="shared" si="85"/>
        <v>Late</v>
      </c>
      <c r="S1826" t="s">
        <v>695</v>
      </c>
      <c r="T1826">
        <v>30</v>
      </c>
      <c r="U1826" t="s">
        <v>65</v>
      </c>
      <c r="V1826" t="s">
        <v>72</v>
      </c>
      <c r="W1826" t="str">
        <f t="shared" ca="1" si="86"/>
        <v>Active</v>
      </c>
    </row>
    <row r="1827" spans="1:23" x14ac:dyDescent="0.2">
      <c r="A1827">
        <v>1742</v>
      </c>
      <c r="B1827" t="s">
        <v>4822</v>
      </c>
      <c r="C1827" t="s">
        <v>4831</v>
      </c>
      <c r="D1827" s="1" t="s">
        <v>213</v>
      </c>
      <c r="E1827" t="s">
        <v>4824</v>
      </c>
      <c r="F1827" t="s">
        <v>490</v>
      </c>
      <c r="G1827" s="4" t="s">
        <v>5428</v>
      </c>
      <c r="H1827" t="s">
        <v>160</v>
      </c>
      <c r="I1827" t="s">
        <v>112</v>
      </c>
      <c r="J1827" s="4" t="s">
        <v>5417</v>
      </c>
      <c r="K1827" t="s">
        <v>4832</v>
      </c>
      <c r="L1827">
        <v>4</v>
      </c>
      <c r="M1827" t="s">
        <v>213</v>
      </c>
      <c r="N1827" t="s">
        <v>213</v>
      </c>
      <c r="O1827" t="s">
        <v>560</v>
      </c>
      <c r="P1827" s="2" t="str">
        <f t="shared" si="84"/>
        <v>01/12/2025 to 04/12/2025</v>
      </c>
      <c r="Q1827" s="3">
        <v>45990</v>
      </c>
      <c r="R1827" t="str">
        <f t="shared" si="85"/>
        <v>Late</v>
      </c>
      <c r="S1827" t="s">
        <v>695</v>
      </c>
      <c r="T1827">
        <v>42.5</v>
      </c>
      <c r="U1827" t="s">
        <v>79</v>
      </c>
      <c r="V1827" t="s">
        <v>72</v>
      </c>
      <c r="W1827" t="str">
        <f t="shared" ca="1" si="86"/>
        <v>Active</v>
      </c>
    </row>
    <row r="1828" spans="1:23" x14ac:dyDescent="0.2">
      <c r="A1828">
        <v>536</v>
      </c>
      <c r="B1828" t="s">
        <v>1913</v>
      </c>
      <c r="C1828" t="s">
        <v>1914</v>
      </c>
      <c r="D1828" s="1" t="s">
        <v>214</v>
      </c>
      <c r="E1828" t="s">
        <v>1915</v>
      </c>
      <c r="F1828" t="s">
        <v>607</v>
      </c>
      <c r="G1828" s="4" t="s">
        <v>5421</v>
      </c>
      <c r="H1828" t="s">
        <v>1397</v>
      </c>
      <c r="I1828" t="s">
        <v>112</v>
      </c>
      <c r="J1828" s="4" t="s">
        <v>60</v>
      </c>
      <c r="K1828" t="s">
        <v>1916</v>
      </c>
      <c r="L1828">
        <v>2</v>
      </c>
      <c r="M1828" t="s">
        <v>560</v>
      </c>
      <c r="N1828" t="s">
        <v>692</v>
      </c>
      <c r="O1828" t="s">
        <v>560</v>
      </c>
      <c r="P1828" s="2" t="str">
        <f t="shared" si="84"/>
        <v>02/12/2025 to 05/12/2025</v>
      </c>
      <c r="Q1828" s="3">
        <v>45992</v>
      </c>
      <c r="R1828" t="str">
        <f t="shared" si="85"/>
        <v>Late</v>
      </c>
      <c r="S1828" t="s">
        <v>589</v>
      </c>
      <c r="T1828">
        <v>17</v>
      </c>
      <c r="U1828" t="s">
        <v>79</v>
      </c>
      <c r="V1828" t="s">
        <v>72</v>
      </c>
      <c r="W1828" t="str">
        <f t="shared" ca="1" si="86"/>
        <v>Active</v>
      </c>
    </row>
    <row r="1829" spans="1:23" x14ac:dyDescent="0.2">
      <c r="A1829">
        <v>1569</v>
      </c>
      <c r="B1829" t="s">
        <v>4431</v>
      </c>
      <c r="C1829" t="s">
        <v>4432</v>
      </c>
      <c r="D1829" s="1" t="s">
        <v>214</v>
      </c>
      <c r="E1829" t="s">
        <v>4433</v>
      </c>
      <c r="F1829" t="s">
        <v>872</v>
      </c>
      <c r="G1829" s="4" t="s">
        <v>5420</v>
      </c>
      <c r="H1829" t="s">
        <v>1268</v>
      </c>
      <c r="I1829" t="s">
        <v>112</v>
      </c>
      <c r="J1829" s="4" t="s">
        <v>5417</v>
      </c>
      <c r="K1829" t="s">
        <v>16</v>
      </c>
      <c r="L1829">
        <v>1</v>
      </c>
      <c r="M1829" t="s">
        <v>214</v>
      </c>
      <c r="N1829" t="s">
        <v>217</v>
      </c>
      <c r="O1829" t="s">
        <v>560</v>
      </c>
      <c r="P1829" s="2" t="str">
        <f t="shared" si="84"/>
        <v>02/12/2025 to 05/12/2025</v>
      </c>
      <c r="Q1829" s="3">
        <v>45993</v>
      </c>
      <c r="R1829" t="str">
        <f t="shared" si="85"/>
        <v>On-Time</v>
      </c>
      <c r="S1829" t="s">
        <v>593</v>
      </c>
      <c r="T1829">
        <v>11</v>
      </c>
      <c r="U1829" t="s">
        <v>65</v>
      </c>
      <c r="V1829" t="s">
        <v>66</v>
      </c>
      <c r="W1829" t="str">
        <f t="shared" ca="1" si="86"/>
        <v>Active</v>
      </c>
    </row>
    <row r="1830" spans="1:23" x14ac:dyDescent="0.2">
      <c r="A1830">
        <v>1570</v>
      </c>
      <c r="B1830" t="s">
        <v>4431</v>
      </c>
      <c r="C1830" t="s">
        <v>4434</v>
      </c>
      <c r="D1830" s="1" t="s">
        <v>214</v>
      </c>
      <c r="E1830" t="s">
        <v>4433</v>
      </c>
      <c r="F1830" t="s">
        <v>872</v>
      </c>
      <c r="G1830" s="4" t="s">
        <v>5426</v>
      </c>
      <c r="H1830" t="s">
        <v>1268</v>
      </c>
      <c r="I1830" t="s">
        <v>112</v>
      </c>
      <c r="J1830" s="4" t="s">
        <v>74</v>
      </c>
      <c r="K1830" t="s">
        <v>26</v>
      </c>
      <c r="L1830">
        <v>1</v>
      </c>
      <c r="M1830" t="s">
        <v>560</v>
      </c>
      <c r="N1830" t="s">
        <v>560</v>
      </c>
      <c r="O1830" t="s">
        <v>692</v>
      </c>
      <c r="P1830" s="2" t="str">
        <f t="shared" si="84"/>
        <v>02/12/2025 to 05/12/2025</v>
      </c>
      <c r="Q1830" s="3">
        <v>45998</v>
      </c>
      <c r="R1830" t="str">
        <f t="shared" si="85"/>
        <v>Late</v>
      </c>
      <c r="S1830" t="s">
        <v>723</v>
      </c>
      <c r="T1830">
        <v>9</v>
      </c>
      <c r="U1830" t="s">
        <v>79</v>
      </c>
      <c r="V1830" t="s">
        <v>80</v>
      </c>
      <c r="W1830" t="str">
        <f t="shared" ca="1" si="86"/>
        <v>Active</v>
      </c>
    </row>
    <row r="1831" spans="1:23" x14ac:dyDescent="0.2">
      <c r="A1831">
        <v>132</v>
      </c>
      <c r="B1831" t="s">
        <v>687</v>
      </c>
      <c r="C1831" t="s">
        <v>688</v>
      </c>
      <c r="D1831" s="1" t="s">
        <v>560</v>
      </c>
      <c r="E1831" t="s">
        <v>689</v>
      </c>
      <c r="F1831" t="s">
        <v>91</v>
      </c>
      <c r="G1831" s="4" t="s">
        <v>5424</v>
      </c>
      <c r="H1831" t="s">
        <v>690</v>
      </c>
      <c r="I1831" t="s">
        <v>136</v>
      </c>
      <c r="J1831" s="4" t="s">
        <v>60</v>
      </c>
      <c r="K1831" t="s">
        <v>691</v>
      </c>
      <c r="L1831">
        <v>3</v>
      </c>
      <c r="M1831" t="s">
        <v>560</v>
      </c>
      <c r="N1831" t="s">
        <v>692</v>
      </c>
      <c r="O1831" t="s">
        <v>217</v>
      </c>
      <c r="P1831" s="2" t="str">
        <f t="shared" si="84"/>
        <v>02/12/2025 to 05/12/2025</v>
      </c>
      <c r="Q1831" s="3">
        <v>45994</v>
      </c>
      <c r="R1831" t="str">
        <f t="shared" si="85"/>
        <v>On-Time</v>
      </c>
      <c r="S1831" t="s">
        <v>592</v>
      </c>
      <c r="T1831">
        <v>29.5</v>
      </c>
      <c r="U1831" t="s">
        <v>79</v>
      </c>
      <c r="V1831" t="s">
        <v>66</v>
      </c>
      <c r="W1831" t="str">
        <f t="shared" ca="1" si="86"/>
        <v>Active</v>
      </c>
    </row>
    <row r="1832" spans="1:23" x14ac:dyDescent="0.2">
      <c r="A1832">
        <v>133</v>
      </c>
      <c r="B1832" t="s">
        <v>687</v>
      </c>
      <c r="C1832" t="s">
        <v>693</v>
      </c>
      <c r="D1832" s="1" t="s">
        <v>560</v>
      </c>
      <c r="E1832" t="s">
        <v>689</v>
      </c>
      <c r="F1832" t="s">
        <v>91</v>
      </c>
      <c r="G1832" s="4" t="s">
        <v>5419</v>
      </c>
      <c r="H1832" t="s">
        <v>690</v>
      </c>
      <c r="I1832" t="s">
        <v>136</v>
      </c>
      <c r="J1832" s="4" t="s">
        <v>60</v>
      </c>
      <c r="K1832" t="s">
        <v>694</v>
      </c>
      <c r="L1832">
        <v>2</v>
      </c>
      <c r="M1832" t="s">
        <v>217</v>
      </c>
      <c r="N1832" t="s">
        <v>224</v>
      </c>
      <c r="O1832" t="s">
        <v>692</v>
      </c>
      <c r="P1832" s="2" t="str">
        <f t="shared" si="84"/>
        <v>02/12/2025 to 05/12/2025</v>
      </c>
      <c r="Q1832" s="3">
        <v>45992</v>
      </c>
      <c r="R1832" t="str">
        <f t="shared" si="85"/>
        <v>Late</v>
      </c>
      <c r="S1832" t="s">
        <v>592</v>
      </c>
      <c r="T1832">
        <v>20</v>
      </c>
      <c r="U1832" t="s">
        <v>79</v>
      </c>
      <c r="V1832" t="s">
        <v>80</v>
      </c>
      <c r="W1832" t="str">
        <f t="shared" ca="1" si="86"/>
        <v>Active</v>
      </c>
    </row>
    <row r="1833" spans="1:23" x14ac:dyDescent="0.2">
      <c r="A1833">
        <v>134</v>
      </c>
      <c r="B1833" t="s">
        <v>687</v>
      </c>
      <c r="C1833" t="s">
        <v>696</v>
      </c>
      <c r="D1833" s="1" t="s">
        <v>560</v>
      </c>
      <c r="E1833" t="s">
        <v>689</v>
      </c>
      <c r="F1833" t="s">
        <v>91</v>
      </c>
      <c r="G1833" s="4" t="s">
        <v>5419</v>
      </c>
      <c r="H1833" t="s">
        <v>690</v>
      </c>
      <c r="I1833" t="s">
        <v>136</v>
      </c>
      <c r="J1833" s="4" t="s">
        <v>68</v>
      </c>
      <c r="K1833" t="s">
        <v>697</v>
      </c>
      <c r="L1833">
        <v>4</v>
      </c>
      <c r="M1833" t="s">
        <v>217</v>
      </c>
      <c r="N1833" t="s">
        <v>692</v>
      </c>
      <c r="O1833" t="s">
        <v>692</v>
      </c>
      <c r="P1833" s="2" t="str">
        <f t="shared" si="84"/>
        <v>02/12/2025 to 05/12/2025</v>
      </c>
      <c r="Q1833" s="3">
        <v>45992</v>
      </c>
      <c r="R1833" t="str">
        <f t="shared" si="85"/>
        <v>Late</v>
      </c>
      <c r="S1833" t="s">
        <v>592</v>
      </c>
      <c r="T1833">
        <v>37.5</v>
      </c>
      <c r="U1833" t="s">
        <v>79</v>
      </c>
      <c r="V1833" t="s">
        <v>72</v>
      </c>
      <c r="W1833" t="str">
        <f t="shared" ca="1" si="86"/>
        <v>Active</v>
      </c>
    </row>
    <row r="1834" spans="1:23" x14ac:dyDescent="0.2">
      <c r="A1834">
        <v>135</v>
      </c>
      <c r="B1834" t="s">
        <v>687</v>
      </c>
      <c r="C1834" t="s">
        <v>698</v>
      </c>
      <c r="D1834" s="1" t="s">
        <v>560</v>
      </c>
      <c r="E1834" t="s">
        <v>689</v>
      </c>
      <c r="F1834" t="s">
        <v>91</v>
      </c>
      <c r="G1834" s="4" t="s">
        <v>5427</v>
      </c>
      <c r="H1834" t="s">
        <v>690</v>
      </c>
      <c r="I1834" t="s">
        <v>136</v>
      </c>
      <c r="J1834" s="4" t="s">
        <v>5417</v>
      </c>
      <c r="K1834" t="s">
        <v>699</v>
      </c>
      <c r="L1834">
        <v>4</v>
      </c>
      <c r="M1834" t="s">
        <v>692</v>
      </c>
      <c r="N1834" t="s">
        <v>224</v>
      </c>
      <c r="O1834" t="s">
        <v>224</v>
      </c>
      <c r="P1834" s="2" t="str">
        <f t="shared" si="84"/>
        <v>03/12/2025 to 08/12/2025</v>
      </c>
      <c r="Q1834" s="3">
        <v>45995</v>
      </c>
      <c r="R1834" t="str">
        <f t="shared" si="85"/>
        <v>On-Time</v>
      </c>
      <c r="S1834" t="s">
        <v>593</v>
      </c>
      <c r="T1834">
        <v>35</v>
      </c>
      <c r="U1834" t="s">
        <v>79</v>
      </c>
      <c r="V1834" t="s">
        <v>80</v>
      </c>
      <c r="W1834" t="str">
        <f t="shared" ca="1" si="86"/>
        <v>Active</v>
      </c>
    </row>
    <row r="1835" spans="1:23" x14ac:dyDescent="0.2">
      <c r="A1835">
        <v>632</v>
      </c>
      <c r="B1835" t="s">
        <v>2165</v>
      </c>
      <c r="C1835" t="s">
        <v>2166</v>
      </c>
      <c r="D1835" s="1" t="s">
        <v>560</v>
      </c>
      <c r="E1835" t="s">
        <v>2167</v>
      </c>
      <c r="F1835" t="s">
        <v>1829</v>
      </c>
      <c r="G1835" s="4" t="s">
        <v>5420</v>
      </c>
      <c r="H1835" t="s">
        <v>2168</v>
      </c>
      <c r="I1835" t="s">
        <v>136</v>
      </c>
      <c r="J1835" s="4" t="s">
        <v>60</v>
      </c>
      <c r="K1835" t="s">
        <v>2169</v>
      </c>
      <c r="L1835">
        <v>4</v>
      </c>
      <c r="M1835" t="s">
        <v>692</v>
      </c>
      <c r="N1835" t="s">
        <v>563</v>
      </c>
      <c r="O1835" t="s">
        <v>224</v>
      </c>
      <c r="P1835" s="2" t="str">
        <f t="shared" si="84"/>
        <v>03/12/2025 to 08/12/2025</v>
      </c>
      <c r="Q1835" s="3">
        <v>45997</v>
      </c>
      <c r="R1835" t="str">
        <f t="shared" si="85"/>
        <v>On-Time</v>
      </c>
      <c r="S1835" t="s">
        <v>595</v>
      </c>
      <c r="T1835">
        <v>39</v>
      </c>
      <c r="U1835" t="s">
        <v>65</v>
      </c>
      <c r="V1835" t="s">
        <v>72</v>
      </c>
      <c r="W1835" t="str">
        <f t="shared" ca="1" si="86"/>
        <v>Active</v>
      </c>
    </row>
    <row r="1836" spans="1:23" x14ac:dyDescent="0.2">
      <c r="A1836">
        <v>633</v>
      </c>
      <c r="B1836" t="s">
        <v>2165</v>
      </c>
      <c r="C1836" t="s">
        <v>2170</v>
      </c>
      <c r="D1836" s="1" t="s">
        <v>560</v>
      </c>
      <c r="E1836" t="s">
        <v>2167</v>
      </c>
      <c r="F1836" t="s">
        <v>1829</v>
      </c>
      <c r="G1836" s="4" t="s">
        <v>5418</v>
      </c>
      <c r="H1836" t="s">
        <v>2168</v>
      </c>
      <c r="I1836" t="s">
        <v>136</v>
      </c>
      <c r="J1836" s="4" t="s">
        <v>5417</v>
      </c>
      <c r="K1836" t="s">
        <v>2171</v>
      </c>
      <c r="L1836">
        <v>4</v>
      </c>
      <c r="M1836" t="s">
        <v>560</v>
      </c>
      <c r="N1836" t="s">
        <v>560</v>
      </c>
      <c r="O1836" t="s">
        <v>692</v>
      </c>
      <c r="P1836" s="2" t="str">
        <f t="shared" si="84"/>
        <v>02/12/2025 to 05/12/2025</v>
      </c>
      <c r="Q1836" s="3">
        <v>45995</v>
      </c>
      <c r="R1836" t="str">
        <f t="shared" si="85"/>
        <v>On-Time</v>
      </c>
      <c r="S1836" t="s">
        <v>595</v>
      </c>
      <c r="T1836">
        <v>37</v>
      </c>
      <c r="U1836" t="s">
        <v>65</v>
      </c>
      <c r="V1836" t="s">
        <v>80</v>
      </c>
      <c r="W1836" t="str">
        <f t="shared" ca="1" si="86"/>
        <v>Active</v>
      </c>
    </row>
    <row r="1837" spans="1:23" x14ac:dyDescent="0.2">
      <c r="A1837">
        <v>634</v>
      </c>
      <c r="B1837" t="s">
        <v>2165</v>
      </c>
      <c r="C1837" t="s">
        <v>2172</v>
      </c>
      <c r="D1837" s="1" t="s">
        <v>560</v>
      </c>
      <c r="E1837" t="s">
        <v>2167</v>
      </c>
      <c r="F1837" t="s">
        <v>1829</v>
      </c>
      <c r="G1837" s="4" t="s">
        <v>5425</v>
      </c>
      <c r="H1837" t="s">
        <v>2168</v>
      </c>
      <c r="I1837" t="s">
        <v>136</v>
      </c>
      <c r="J1837" s="4" t="s">
        <v>68</v>
      </c>
      <c r="K1837" t="s">
        <v>94</v>
      </c>
      <c r="L1837">
        <v>2</v>
      </c>
      <c r="M1837" t="s">
        <v>217</v>
      </c>
      <c r="N1837" t="s">
        <v>217</v>
      </c>
      <c r="O1837" t="s">
        <v>217</v>
      </c>
      <c r="P1837" s="2" t="str">
        <f t="shared" si="84"/>
        <v>02/12/2025 to 05/12/2025</v>
      </c>
      <c r="Q1837" s="3">
        <v>45997</v>
      </c>
      <c r="R1837" t="str">
        <f t="shared" si="85"/>
        <v>Late</v>
      </c>
      <c r="S1837" t="s">
        <v>723</v>
      </c>
      <c r="T1837">
        <v>20</v>
      </c>
      <c r="U1837" t="s">
        <v>65</v>
      </c>
      <c r="V1837" t="s">
        <v>72</v>
      </c>
      <c r="W1837" t="str">
        <f t="shared" ca="1" si="86"/>
        <v>Active</v>
      </c>
    </row>
    <row r="1838" spans="1:23" x14ac:dyDescent="0.2">
      <c r="A1838">
        <v>1289</v>
      </c>
      <c r="B1838" t="s">
        <v>3752</v>
      </c>
      <c r="C1838" t="s">
        <v>3753</v>
      </c>
      <c r="D1838" s="1" t="s">
        <v>224</v>
      </c>
      <c r="E1838" t="s">
        <v>3754</v>
      </c>
      <c r="F1838" t="s">
        <v>741</v>
      </c>
      <c r="G1838" s="4" t="s">
        <v>5428</v>
      </c>
      <c r="H1838" t="s">
        <v>3755</v>
      </c>
      <c r="I1838" t="s">
        <v>93</v>
      </c>
      <c r="J1838" s="4" t="s">
        <v>60</v>
      </c>
      <c r="K1838" t="s">
        <v>3756</v>
      </c>
      <c r="L1838">
        <v>3</v>
      </c>
      <c r="M1838" t="s">
        <v>563</v>
      </c>
      <c r="N1838" t="s">
        <v>563</v>
      </c>
      <c r="O1838" t="s">
        <v>567</v>
      </c>
      <c r="P1838" s="2" t="str">
        <f t="shared" si="84"/>
        <v>05/12/2025 to 10/12/2025</v>
      </c>
      <c r="Q1838" s="3">
        <v>45996</v>
      </c>
      <c r="R1838" t="str">
        <f t="shared" si="85"/>
        <v>On-Time</v>
      </c>
      <c r="S1838" t="s">
        <v>595</v>
      </c>
      <c r="T1838">
        <v>27.5</v>
      </c>
      <c r="U1838" t="s">
        <v>65</v>
      </c>
      <c r="V1838" t="s">
        <v>80</v>
      </c>
      <c r="W1838" t="str">
        <f t="shared" ca="1" si="86"/>
        <v>Active</v>
      </c>
    </row>
    <row r="1839" spans="1:23" x14ac:dyDescent="0.2">
      <c r="A1839">
        <v>1290</v>
      </c>
      <c r="B1839" t="s">
        <v>3752</v>
      </c>
      <c r="C1839" t="s">
        <v>3757</v>
      </c>
      <c r="D1839" s="1" t="s">
        <v>224</v>
      </c>
      <c r="E1839" t="s">
        <v>3754</v>
      </c>
      <c r="F1839" t="s">
        <v>741</v>
      </c>
      <c r="G1839" s="4" t="s">
        <v>5423</v>
      </c>
      <c r="H1839" t="s">
        <v>3755</v>
      </c>
      <c r="I1839" t="s">
        <v>93</v>
      </c>
      <c r="J1839" s="4" t="s">
        <v>68</v>
      </c>
      <c r="K1839" t="s">
        <v>438</v>
      </c>
      <c r="L1839">
        <v>2</v>
      </c>
      <c r="M1839" t="s">
        <v>224</v>
      </c>
      <c r="N1839" t="s">
        <v>564</v>
      </c>
      <c r="O1839" t="s">
        <v>224</v>
      </c>
      <c r="P1839" s="2" t="str">
        <f t="shared" si="84"/>
        <v>04/12/2025 to 09/12/2025</v>
      </c>
      <c r="Q1839" s="3">
        <v>45997</v>
      </c>
      <c r="R1839" t="str">
        <f t="shared" si="85"/>
        <v>On-Time</v>
      </c>
      <c r="S1839" t="s">
        <v>595</v>
      </c>
      <c r="T1839">
        <v>21</v>
      </c>
      <c r="U1839" t="s">
        <v>65</v>
      </c>
      <c r="V1839" t="s">
        <v>66</v>
      </c>
      <c r="W1839" t="str">
        <f t="shared" ca="1" si="86"/>
        <v>Active</v>
      </c>
    </row>
    <row r="1840" spans="1:23" x14ac:dyDescent="0.2">
      <c r="A1840">
        <v>140</v>
      </c>
      <c r="B1840" t="s">
        <v>718</v>
      </c>
      <c r="C1840" t="s">
        <v>719</v>
      </c>
      <c r="D1840" s="1" t="s">
        <v>564</v>
      </c>
      <c r="E1840" t="s">
        <v>720</v>
      </c>
      <c r="F1840" t="s">
        <v>536</v>
      </c>
      <c r="G1840" s="4" t="s">
        <v>5425</v>
      </c>
      <c r="H1840" t="s">
        <v>721</v>
      </c>
      <c r="I1840" t="s">
        <v>93</v>
      </c>
      <c r="J1840" s="4" t="s">
        <v>68</v>
      </c>
      <c r="K1840" t="s">
        <v>722</v>
      </c>
      <c r="L1840">
        <v>2</v>
      </c>
      <c r="M1840" t="s">
        <v>564</v>
      </c>
      <c r="N1840" t="s">
        <v>567</v>
      </c>
      <c r="O1840" t="s">
        <v>564</v>
      </c>
      <c r="P1840" s="2" t="str">
        <f t="shared" si="84"/>
        <v>08/12/2025 to 11/12/2025</v>
      </c>
      <c r="Q1840" s="3">
        <v>45998</v>
      </c>
      <c r="R1840" t="str">
        <f t="shared" si="85"/>
        <v>Late</v>
      </c>
      <c r="S1840" t="s">
        <v>724</v>
      </c>
      <c r="T1840">
        <v>17</v>
      </c>
      <c r="U1840" t="s">
        <v>65</v>
      </c>
      <c r="V1840" t="s">
        <v>66</v>
      </c>
      <c r="W1840" t="str">
        <f t="shared" ca="1" si="86"/>
        <v>Active</v>
      </c>
    </row>
    <row r="1841" spans="1:23" x14ac:dyDescent="0.2">
      <c r="A1841">
        <v>141</v>
      </c>
      <c r="B1841" t="s">
        <v>718</v>
      </c>
      <c r="C1841" t="s">
        <v>725</v>
      </c>
      <c r="D1841" s="1" t="s">
        <v>564</v>
      </c>
      <c r="E1841" t="s">
        <v>720</v>
      </c>
      <c r="F1841" t="s">
        <v>536</v>
      </c>
      <c r="G1841" s="4" t="s">
        <v>5426</v>
      </c>
      <c r="H1841" t="s">
        <v>721</v>
      </c>
      <c r="I1841" t="s">
        <v>93</v>
      </c>
      <c r="J1841" s="4" t="s">
        <v>68</v>
      </c>
      <c r="K1841" t="s">
        <v>726</v>
      </c>
      <c r="L1841">
        <v>3</v>
      </c>
      <c r="M1841" t="s">
        <v>564</v>
      </c>
      <c r="N1841" t="s">
        <v>727</v>
      </c>
      <c r="O1841" t="s">
        <v>727</v>
      </c>
      <c r="P1841" s="2" t="str">
        <f t="shared" si="84"/>
        <v>08/12/2025 to 11/12/2025</v>
      </c>
      <c r="Q1841" s="3">
        <v>45998</v>
      </c>
      <c r="R1841" t="str">
        <f t="shared" si="85"/>
        <v>Late</v>
      </c>
      <c r="S1841" t="s">
        <v>728</v>
      </c>
      <c r="T1841">
        <v>25</v>
      </c>
      <c r="U1841" t="s">
        <v>79</v>
      </c>
      <c r="V1841" t="s">
        <v>72</v>
      </c>
      <c r="W1841" t="str">
        <f t="shared" ca="1" si="86"/>
        <v>Active</v>
      </c>
    </row>
    <row r="1842" spans="1:23" x14ac:dyDescent="0.2">
      <c r="A1842">
        <v>142</v>
      </c>
      <c r="B1842" t="s">
        <v>718</v>
      </c>
      <c r="C1842" t="s">
        <v>729</v>
      </c>
      <c r="D1842" s="1" t="s">
        <v>564</v>
      </c>
      <c r="E1842" t="s">
        <v>720</v>
      </c>
      <c r="F1842" t="s">
        <v>536</v>
      </c>
      <c r="G1842" s="4" t="s">
        <v>5418</v>
      </c>
      <c r="H1842" t="s">
        <v>721</v>
      </c>
      <c r="I1842" t="s">
        <v>93</v>
      </c>
      <c r="J1842" s="4" t="s">
        <v>68</v>
      </c>
      <c r="K1842" t="s">
        <v>730</v>
      </c>
      <c r="L1842">
        <v>2</v>
      </c>
      <c r="M1842" t="s">
        <v>564</v>
      </c>
      <c r="N1842" t="s">
        <v>567</v>
      </c>
      <c r="O1842" t="s">
        <v>727</v>
      </c>
      <c r="P1842" s="2" t="str">
        <f t="shared" si="84"/>
        <v>08/12/2025 to 11/12/2025</v>
      </c>
      <c r="Q1842" s="3">
        <v>46000</v>
      </c>
      <c r="R1842" t="str">
        <f t="shared" si="85"/>
        <v>On-Time</v>
      </c>
      <c r="S1842" t="s">
        <v>731</v>
      </c>
      <c r="T1842">
        <v>17.5</v>
      </c>
      <c r="U1842" t="s">
        <v>79</v>
      </c>
      <c r="V1842" t="s">
        <v>80</v>
      </c>
      <c r="W1842" t="str">
        <f t="shared" ca="1" si="86"/>
        <v>Active</v>
      </c>
    </row>
    <row r="1843" spans="1:23" x14ac:dyDescent="0.2">
      <c r="A1843">
        <v>922</v>
      </c>
      <c r="B1843" t="s">
        <v>2869</v>
      </c>
      <c r="C1843" t="s">
        <v>2870</v>
      </c>
      <c r="D1843" s="1" t="s">
        <v>567</v>
      </c>
      <c r="E1843" t="s">
        <v>2871</v>
      </c>
      <c r="F1843" t="s">
        <v>159</v>
      </c>
      <c r="G1843" s="4" t="s">
        <v>5426</v>
      </c>
      <c r="H1843" t="s">
        <v>2872</v>
      </c>
      <c r="I1843" t="s">
        <v>201</v>
      </c>
      <c r="J1843" s="4" t="s">
        <v>5417</v>
      </c>
      <c r="K1843" t="s">
        <v>4</v>
      </c>
      <c r="L1843">
        <v>1</v>
      </c>
      <c r="M1843" t="s">
        <v>1393</v>
      </c>
      <c r="N1843" t="s">
        <v>589</v>
      </c>
      <c r="O1843" t="s">
        <v>1393</v>
      </c>
      <c r="P1843" s="2" t="str">
        <f t="shared" si="84"/>
        <v>09/12/2025 to 12/12/2025</v>
      </c>
      <c r="Q1843" s="3">
        <v>46002</v>
      </c>
      <c r="R1843" t="str">
        <f t="shared" si="85"/>
        <v>On-Time</v>
      </c>
      <c r="S1843" t="s">
        <v>177</v>
      </c>
      <c r="T1843">
        <v>8</v>
      </c>
      <c r="U1843" t="s">
        <v>65</v>
      </c>
      <c r="V1843" t="s">
        <v>66</v>
      </c>
      <c r="W1843" t="str">
        <f t="shared" ca="1" si="86"/>
        <v>Active</v>
      </c>
    </row>
    <row r="1844" spans="1:23" x14ac:dyDescent="0.2">
      <c r="A1844">
        <v>923</v>
      </c>
      <c r="B1844" t="s">
        <v>2869</v>
      </c>
      <c r="C1844" t="s">
        <v>2873</v>
      </c>
      <c r="D1844" s="1" t="s">
        <v>567</v>
      </c>
      <c r="E1844" t="s">
        <v>2871</v>
      </c>
      <c r="F1844" t="s">
        <v>159</v>
      </c>
      <c r="G1844" s="4" t="s">
        <v>5427</v>
      </c>
      <c r="H1844" t="s">
        <v>2872</v>
      </c>
      <c r="I1844" t="s">
        <v>201</v>
      </c>
      <c r="J1844" s="4" t="s">
        <v>60</v>
      </c>
      <c r="K1844" t="s">
        <v>2874</v>
      </c>
      <c r="L1844">
        <v>3</v>
      </c>
      <c r="M1844" t="s">
        <v>567</v>
      </c>
      <c r="N1844" t="s">
        <v>727</v>
      </c>
      <c r="O1844" t="s">
        <v>1393</v>
      </c>
      <c r="P1844" s="2" t="str">
        <f t="shared" si="84"/>
        <v>09/12/2025 to 12/12/2025</v>
      </c>
      <c r="Q1844" s="3">
        <v>46002</v>
      </c>
      <c r="R1844" t="str">
        <f t="shared" si="85"/>
        <v>On-Time</v>
      </c>
      <c r="S1844" t="s">
        <v>177</v>
      </c>
      <c r="T1844">
        <v>31.5</v>
      </c>
      <c r="U1844" t="s">
        <v>79</v>
      </c>
      <c r="V1844" t="s">
        <v>72</v>
      </c>
      <c r="W1844" t="str">
        <f t="shared" ca="1" si="86"/>
        <v>Active</v>
      </c>
    </row>
    <row r="1845" spans="1:23" x14ac:dyDescent="0.2">
      <c r="A1845">
        <v>924</v>
      </c>
      <c r="B1845" t="s">
        <v>2869</v>
      </c>
      <c r="C1845" t="s">
        <v>2875</v>
      </c>
      <c r="D1845" s="1" t="s">
        <v>567</v>
      </c>
      <c r="E1845" t="s">
        <v>2871</v>
      </c>
      <c r="F1845" t="s">
        <v>159</v>
      </c>
      <c r="G1845" s="4" t="s">
        <v>5423</v>
      </c>
      <c r="H1845" t="s">
        <v>2872</v>
      </c>
      <c r="I1845" t="s">
        <v>201</v>
      </c>
      <c r="J1845" s="4" t="s">
        <v>5417</v>
      </c>
      <c r="K1845" t="s">
        <v>10</v>
      </c>
      <c r="L1845">
        <v>1</v>
      </c>
      <c r="M1845" t="s">
        <v>1393</v>
      </c>
      <c r="N1845" t="s">
        <v>589</v>
      </c>
      <c r="O1845" t="s">
        <v>695</v>
      </c>
      <c r="P1845" s="2" t="str">
        <f t="shared" si="84"/>
        <v>09/12/2025 to 12/12/2025</v>
      </c>
      <c r="Q1845" s="3">
        <v>45999</v>
      </c>
      <c r="R1845" t="str">
        <f t="shared" si="85"/>
        <v>Late</v>
      </c>
      <c r="S1845" t="s">
        <v>724</v>
      </c>
      <c r="T1845">
        <v>10</v>
      </c>
      <c r="U1845" t="s">
        <v>65</v>
      </c>
      <c r="V1845" t="s">
        <v>80</v>
      </c>
      <c r="W1845" t="str">
        <f t="shared" ca="1" si="86"/>
        <v>Active</v>
      </c>
    </row>
    <row r="1846" spans="1:23" x14ac:dyDescent="0.2">
      <c r="A1846">
        <v>1133</v>
      </c>
      <c r="B1846" t="s">
        <v>3387</v>
      </c>
      <c r="C1846" t="s">
        <v>3388</v>
      </c>
      <c r="D1846" s="1" t="s">
        <v>567</v>
      </c>
      <c r="E1846" t="s">
        <v>3389</v>
      </c>
      <c r="F1846" t="s">
        <v>1267</v>
      </c>
      <c r="G1846" s="4" t="s">
        <v>5422</v>
      </c>
      <c r="H1846" t="s">
        <v>3390</v>
      </c>
      <c r="I1846" t="s">
        <v>112</v>
      </c>
      <c r="J1846" s="4" t="s">
        <v>5417</v>
      </c>
      <c r="K1846" t="s">
        <v>18</v>
      </c>
      <c r="L1846">
        <v>1</v>
      </c>
      <c r="M1846" t="s">
        <v>1393</v>
      </c>
      <c r="N1846" t="s">
        <v>589</v>
      </c>
      <c r="O1846" t="s">
        <v>695</v>
      </c>
      <c r="P1846" s="2" t="str">
        <f t="shared" si="84"/>
        <v>09/12/2025 to 12/12/2025</v>
      </c>
      <c r="Q1846" s="3">
        <v>46003</v>
      </c>
      <c r="R1846" t="str">
        <f t="shared" si="85"/>
        <v>On-Time</v>
      </c>
      <c r="S1846" t="s">
        <v>1111</v>
      </c>
      <c r="T1846">
        <v>8.5</v>
      </c>
      <c r="U1846" t="s">
        <v>65</v>
      </c>
      <c r="V1846" t="s">
        <v>80</v>
      </c>
      <c r="W1846" t="str">
        <f t="shared" ca="1" si="86"/>
        <v>Active</v>
      </c>
    </row>
    <row r="1847" spans="1:23" x14ac:dyDescent="0.2">
      <c r="A1847">
        <v>1371</v>
      </c>
      <c r="B1847" t="s">
        <v>3949</v>
      </c>
      <c r="C1847" t="s">
        <v>3950</v>
      </c>
      <c r="D1847" s="1" t="s">
        <v>567</v>
      </c>
      <c r="E1847" t="s">
        <v>3951</v>
      </c>
      <c r="F1847" t="s">
        <v>1267</v>
      </c>
      <c r="G1847" s="4" t="s">
        <v>5423</v>
      </c>
      <c r="H1847" t="s">
        <v>2080</v>
      </c>
      <c r="I1847" t="s">
        <v>59</v>
      </c>
      <c r="J1847" s="4" t="s">
        <v>5417</v>
      </c>
      <c r="K1847" t="s">
        <v>3952</v>
      </c>
      <c r="L1847">
        <v>4</v>
      </c>
      <c r="M1847" t="s">
        <v>1393</v>
      </c>
      <c r="N1847" t="s">
        <v>589</v>
      </c>
      <c r="O1847" t="s">
        <v>589</v>
      </c>
      <c r="P1847" s="2" t="str">
        <f t="shared" si="84"/>
        <v>09/12/2025 to 12/12/2025</v>
      </c>
      <c r="Q1847" s="3">
        <v>46003</v>
      </c>
      <c r="R1847" t="str">
        <f t="shared" si="85"/>
        <v>On-Time</v>
      </c>
      <c r="S1847" t="s">
        <v>177</v>
      </c>
      <c r="T1847">
        <v>35.5</v>
      </c>
      <c r="U1847" t="s">
        <v>65</v>
      </c>
      <c r="V1847" t="s">
        <v>72</v>
      </c>
      <c r="W1847" t="str">
        <f t="shared" ca="1" si="86"/>
        <v>Active</v>
      </c>
    </row>
    <row r="1848" spans="1:23" x14ac:dyDescent="0.2">
      <c r="A1848">
        <v>1368</v>
      </c>
      <c r="B1848" t="s">
        <v>3944</v>
      </c>
      <c r="C1848" t="s">
        <v>3945</v>
      </c>
      <c r="D1848" s="1" t="s">
        <v>727</v>
      </c>
      <c r="E1848" t="s">
        <v>3946</v>
      </c>
      <c r="F1848" t="s">
        <v>303</v>
      </c>
      <c r="G1848" s="4" t="s">
        <v>5421</v>
      </c>
      <c r="H1848" t="s">
        <v>769</v>
      </c>
      <c r="I1848" t="s">
        <v>201</v>
      </c>
      <c r="J1848" s="4" t="s">
        <v>68</v>
      </c>
      <c r="K1848" t="s">
        <v>1124</v>
      </c>
      <c r="L1848">
        <v>2</v>
      </c>
      <c r="M1848" t="s">
        <v>695</v>
      </c>
      <c r="N1848" t="s">
        <v>589</v>
      </c>
      <c r="O1848" t="s">
        <v>592</v>
      </c>
      <c r="P1848" s="2" t="str">
        <f t="shared" si="84"/>
        <v>10/12/2025 to 15/12/2025</v>
      </c>
      <c r="Q1848" s="3">
        <v>46001</v>
      </c>
      <c r="R1848" t="str">
        <f t="shared" si="85"/>
        <v>On-Time</v>
      </c>
      <c r="S1848" t="s">
        <v>1111</v>
      </c>
      <c r="T1848">
        <v>15.5</v>
      </c>
      <c r="U1848" t="s">
        <v>65</v>
      </c>
      <c r="V1848" t="s">
        <v>80</v>
      </c>
      <c r="W1848" t="str">
        <f t="shared" ca="1" si="86"/>
        <v>Active</v>
      </c>
    </row>
    <row r="1849" spans="1:23" x14ac:dyDescent="0.2">
      <c r="A1849">
        <v>1369</v>
      </c>
      <c r="B1849" t="s">
        <v>3944</v>
      </c>
      <c r="C1849" t="s">
        <v>3947</v>
      </c>
      <c r="D1849" s="1" t="s">
        <v>727</v>
      </c>
      <c r="E1849" t="s">
        <v>3946</v>
      </c>
      <c r="F1849" t="s">
        <v>303</v>
      </c>
      <c r="G1849" s="4" t="s">
        <v>5426</v>
      </c>
      <c r="H1849" t="s">
        <v>769</v>
      </c>
      <c r="I1849" t="s">
        <v>201</v>
      </c>
      <c r="J1849" s="4" t="s">
        <v>5417</v>
      </c>
      <c r="K1849" t="s">
        <v>20</v>
      </c>
      <c r="L1849">
        <v>1</v>
      </c>
      <c r="M1849" t="s">
        <v>1393</v>
      </c>
      <c r="N1849" t="s">
        <v>1393</v>
      </c>
      <c r="O1849" t="s">
        <v>1393</v>
      </c>
      <c r="P1849" s="2" t="str">
        <f t="shared" si="84"/>
        <v>09/12/2025 to 12/12/2025</v>
      </c>
      <c r="Q1849" s="3">
        <v>46000</v>
      </c>
      <c r="R1849" t="str">
        <f t="shared" si="85"/>
        <v>On-Time</v>
      </c>
      <c r="S1849" t="s">
        <v>724</v>
      </c>
      <c r="T1849">
        <v>10.5</v>
      </c>
      <c r="U1849" t="s">
        <v>65</v>
      </c>
      <c r="V1849" t="s">
        <v>72</v>
      </c>
      <c r="W1849" t="str">
        <f t="shared" ca="1" si="86"/>
        <v>Active</v>
      </c>
    </row>
    <row r="1850" spans="1:23" x14ac:dyDescent="0.2">
      <c r="A1850">
        <v>1370</v>
      </c>
      <c r="B1850" t="s">
        <v>3944</v>
      </c>
      <c r="C1850" t="s">
        <v>3948</v>
      </c>
      <c r="D1850" s="1" t="s">
        <v>727</v>
      </c>
      <c r="E1850" t="s">
        <v>3946</v>
      </c>
      <c r="F1850" t="s">
        <v>303</v>
      </c>
      <c r="G1850" s="4" t="s">
        <v>5427</v>
      </c>
      <c r="H1850" t="s">
        <v>769</v>
      </c>
      <c r="I1850" t="s">
        <v>201</v>
      </c>
      <c r="J1850" s="4" t="s">
        <v>5417</v>
      </c>
      <c r="K1850" t="s">
        <v>918</v>
      </c>
      <c r="L1850">
        <v>2</v>
      </c>
      <c r="M1850" t="s">
        <v>727</v>
      </c>
      <c r="N1850" t="s">
        <v>695</v>
      </c>
      <c r="O1850" t="s">
        <v>695</v>
      </c>
      <c r="P1850" s="2" t="str">
        <f t="shared" si="84"/>
        <v>09/12/2025 to 12/12/2025</v>
      </c>
      <c r="Q1850" s="3">
        <v>46001</v>
      </c>
      <c r="R1850" t="str">
        <f t="shared" si="85"/>
        <v>On-Time</v>
      </c>
      <c r="S1850" t="s">
        <v>731</v>
      </c>
      <c r="T1850">
        <v>24</v>
      </c>
      <c r="U1850" t="s">
        <v>79</v>
      </c>
      <c r="V1850" t="s">
        <v>80</v>
      </c>
      <c r="W1850" t="str">
        <f t="shared" ca="1" si="86"/>
        <v>Active</v>
      </c>
    </row>
    <row r="1851" spans="1:23" x14ac:dyDescent="0.2">
      <c r="A1851">
        <v>1918</v>
      </c>
      <c r="B1851" t="s">
        <v>5219</v>
      </c>
      <c r="C1851" t="s">
        <v>5220</v>
      </c>
      <c r="D1851" s="1" t="s">
        <v>1393</v>
      </c>
      <c r="E1851" t="s">
        <v>5221</v>
      </c>
      <c r="F1851" t="s">
        <v>1723</v>
      </c>
      <c r="G1851" s="4" t="s">
        <v>5421</v>
      </c>
      <c r="H1851" t="s">
        <v>4560</v>
      </c>
      <c r="I1851" t="s">
        <v>136</v>
      </c>
      <c r="J1851" s="4" t="s">
        <v>74</v>
      </c>
      <c r="K1851" t="s">
        <v>20</v>
      </c>
      <c r="L1851">
        <v>1</v>
      </c>
      <c r="M1851" t="s">
        <v>589</v>
      </c>
      <c r="N1851" t="s">
        <v>592</v>
      </c>
      <c r="O1851" t="s">
        <v>592</v>
      </c>
      <c r="P1851" s="2" t="str">
        <f t="shared" si="84"/>
        <v>11/12/2025 to 16/12/2025</v>
      </c>
      <c r="Q1851" s="3">
        <v>46002</v>
      </c>
      <c r="R1851" t="str">
        <f t="shared" si="85"/>
        <v>On-Time</v>
      </c>
      <c r="S1851" t="s">
        <v>1099</v>
      </c>
      <c r="T1851">
        <v>10.5</v>
      </c>
      <c r="U1851" t="s">
        <v>79</v>
      </c>
      <c r="V1851" t="s">
        <v>72</v>
      </c>
      <c r="W1851" t="str">
        <f t="shared" ca="1" si="86"/>
        <v>Active</v>
      </c>
    </row>
    <row r="1852" spans="1:23" x14ac:dyDescent="0.2">
      <c r="A1852">
        <v>1919</v>
      </c>
      <c r="B1852" t="s">
        <v>5219</v>
      </c>
      <c r="C1852" t="s">
        <v>5222</v>
      </c>
      <c r="D1852" s="1" t="s">
        <v>1393</v>
      </c>
      <c r="E1852" t="s">
        <v>5221</v>
      </c>
      <c r="F1852" t="s">
        <v>1723</v>
      </c>
      <c r="G1852" s="4" t="s">
        <v>5427</v>
      </c>
      <c r="H1852" t="s">
        <v>4560</v>
      </c>
      <c r="I1852" t="s">
        <v>136</v>
      </c>
      <c r="J1852" s="4" t="s">
        <v>68</v>
      </c>
      <c r="K1852" t="s">
        <v>14</v>
      </c>
      <c r="L1852">
        <v>1</v>
      </c>
      <c r="M1852" t="s">
        <v>1393</v>
      </c>
      <c r="N1852" t="s">
        <v>1393</v>
      </c>
      <c r="O1852" t="s">
        <v>1393</v>
      </c>
      <c r="P1852" s="2" t="str">
        <f t="shared" si="84"/>
        <v>09/12/2025 to 12/12/2025</v>
      </c>
      <c r="Q1852" s="3">
        <v>46003</v>
      </c>
      <c r="R1852" t="str">
        <f t="shared" si="85"/>
        <v>On-Time</v>
      </c>
      <c r="S1852" t="s">
        <v>181</v>
      </c>
      <c r="T1852">
        <v>9.5</v>
      </c>
      <c r="U1852" t="s">
        <v>65</v>
      </c>
      <c r="V1852" t="s">
        <v>66</v>
      </c>
      <c r="W1852" t="str">
        <f t="shared" ca="1" si="86"/>
        <v>Active</v>
      </c>
    </row>
    <row r="1853" spans="1:23" x14ac:dyDescent="0.2">
      <c r="A1853">
        <v>107</v>
      </c>
      <c r="B1853" t="s">
        <v>587</v>
      </c>
      <c r="C1853" t="s">
        <v>588</v>
      </c>
      <c r="D1853" s="1" t="s">
        <v>589</v>
      </c>
      <c r="E1853" t="s">
        <v>590</v>
      </c>
      <c r="F1853" t="s">
        <v>424</v>
      </c>
      <c r="G1853" s="4" t="s">
        <v>5425</v>
      </c>
      <c r="H1853" t="s">
        <v>591</v>
      </c>
      <c r="I1853" t="s">
        <v>201</v>
      </c>
      <c r="J1853" s="4" t="s">
        <v>60</v>
      </c>
      <c r="K1853" t="s">
        <v>4</v>
      </c>
      <c r="L1853">
        <v>1</v>
      </c>
      <c r="M1853" t="s">
        <v>592</v>
      </c>
      <c r="N1853" t="s">
        <v>592</v>
      </c>
      <c r="O1853" t="s">
        <v>593</v>
      </c>
      <c r="P1853" s="2" t="str">
        <f t="shared" si="84"/>
        <v>12/12/2025 to 17/12/2025</v>
      </c>
      <c r="Q1853" s="3">
        <v>46006</v>
      </c>
      <c r="R1853" t="str">
        <f t="shared" si="85"/>
        <v>On-Time</v>
      </c>
      <c r="S1853" t="s">
        <v>191</v>
      </c>
      <c r="T1853">
        <v>8</v>
      </c>
      <c r="U1853" t="s">
        <v>65</v>
      </c>
      <c r="V1853" t="s">
        <v>66</v>
      </c>
      <c r="W1853" t="str">
        <f t="shared" ca="1" si="86"/>
        <v>Active</v>
      </c>
    </row>
    <row r="1854" spans="1:23" x14ac:dyDescent="0.2">
      <c r="A1854">
        <v>108</v>
      </c>
      <c r="B1854" t="s">
        <v>587</v>
      </c>
      <c r="C1854" t="s">
        <v>594</v>
      </c>
      <c r="D1854" s="1" t="s">
        <v>589</v>
      </c>
      <c r="E1854" t="s">
        <v>590</v>
      </c>
      <c r="F1854" t="s">
        <v>424</v>
      </c>
      <c r="G1854" s="4" t="s">
        <v>5420</v>
      </c>
      <c r="H1854" t="s">
        <v>591</v>
      </c>
      <c r="I1854" t="s">
        <v>201</v>
      </c>
      <c r="J1854" s="4" t="s">
        <v>74</v>
      </c>
      <c r="K1854" t="s">
        <v>454</v>
      </c>
      <c r="L1854">
        <v>2</v>
      </c>
      <c r="M1854" t="s">
        <v>593</v>
      </c>
      <c r="N1854" t="s">
        <v>595</v>
      </c>
      <c r="O1854" t="s">
        <v>595</v>
      </c>
      <c r="P1854" s="2" t="str">
        <f t="shared" si="84"/>
        <v>15/12/2025 to 18/12/2025</v>
      </c>
      <c r="Q1854" s="3">
        <v>46007</v>
      </c>
      <c r="R1854" t="str">
        <f t="shared" si="85"/>
        <v>On-Time</v>
      </c>
      <c r="S1854" t="s">
        <v>596</v>
      </c>
      <c r="T1854">
        <v>22</v>
      </c>
      <c r="U1854" t="s">
        <v>79</v>
      </c>
      <c r="V1854" t="s">
        <v>80</v>
      </c>
      <c r="W1854" t="str">
        <f t="shared" ca="1" si="86"/>
        <v>Active</v>
      </c>
    </row>
    <row r="1855" spans="1:23" x14ac:dyDescent="0.2">
      <c r="A1855">
        <v>746</v>
      </c>
      <c r="B1855" t="s">
        <v>2443</v>
      </c>
      <c r="C1855" t="s">
        <v>2444</v>
      </c>
      <c r="D1855" s="1" t="s">
        <v>589</v>
      </c>
      <c r="E1855" t="s">
        <v>2445</v>
      </c>
      <c r="F1855" t="s">
        <v>286</v>
      </c>
      <c r="G1855" s="4" t="s">
        <v>5427</v>
      </c>
      <c r="H1855" t="s">
        <v>930</v>
      </c>
      <c r="I1855" t="s">
        <v>93</v>
      </c>
      <c r="J1855" s="4" t="s">
        <v>74</v>
      </c>
      <c r="K1855" t="s">
        <v>2446</v>
      </c>
      <c r="L1855">
        <v>2</v>
      </c>
      <c r="M1855" t="s">
        <v>589</v>
      </c>
      <c r="N1855" t="s">
        <v>589</v>
      </c>
      <c r="O1855" t="s">
        <v>593</v>
      </c>
      <c r="P1855" s="2" t="str">
        <f t="shared" si="84"/>
        <v>11/12/2025 to 16/12/2025</v>
      </c>
      <c r="Q1855" s="3">
        <v>46005</v>
      </c>
      <c r="R1855" t="str">
        <f t="shared" si="85"/>
        <v>On-Time</v>
      </c>
      <c r="S1855" t="s">
        <v>181</v>
      </c>
      <c r="T1855">
        <v>16.5</v>
      </c>
      <c r="U1855" t="s">
        <v>65</v>
      </c>
      <c r="V1855" t="s">
        <v>66</v>
      </c>
      <c r="W1855" t="str">
        <f t="shared" ca="1" si="86"/>
        <v>Active</v>
      </c>
    </row>
    <row r="1856" spans="1:23" x14ac:dyDescent="0.2">
      <c r="A1856">
        <v>747</v>
      </c>
      <c r="B1856" t="s">
        <v>2443</v>
      </c>
      <c r="C1856" t="s">
        <v>2447</v>
      </c>
      <c r="D1856" s="1" t="s">
        <v>589</v>
      </c>
      <c r="E1856" t="s">
        <v>2445</v>
      </c>
      <c r="F1856" t="s">
        <v>286</v>
      </c>
      <c r="G1856" s="4" t="s">
        <v>5419</v>
      </c>
      <c r="H1856" t="s">
        <v>930</v>
      </c>
      <c r="I1856" t="s">
        <v>93</v>
      </c>
      <c r="J1856" s="4" t="s">
        <v>68</v>
      </c>
      <c r="K1856" t="s">
        <v>22</v>
      </c>
      <c r="L1856">
        <v>1</v>
      </c>
      <c r="M1856" t="s">
        <v>593</v>
      </c>
      <c r="N1856" t="s">
        <v>593</v>
      </c>
      <c r="O1856" t="s">
        <v>595</v>
      </c>
      <c r="P1856" s="2" t="str">
        <f t="shared" si="84"/>
        <v>15/12/2025 to 18/12/2025</v>
      </c>
      <c r="Q1856" s="3">
        <v>46007</v>
      </c>
      <c r="R1856" t="str">
        <f t="shared" si="85"/>
        <v>On-Time</v>
      </c>
      <c r="S1856" t="s">
        <v>596</v>
      </c>
      <c r="T1856">
        <v>8</v>
      </c>
      <c r="U1856" t="s">
        <v>65</v>
      </c>
      <c r="V1856" t="s">
        <v>80</v>
      </c>
      <c r="W1856" t="str">
        <f t="shared" ca="1" si="86"/>
        <v>Active</v>
      </c>
    </row>
    <row r="1857" spans="1:23" x14ac:dyDescent="0.2">
      <c r="A1857">
        <v>748</v>
      </c>
      <c r="B1857" t="s">
        <v>2443</v>
      </c>
      <c r="C1857" t="s">
        <v>2448</v>
      </c>
      <c r="D1857" s="1" t="s">
        <v>589</v>
      </c>
      <c r="E1857" t="s">
        <v>2445</v>
      </c>
      <c r="F1857" t="s">
        <v>286</v>
      </c>
      <c r="G1857" s="4" t="s">
        <v>5427</v>
      </c>
      <c r="H1857" t="s">
        <v>930</v>
      </c>
      <c r="I1857" t="s">
        <v>93</v>
      </c>
      <c r="J1857" s="4" t="s">
        <v>74</v>
      </c>
      <c r="K1857" t="s">
        <v>548</v>
      </c>
      <c r="L1857">
        <v>2</v>
      </c>
      <c r="M1857" t="s">
        <v>593</v>
      </c>
      <c r="N1857" t="s">
        <v>1011</v>
      </c>
      <c r="O1857" t="s">
        <v>595</v>
      </c>
      <c r="P1857" s="2" t="str">
        <f t="shared" si="84"/>
        <v>15/12/2025 to 18/12/2025</v>
      </c>
      <c r="Q1857" s="3">
        <v>46005</v>
      </c>
      <c r="R1857" t="str">
        <f t="shared" si="85"/>
        <v>Late</v>
      </c>
      <c r="S1857" t="s">
        <v>181</v>
      </c>
      <c r="T1857">
        <v>16.5</v>
      </c>
      <c r="U1857" t="s">
        <v>79</v>
      </c>
      <c r="V1857" t="s">
        <v>80</v>
      </c>
      <c r="W1857" t="str">
        <f t="shared" ca="1" si="86"/>
        <v>Active</v>
      </c>
    </row>
    <row r="1858" spans="1:23" x14ac:dyDescent="0.2">
      <c r="A1858">
        <v>749</v>
      </c>
      <c r="B1858" t="s">
        <v>2443</v>
      </c>
      <c r="C1858" t="s">
        <v>2449</v>
      </c>
      <c r="D1858" s="1" t="s">
        <v>589</v>
      </c>
      <c r="E1858" t="s">
        <v>2445</v>
      </c>
      <c r="F1858" t="s">
        <v>286</v>
      </c>
      <c r="G1858" s="4" t="s">
        <v>5422</v>
      </c>
      <c r="H1858" t="s">
        <v>930</v>
      </c>
      <c r="I1858" t="s">
        <v>93</v>
      </c>
      <c r="J1858" s="4" t="s">
        <v>74</v>
      </c>
      <c r="K1858" t="s">
        <v>2450</v>
      </c>
      <c r="L1858">
        <v>4</v>
      </c>
      <c r="M1858" t="s">
        <v>592</v>
      </c>
      <c r="N1858" t="s">
        <v>1011</v>
      </c>
      <c r="O1858" t="s">
        <v>1011</v>
      </c>
      <c r="P1858" s="2" t="str">
        <f t="shared" ref="P1858:P1921" si="87">IF(ISBLANK(M1858), "", TEXT(WORKDAY(M1858, 7), "dd/mm/yyyy") &amp; " to " &amp; TEXT(WORKDAY(M1858, 10), "dd/mm/yyyy"))</f>
        <v>12/12/2025 to 17/12/2025</v>
      </c>
      <c r="Q1858" s="3">
        <v>46004</v>
      </c>
      <c r="R1858" t="str">
        <f t="shared" ref="R1858:R1921" si="88">IF(Q1858="","In Progress",
IF(AND(--Q1858&gt;=DATEVALUE(LEFT(P1858,10)),
       --Q1858&lt;=DATEVALUE(TRIM(MID(P1858,FIND("to",P1858)+3,10)))),
   "On-Time","Late"))</f>
        <v>On-Time</v>
      </c>
      <c r="S1858" t="s">
        <v>181</v>
      </c>
      <c r="T1858">
        <v>41.5</v>
      </c>
      <c r="U1858" t="s">
        <v>65</v>
      </c>
      <c r="V1858" t="s">
        <v>66</v>
      </c>
      <c r="W1858" t="str">
        <f t="shared" ca="1" si="86"/>
        <v>Active</v>
      </c>
    </row>
    <row r="1859" spans="1:23" x14ac:dyDescent="0.2">
      <c r="A1859">
        <v>984</v>
      </c>
      <c r="B1859" t="s">
        <v>3027</v>
      </c>
      <c r="C1859" t="s">
        <v>3028</v>
      </c>
      <c r="D1859" s="1" t="s">
        <v>589</v>
      </c>
      <c r="E1859" t="s">
        <v>3029</v>
      </c>
      <c r="F1859" t="s">
        <v>803</v>
      </c>
      <c r="G1859" s="4" t="s">
        <v>38</v>
      </c>
      <c r="H1859" t="s">
        <v>2019</v>
      </c>
      <c r="I1859" t="s">
        <v>201</v>
      </c>
      <c r="J1859" s="4" t="s">
        <v>68</v>
      </c>
      <c r="K1859" t="s">
        <v>3030</v>
      </c>
      <c r="L1859">
        <v>4</v>
      </c>
      <c r="M1859" t="s">
        <v>593</v>
      </c>
      <c r="N1859" t="s">
        <v>593</v>
      </c>
      <c r="O1859" t="s">
        <v>1011</v>
      </c>
      <c r="P1859" s="2" t="str">
        <f t="shared" si="87"/>
        <v>15/12/2025 to 18/12/2025</v>
      </c>
      <c r="Q1859" s="3">
        <v>46007</v>
      </c>
      <c r="R1859" t="str">
        <f t="shared" si="88"/>
        <v>On-Time</v>
      </c>
      <c r="S1859" t="s">
        <v>191</v>
      </c>
      <c r="T1859">
        <v>36.5</v>
      </c>
      <c r="U1859" t="s">
        <v>79</v>
      </c>
      <c r="V1859" t="s">
        <v>72</v>
      </c>
      <c r="W1859" t="str">
        <f t="shared" ref="W1859:W1922" ca="1" si="89">IF(D1859="","",
IF(TODAY()-D1859&lt;=120,"Active",
IF(TODAY()-D1859&lt;=210,"At Risk",
IF(TODAY()-D1859&lt;=395,"Dormant",
IF(TODAY()-D1859&lt;=730,"Inactive","Archived")))))</f>
        <v>Active</v>
      </c>
    </row>
    <row r="1860" spans="1:23" x14ac:dyDescent="0.2">
      <c r="A1860">
        <v>985</v>
      </c>
      <c r="B1860" t="s">
        <v>3027</v>
      </c>
      <c r="C1860" t="s">
        <v>3031</v>
      </c>
      <c r="D1860" s="1" t="s">
        <v>589</v>
      </c>
      <c r="E1860" t="s">
        <v>3029</v>
      </c>
      <c r="F1860" t="s">
        <v>803</v>
      </c>
      <c r="G1860" s="4" t="s">
        <v>5418</v>
      </c>
      <c r="H1860" t="s">
        <v>2019</v>
      </c>
      <c r="I1860" t="s">
        <v>201</v>
      </c>
      <c r="J1860" s="4" t="s">
        <v>68</v>
      </c>
      <c r="K1860" t="s">
        <v>3032</v>
      </c>
      <c r="L1860">
        <v>4</v>
      </c>
      <c r="M1860" t="s">
        <v>592</v>
      </c>
      <c r="N1860" t="s">
        <v>1011</v>
      </c>
      <c r="O1860" t="s">
        <v>593</v>
      </c>
      <c r="P1860" s="2" t="str">
        <f t="shared" si="87"/>
        <v>12/12/2025 to 17/12/2025</v>
      </c>
      <c r="Q1860" s="3">
        <v>46004</v>
      </c>
      <c r="R1860" t="str">
        <f t="shared" si="88"/>
        <v>On-Time</v>
      </c>
      <c r="S1860" t="s">
        <v>182</v>
      </c>
      <c r="T1860">
        <v>42</v>
      </c>
      <c r="U1860" t="s">
        <v>65</v>
      </c>
      <c r="V1860" t="s">
        <v>80</v>
      </c>
      <c r="W1860" t="str">
        <f t="shared" ca="1" si="89"/>
        <v>Active</v>
      </c>
    </row>
    <row r="1861" spans="1:23" x14ac:dyDescent="0.2">
      <c r="A1861">
        <v>1361</v>
      </c>
      <c r="B1861" t="s">
        <v>3922</v>
      </c>
      <c r="C1861" t="s">
        <v>3923</v>
      </c>
      <c r="D1861" s="1" t="s">
        <v>589</v>
      </c>
      <c r="E1861" t="s">
        <v>3924</v>
      </c>
      <c r="F1861" t="s">
        <v>2176</v>
      </c>
      <c r="G1861" s="4" t="s">
        <v>5423</v>
      </c>
      <c r="H1861" t="s">
        <v>3925</v>
      </c>
      <c r="I1861" t="s">
        <v>112</v>
      </c>
      <c r="J1861" s="4" t="s">
        <v>5417</v>
      </c>
      <c r="K1861" t="s">
        <v>1277</v>
      </c>
      <c r="L1861">
        <v>2</v>
      </c>
      <c r="M1861" t="s">
        <v>593</v>
      </c>
      <c r="N1861" t="s">
        <v>1011</v>
      </c>
      <c r="O1861" t="s">
        <v>1011</v>
      </c>
      <c r="P1861" s="2" t="str">
        <f t="shared" si="87"/>
        <v>15/12/2025 to 18/12/2025</v>
      </c>
      <c r="Q1861" s="3">
        <v>46005</v>
      </c>
      <c r="R1861" t="str">
        <f t="shared" si="88"/>
        <v>Late</v>
      </c>
      <c r="S1861" t="s">
        <v>182</v>
      </c>
      <c r="T1861">
        <v>19</v>
      </c>
      <c r="U1861" t="s">
        <v>79</v>
      </c>
      <c r="V1861" t="s">
        <v>66</v>
      </c>
      <c r="W1861" t="str">
        <f t="shared" ca="1" si="89"/>
        <v>Active</v>
      </c>
    </row>
    <row r="1862" spans="1:23" x14ac:dyDescent="0.2">
      <c r="A1862">
        <v>635</v>
      </c>
      <c r="B1862" t="s">
        <v>2173</v>
      </c>
      <c r="C1862" t="s">
        <v>2174</v>
      </c>
      <c r="D1862" s="1" t="s">
        <v>592</v>
      </c>
      <c r="E1862" t="s">
        <v>2175</v>
      </c>
      <c r="F1862" t="s">
        <v>2176</v>
      </c>
      <c r="G1862" s="4" t="s">
        <v>5418</v>
      </c>
      <c r="H1862" t="s">
        <v>2177</v>
      </c>
      <c r="I1862" t="s">
        <v>112</v>
      </c>
      <c r="J1862" s="4" t="s">
        <v>60</v>
      </c>
      <c r="K1862" t="s">
        <v>663</v>
      </c>
      <c r="L1862">
        <v>2</v>
      </c>
      <c r="M1862" t="s">
        <v>592</v>
      </c>
      <c r="N1862" t="s">
        <v>592</v>
      </c>
      <c r="O1862" t="s">
        <v>1011</v>
      </c>
      <c r="P1862" s="2" t="str">
        <f t="shared" si="87"/>
        <v>12/12/2025 to 17/12/2025</v>
      </c>
      <c r="Q1862" s="3">
        <v>46003</v>
      </c>
      <c r="R1862" t="str">
        <f t="shared" si="88"/>
        <v>On-Time</v>
      </c>
      <c r="S1862" t="s">
        <v>177</v>
      </c>
      <c r="T1862">
        <v>18.5</v>
      </c>
      <c r="U1862" t="s">
        <v>79</v>
      </c>
      <c r="V1862" t="s">
        <v>72</v>
      </c>
      <c r="W1862" t="str">
        <f t="shared" ca="1" si="89"/>
        <v>Active</v>
      </c>
    </row>
    <row r="1863" spans="1:23" x14ac:dyDescent="0.2">
      <c r="A1863">
        <v>611</v>
      </c>
      <c r="B1863" t="s">
        <v>2107</v>
      </c>
      <c r="C1863" t="s">
        <v>2108</v>
      </c>
      <c r="D1863" s="1" t="s">
        <v>593</v>
      </c>
      <c r="E1863" t="s">
        <v>2109</v>
      </c>
      <c r="F1863" t="s">
        <v>406</v>
      </c>
      <c r="G1863" s="4" t="s">
        <v>5421</v>
      </c>
      <c r="H1863" t="s">
        <v>2110</v>
      </c>
      <c r="I1863" t="s">
        <v>112</v>
      </c>
      <c r="J1863" s="4" t="s">
        <v>68</v>
      </c>
      <c r="K1863" t="s">
        <v>2111</v>
      </c>
      <c r="L1863">
        <v>2</v>
      </c>
      <c r="M1863" t="s">
        <v>1011</v>
      </c>
      <c r="N1863" t="s">
        <v>1011</v>
      </c>
      <c r="O1863" t="s">
        <v>595</v>
      </c>
      <c r="P1863" s="2" t="str">
        <f t="shared" si="87"/>
        <v>16/12/2025 to 19/12/2025</v>
      </c>
      <c r="Q1863" s="3">
        <v>46004</v>
      </c>
      <c r="R1863" t="str">
        <f t="shared" si="88"/>
        <v>Late</v>
      </c>
      <c r="S1863" t="s">
        <v>181</v>
      </c>
      <c r="T1863">
        <v>20.5</v>
      </c>
      <c r="U1863" t="s">
        <v>79</v>
      </c>
      <c r="V1863" t="s">
        <v>80</v>
      </c>
      <c r="W1863" t="str">
        <f t="shared" ca="1" si="89"/>
        <v>Active</v>
      </c>
    </row>
    <row r="1864" spans="1:23" x14ac:dyDescent="0.2">
      <c r="A1864">
        <v>219</v>
      </c>
      <c r="B1864" t="s">
        <v>1009</v>
      </c>
      <c r="C1864" t="s">
        <v>1010</v>
      </c>
      <c r="D1864" s="1" t="s">
        <v>1011</v>
      </c>
      <c r="E1864" t="s">
        <v>1012</v>
      </c>
      <c r="F1864" t="s">
        <v>1003</v>
      </c>
      <c r="G1864" s="4" t="s">
        <v>5418</v>
      </c>
      <c r="H1864" t="s">
        <v>1013</v>
      </c>
      <c r="I1864" t="s">
        <v>112</v>
      </c>
      <c r="J1864" s="4" t="s">
        <v>5417</v>
      </c>
      <c r="K1864" t="s">
        <v>12</v>
      </c>
      <c r="L1864">
        <v>1</v>
      </c>
      <c r="M1864" t="s">
        <v>1011</v>
      </c>
      <c r="N1864" t="s">
        <v>723</v>
      </c>
      <c r="O1864" t="s">
        <v>595</v>
      </c>
      <c r="P1864" s="2" t="str">
        <f t="shared" si="87"/>
        <v>16/12/2025 to 19/12/2025</v>
      </c>
      <c r="Q1864" s="3">
        <v>46007</v>
      </c>
      <c r="R1864" t="str">
        <f t="shared" si="88"/>
        <v>On-Time</v>
      </c>
      <c r="S1864" t="s">
        <v>596</v>
      </c>
      <c r="T1864">
        <v>9.5</v>
      </c>
      <c r="U1864" t="s">
        <v>65</v>
      </c>
      <c r="V1864" t="s">
        <v>72</v>
      </c>
      <c r="W1864" t="str">
        <f t="shared" ca="1" si="89"/>
        <v>Active</v>
      </c>
    </row>
    <row r="1865" spans="1:23" x14ac:dyDescent="0.2">
      <c r="A1865">
        <v>220</v>
      </c>
      <c r="B1865" t="s">
        <v>1009</v>
      </c>
      <c r="C1865" t="s">
        <v>1014</v>
      </c>
      <c r="D1865" s="1" t="s">
        <v>1011</v>
      </c>
      <c r="E1865" t="s">
        <v>1012</v>
      </c>
      <c r="F1865" t="s">
        <v>1003</v>
      </c>
      <c r="G1865" s="4" t="s">
        <v>5426</v>
      </c>
      <c r="H1865" t="s">
        <v>1013</v>
      </c>
      <c r="I1865" t="s">
        <v>112</v>
      </c>
      <c r="J1865" s="4" t="s">
        <v>74</v>
      </c>
      <c r="K1865" t="s">
        <v>1015</v>
      </c>
      <c r="L1865">
        <v>4</v>
      </c>
      <c r="M1865" t="s">
        <v>1011</v>
      </c>
      <c r="N1865" t="s">
        <v>1011</v>
      </c>
      <c r="O1865" t="s">
        <v>595</v>
      </c>
      <c r="P1865" s="2" t="str">
        <f t="shared" si="87"/>
        <v>16/12/2025 to 19/12/2025</v>
      </c>
      <c r="Q1865" s="3">
        <v>46010</v>
      </c>
      <c r="R1865" t="str">
        <f t="shared" si="88"/>
        <v>On-Time</v>
      </c>
      <c r="S1865" t="s">
        <v>305</v>
      </c>
      <c r="T1865">
        <v>35.5</v>
      </c>
      <c r="U1865" t="s">
        <v>65</v>
      </c>
      <c r="V1865" t="s">
        <v>72</v>
      </c>
      <c r="W1865" t="str">
        <f t="shared" ca="1" si="89"/>
        <v>Active</v>
      </c>
    </row>
    <row r="1866" spans="1:23" x14ac:dyDescent="0.2">
      <c r="A1866">
        <v>221</v>
      </c>
      <c r="B1866" t="s">
        <v>1009</v>
      </c>
      <c r="C1866" t="s">
        <v>1017</v>
      </c>
      <c r="D1866" s="1" t="s">
        <v>1011</v>
      </c>
      <c r="E1866" t="s">
        <v>1012</v>
      </c>
      <c r="F1866" t="s">
        <v>1003</v>
      </c>
      <c r="G1866" s="4" t="s">
        <v>5424</v>
      </c>
      <c r="H1866" t="s">
        <v>1013</v>
      </c>
      <c r="I1866" t="s">
        <v>112</v>
      </c>
      <c r="J1866" s="4" t="s">
        <v>60</v>
      </c>
      <c r="K1866" t="s">
        <v>1018</v>
      </c>
      <c r="L1866">
        <v>4</v>
      </c>
      <c r="M1866" t="s">
        <v>595</v>
      </c>
      <c r="N1866" t="s">
        <v>723</v>
      </c>
      <c r="O1866" t="s">
        <v>595</v>
      </c>
      <c r="P1866" s="2" t="str">
        <f t="shared" si="87"/>
        <v>16/12/2025 to 19/12/2025</v>
      </c>
      <c r="Q1866" s="3">
        <v>46010</v>
      </c>
      <c r="R1866" t="str">
        <f t="shared" si="88"/>
        <v>On-Time</v>
      </c>
      <c r="S1866" t="s">
        <v>1016</v>
      </c>
      <c r="T1866">
        <v>36</v>
      </c>
      <c r="U1866" t="s">
        <v>79</v>
      </c>
      <c r="V1866" t="s">
        <v>72</v>
      </c>
      <c r="W1866" t="str">
        <f t="shared" ca="1" si="89"/>
        <v>Active</v>
      </c>
    </row>
    <row r="1867" spans="1:23" x14ac:dyDescent="0.2">
      <c r="A1867">
        <v>1687</v>
      </c>
      <c r="B1867" t="s">
        <v>4704</v>
      </c>
      <c r="C1867" t="s">
        <v>4705</v>
      </c>
      <c r="D1867" s="1" t="s">
        <v>1011</v>
      </c>
      <c r="E1867" t="s">
        <v>4706</v>
      </c>
      <c r="F1867" t="s">
        <v>1785</v>
      </c>
      <c r="G1867" s="4" t="s">
        <v>5426</v>
      </c>
      <c r="H1867" t="s">
        <v>3993</v>
      </c>
      <c r="I1867" t="s">
        <v>136</v>
      </c>
      <c r="J1867" s="4" t="s">
        <v>74</v>
      </c>
      <c r="K1867" t="s">
        <v>20</v>
      </c>
      <c r="L1867">
        <v>1</v>
      </c>
      <c r="M1867" t="s">
        <v>1011</v>
      </c>
      <c r="N1867" t="s">
        <v>595</v>
      </c>
      <c r="O1867" t="s">
        <v>723</v>
      </c>
      <c r="P1867" s="2" t="str">
        <f t="shared" si="87"/>
        <v>16/12/2025 to 19/12/2025</v>
      </c>
      <c r="Q1867" s="3">
        <v>46005</v>
      </c>
      <c r="R1867" t="str">
        <f t="shared" si="88"/>
        <v>Late</v>
      </c>
      <c r="S1867" t="s">
        <v>190</v>
      </c>
      <c r="T1867">
        <v>10.5</v>
      </c>
      <c r="U1867" t="s">
        <v>65</v>
      </c>
      <c r="V1867" t="s">
        <v>66</v>
      </c>
      <c r="W1867" t="str">
        <f t="shared" ca="1" si="89"/>
        <v>Active</v>
      </c>
    </row>
    <row r="1868" spans="1:23" x14ac:dyDescent="0.2">
      <c r="A1868">
        <v>1688</v>
      </c>
      <c r="B1868" t="s">
        <v>4704</v>
      </c>
      <c r="C1868" t="s">
        <v>4707</v>
      </c>
      <c r="D1868" s="1" t="s">
        <v>1011</v>
      </c>
      <c r="E1868" t="s">
        <v>4706</v>
      </c>
      <c r="F1868" t="s">
        <v>1785</v>
      </c>
      <c r="G1868" s="4" t="s">
        <v>5426</v>
      </c>
      <c r="H1868" t="s">
        <v>3993</v>
      </c>
      <c r="I1868" t="s">
        <v>136</v>
      </c>
      <c r="J1868" s="4" t="s">
        <v>60</v>
      </c>
      <c r="K1868" t="s">
        <v>379</v>
      </c>
      <c r="L1868">
        <v>2</v>
      </c>
      <c r="M1868" t="s">
        <v>595</v>
      </c>
      <c r="N1868" t="s">
        <v>595</v>
      </c>
      <c r="O1868" t="s">
        <v>595</v>
      </c>
      <c r="P1868" s="2" t="str">
        <f t="shared" si="87"/>
        <v>16/12/2025 to 19/12/2025</v>
      </c>
      <c r="Q1868" s="3">
        <v>46004</v>
      </c>
      <c r="R1868" t="str">
        <f t="shared" si="88"/>
        <v>Late</v>
      </c>
      <c r="S1868" t="s">
        <v>181</v>
      </c>
      <c r="T1868">
        <v>17.5</v>
      </c>
      <c r="U1868" t="s">
        <v>79</v>
      </c>
      <c r="V1868" t="s">
        <v>66</v>
      </c>
      <c r="W1868" t="str">
        <f t="shared" ca="1" si="89"/>
        <v>Active</v>
      </c>
    </row>
    <row r="1869" spans="1:23" x14ac:dyDescent="0.2">
      <c r="A1869">
        <v>1689</v>
      </c>
      <c r="B1869" t="s">
        <v>4704</v>
      </c>
      <c r="C1869" t="s">
        <v>4708</v>
      </c>
      <c r="D1869" s="1" t="s">
        <v>1011</v>
      </c>
      <c r="E1869" t="s">
        <v>4706</v>
      </c>
      <c r="F1869" t="s">
        <v>1785</v>
      </c>
      <c r="G1869" s="4" t="s">
        <v>5428</v>
      </c>
      <c r="H1869" t="s">
        <v>3993</v>
      </c>
      <c r="I1869" t="s">
        <v>136</v>
      </c>
      <c r="J1869" s="4" t="s">
        <v>60</v>
      </c>
      <c r="K1869" t="s">
        <v>1255</v>
      </c>
      <c r="L1869">
        <v>2</v>
      </c>
      <c r="M1869" t="s">
        <v>1011</v>
      </c>
      <c r="N1869" t="s">
        <v>1011</v>
      </c>
      <c r="O1869" t="s">
        <v>595</v>
      </c>
      <c r="P1869" s="2" t="str">
        <f t="shared" si="87"/>
        <v>16/12/2025 to 19/12/2025</v>
      </c>
      <c r="Q1869" s="3">
        <v>46008</v>
      </c>
      <c r="R1869" t="str">
        <f t="shared" si="88"/>
        <v>On-Time</v>
      </c>
      <c r="S1869" t="s">
        <v>596</v>
      </c>
      <c r="T1869">
        <v>16.5</v>
      </c>
      <c r="U1869" t="s">
        <v>79</v>
      </c>
      <c r="V1869" t="s">
        <v>80</v>
      </c>
      <c r="W1869" t="str">
        <f t="shared" ca="1" si="89"/>
        <v>Active</v>
      </c>
    </row>
    <row r="1870" spans="1:23" x14ac:dyDescent="0.2">
      <c r="A1870">
        <v>1690</v>
      </c>
      <c r="B1870" t="s">
        <v>4704</v>
      </c>
      <c r="C1870" t="s">
        <v>4709</v>
      </c>
      <c r="D1870" s="1" t="s">
        <v>1011</v>
      </c>
      <c r="E1870" t="s">
        <v>4706</v>
      </c>
      <c r="F1870" t="s">
        <v>1785</v>
      </c>
      <c r="G1870" s="4" t="s">
        <v>5425</v>
      </c>
      <c r="H1870" t="s">
        <v>3993</v>
      </c>
      <c r="I1870" t="s">
        <v>136</v>
      </c>
      <c r="J1870" s="4" t="s">
        <v>60</v>
      </c>
      <c r="K1870" t="s">
        <v>4710</v>
      </c>
      <c r="L1870">
        <v>4</v>
      </c>
      <c r="M1870" t="s">
        <v>723</v>
      </c>
      <c r="N1870" t="s">
        <v>728</v>
      </c>
      <c r="O1870" t="s">
        <v>723</v>
      </c>
      <c r="P1870" s="2" t="str">
        <f t="shared" si="87"/>
        <v>16/12/2025 to 19/12/2025</v>
      </c>
      <c r="Q1870" s="3">
        <v>46011</v>
      </c>
      <c r="R1870" t="str">
        <f t="shared" si="88"/>
        <v>Late</v>
      </c>
      <c r="S1870" t="s">
        <v>305</v>
      </c>
      <c r="T1870">
        <v>41.5</v>
      </c>
      <c r="U1870" t="s">
        <v>65</v>
      </c>
      <c r="V1870" t="s">
        <v>66</v>
      </c>
      <c r="W1870" t="str">
        <f t="shared" ca="1" si="89"/>
        <v>Active</v>
      </c>
    </row>
    <row r="1871" spans="1:23" x14ac:dyDescent="0.2">
      <c r="A1871">
        <v>336</v>
      </c>
      <c r="B1871" t="s">
        <v>1360</v>
      </c>
      <c r="C1871" t="s">
        <v>1361</v>
      </c>
      <c r="D1871" s="1" t="s">
        <v>723</v>
      </c>
      <c r="E1871" t="s">
        <v>1362</v>
      </c>
      <c r="F1871" t="s">
        <v>910</v>
      </c>
      <c r="G1871" s="4" t="s">
        <v>5418</v>
      </c>
      <c r="H1871" t="s">
        <v>1363</v>
      </c>
      <c r="I1871" t="s">
        <v>112</v>
      </c>
      <c r="J1871" s="4" t="s">
        <v>60</v>
      </c>
      <c r="K1871" t="s">
        <v>1364</v>
      </c>
      <c r="L1871">
        <v>3</v>
      </c>
      <c r="M1871" t="s">
        <v>724</v>
      </c>
      <c r="N1871" t="s">
        <v>724</v>
      </c>
      <c r="O1871" t="s">
        <v>731</v>
      </c>
      <c r="P1871" s="2" t="str">
        <f t="shared" si="87"/>
        <v>18/12/2025 to 23/12/2025</v>
      </c>
      <c r="Q1871" s="3">
        <v>46009</v>
      </c>
      <c r="R1871" t="str">
        <f t="shared" si="88"/>
        <v>On-Time</v>
      </c>
      <c r="S1871" t="s">
        <v>301</v>
      </c>
      <c r="T1871">
        <v>26</v>
      </c>
      <c r="U1871" t="s">
        <v>79</v>
      </c>
      <c r="V1871" t="s">
        <v>66</v>
      </c>
      <c r="W1871" t="str">
        <f t="shared" ca="1" si="89"/>
        <v>Active</v>
      </c>
    </row>
    <row r="1872" spans="1:23" x14ac:dyDescent="0.2">
      <c r="A1872">
        <v>337</v>
      </c>
      <c r="B1872" t="s">
        <v>1360</v>
      </c>
      <c r="C1872" t="s">
        <v>1365</v>
      </c>
      <c r="D1872" s="1" t="s">
        <v>723</v>
      </c>
      <c r="E1872" t="s">
        <v>1362</v>
      </c>
      <c r="F1872" t="s">
        <v>910</v>
      </c>
      <c r="G1872" s="4" t="s">
        <v>5423</v>
      </c>
      <c r="H1872" t="s">
        <v>1363</v>
      </c>
      <c r="I1872" t="s">
        <v>112</v>
      </c>
      <c r="J1872" s="4" t="s">
        <v>5417</v>
      </c>
      <c r="K1872" t="s">
        <v>1366</v>
      </c>
      <c r="L1872">
        <v>2</v>
      </c>
      <c r="M1872" t="s">
        <v>723</v>
      </c>
      <c r="N1872" t="s">
        <v>728</v>
      </c>
      <c r="O1872" t="s">
        <v>728</v>
      </c>
      <c r="P1872" s="2" t="str">
        <f t="shared" si="87"/>
        <v>16/12/2025 to 19/12/2025</v>
      </c>
      <c r="Q1872" s="3">
        <v>46008</v>
      </c>
      <c r="R1872" t="str">
        <f t="shared" si="88"/>
        <v>On-Time</v>
      </c>
      <c r="S1872" t="s">
        <v>596</v>
      </c>
      <c r="T1872">
        <v>22</v>
      </c>
      <c r="U1872" t="s">
        <v>65</v>
      </c>
      <c r="V1872" t="s">
        <v>80</v>
      </c>
      <c r="W1872" t="str">
        <f t="shared" ca="1" si="89"/>
        <v>Active</v>
      </c>
    </row>
    <row r="1873" spans="1:23" x14ac:dyDescent="0.2">
      <c r="A1873">
        <v>468</v>
      </c>
      <c r="B1873" t="s">
        <v>1731</v>
      </c>
      <c r="C1873" t="s">
        <v>1732</v>
      </c>
      <c r="D1873" s="1" t="s">
        <v>723</v>
      </c>
      <c r="E1873" t="s">
        <v>1733</v>
      </c>
      <c r="F1873" t="s">
        <v>579</v>
      </c>
      <c r="G1873" s="4" t="s">
        <v>5424</v>
      </c>
      <c r="H1873" t="s">
        <v>1734</v>
      </c>
      <c r="I1873" t="s">
        <v>201</v>
      </c>
      <c r="J1873" s="4" t="s">
        <v>68</v>
      </c>
      <c r="K1873" t="s">
        <v>18</v>
      </c>
      <c r="L1873">
        <v>1</v>
      </c>
      <c r="M1873" t="s">
        <v>723</v>
      </c>
      <c r="N1873" t="s">
        <v>723</v>
      </c>
      <c r="O1873" t="s">
        <v>723</v>
      </c>
      <c r="P1873" s="2" t="str">
        <f t="shared" si="87"/>
        <v>16/12/2025 to 19/12/2025</v>
      </c>
      <c r="Q1873" s="3">
        <v>46011</v>
      </c>
      <c r="R1873" t="str">
        <f t="shared" si="88"/>
        <v>Late</v>
      </c>
      <c r="S1873" t="s">
        <v>1105</v>
      </c>
      <c r="T1873">
        <v>8.5</v>
      </c>
      <c r="U1873" t="s">
        <v>65</v>
      </c>
      <c r="V1873" t="s">
        <v>80</v>
      </c>
      <c r="W1873" t="str">
        <f t="shared" ca="1" si="89"/>
        <v>Active</v>
      </c>
    </row>
    <row r="1874" spans="1:23" x14ac:dyDescent="0.2">
      <c r="A1874">
        <v>469</v>
      </c>
      <c r="B1874" t="s">
        <v>1731</v>
      </c>
      <c r="C1874" t="s">
        <v>1735</v>
      </c>
      <c r="D1874" s="1" t="s">
        <v>723</v>
      </c>
      <c r="E1874" t="s">
        <v>1733</v>
      </c>
      <c r="F1874" t="s">
        <v>579</v>
      </c>
      <c r="G1874" s="4" t="s">
        <v>38</v>
      </c>
      <c r="H1874" t="s">
        <v>1734</v>
      </c>
      <c r="I1874" t="s">
        <v>201</v>
      </c>
      <c r="J1874" s="4" t="s">
        <v>74</v>
      </c>
      <c r="K1874" t="s">
        <v>1736</v>
      </c>
      <c r="L1874">
        <v>4</v>
      </c>
      <c r="M1874" t="s">
        <v>724</v>
      </c>
      <c r="N1874" t="s">
        <v>724</v>
      </c>
      <c r="O1874" t="s">
        <v>1099</v>
      </c>
      <c r="P1874" s="2" t="str">
        <f t="shared" si="87"/>
        <v>18/12/2025 to 23/12/2025</v>
      </c>
      <c r="Q1874" s="3">
        <v>46009</v>
      </c>
      <c r="R1874" t="str">
        <f t="shared" si="88"/>
        <v>On-Time</v>
      </c>
      <c r="S1874" t="s">
        <v>596</v>
      </c>
      <c r="T1874">
        <v>33.5</v>
      </c>
      <c r="U1874" t="s">
        <v>79</v>
      </c>
      <c r="V1874" t="s">
        <v>72</v>
      </c>
      <c r="W1874" t="str">
        <f t="shared" ca="1" si="89"/>
        <v>Active</v>
      </c>
    </row>
    <row r="1875" spans="1:23" x14ac:dyDescent="0.2">
      <c r="A1875">
        <v>531</v>
      </c>
      <c r="B1875" t="s">
        <v>1904</v>
      </c>
      <c r="C1875" t="s">
        <v>1905</v>
      </c>
      <c r="D1875" s="1" t="s">
        <v>723</v>
      </c>
      <c r="E1875" t="s">
        <v>1906</v>
      </c>
      <c r="F1875" t="s">
        <v>121</v>
      </c>
      <c r="G1875" s="4" t="s">
        <v>5420</v>
      </c>
      <c r="H1875" t="s">
        <v>1667</v>
      </c>
      <c r="I1875" t="s">
        <v>59</v>
      </c>
      <c r="J1875" s="4" t="s">
        <v>68</v>
      </c>
      <c r="K1875" t="s">
        <v>1907</v>
      </c>
      <c r="L1875">
        <v>4</v>
      </c>
      <c r="M1875" t="s">
        <v>723</v>
      </c>
      <c r="N1875" t="s">
        <v>723</v>
      </c>
      <c r="O1875" t="s">
        <v>724</v>
      </c>
      <c r="P1875" s="2" t="str">
        <f t="shared" si="87"/>
        <v>16/12/2025 to 19/12/2025</v>
      </c>
      <c r="Q1875" s="3">
        <v>46008</v>
      </c>
      <c r="R1875" t="str">
        <f t="shared" si="88"/>
        <v>On-Time</v>
      </c>
      <c r="S1875" t="s">
        <v>191</v>
      </c>
      <c r="T1875">
        <v>36</v>
      </c>
      <c r="U1875" t="s">
        <v>65</v>
      </c>
      <c r="V1875" t="s">
        <v>72</v>
      </c>
      <c r="W1875" t="str">
        <f t="shared" ca="1" si="89"/>
        <v>Active</v>
      </c>
    </row>
    <row r="1876" spans="1:23" x14ac:dyDescent="0.2">
      <c r="A1876">
        <v>532</v>
      </c>
      <c r="B1876" t="s">
        <v>1904</v>
      </c>
      <c r="C1876" t="s">
        <v>1908</v>
      </c>
      <c r="D1876" s="1" t="s">
        <v>723</v>
      </c>
      <c r="E1876" t="s">
        <v>1906</v>
      </c>
      <c r="F1876" t="s">
        <v>121</v>
      </c>
      <c r="G1876" s="4" t="s">
        <v>5420</v>
      </c>
      <c r="H1876" t="s">
        <v>1667</v>
      </c>
      <c r="I1876" t="s">
        <v>59</v>
      </c>
      <c r="J1876" s="4" t="s">
        <v>5417</v>
      </c>
      <c r="K1876" t="s">
        <v>1909</v>
      </c>
      <c r="L1876">
        <v>4</v>
      </c>
      <c r="M1876" t="s">
        <v>724</v>
      </c>
      <c r="N1876" t="s">
        <v>731</v>
      </c>
      <c r="O1876" t="s">
        <v>731</v>
      </c>
      <c r="P1876" s="2" t="str">
        <f t="shared" si="87"/>
        <v>18/12/2025 to 23/12/2025</v>
      </c>
      <c r="Q1876" s="3">
        <v>46011</v>
      </c>
      <c r="R1876" t="str">
        <f t="shared" si="88"/>
        <v>On-Time</v>
      </c>
      <c r="S1876" t="s">
        <v>1105</v>
      </c>
      <c r="T1876">
        <v>40.5</v>
      </c>
      <c r="U1876" t="s">
        <v>65</v>
      </c>
      <c r="V1876" t="s">
        <v>72</v>
      </c>
      <c r="W1876" t="str">
        <f t="shared" ca="1" si="89"/>
        <v>Active</v>
      </c>
    </row>
    <row r="1877" spans="1:23" x14ac:dyDescent="0.2">
      <c r="A1877">
        <v>533</v>
      </c>
      <c r="B1877" t="s">
        <v>1904</v>
      </c>
      <c r="C1877" t="s">
        <v>1910</v>
      </c>
      <c r="D1877" s="1" t="s">
        <v>723</v>
      </c>
      <c r="E1877" t="s">
        <v>1906</v>
      </c>
      <c r="F1877" t="s">
        <v>121</v>
      </c>
      <c r="G1877" s="4" t="s">
        <v>5428</v>
      </c>
      <c r="H1877" t="s">
        <v>1667</v>
      </c>
      <c r="I1877" t="s">
        <v>59</v>
      </c>
      <c r="J1877" s="4" t="s">
        <v>5417</v>
      </c>
      <c r="K1877" t="s">
        <v>186</v>
      </c>
      <c r="L1877">
        <v>2</v>
      </c>
      <c r="M1877" t="s">
        <v>723</v>
      </c>
      <c r="N1877" t="s">
        <v>728</v>
      </c>
      <c r="O1877" t="s">
        <v>723</v>
      </c>
      <c r="P1877" s="2" t="str">
        <f t="shared" si="87"/>
        <v>16/12/2025 to 19/12/2025</v>
      </c>
      <c r="Q1877" s="3">
        <v>46008</v>
      </c>
      <c r="R1877" t="str">
        <f t="shared" si="88"/>
        <v>On-Time</v>
      </c>
      <c r="S1877" t="s">
        <v>191</v>
      </c>
      <c r="T1877">
        <v>19</v>
      </c>
      <c r="U1877" t="s">
        <v>65</v>
      </c>
      <c r="V1877" t="s">
        <v>72</v>
      </c>
      <c r="W1877" t="str">
        <f t="shared" ca="1" si="89"/>
        <v>Active</v>
      </c>
    </row>
    <row r="1878" spans="1:23" x14ac:dyDescent="0.2">
      <c r="A1878">
        <v>534</v>
      </c>
      <c r="B1878" t="s">
        <v>1904</v>
      </c>
      <c r="C1878" t="s">
        <v>1911</v>
      </c>
      <c r="D1878" s="1" t="s">
        <v>723</v>
      </c>
      <c r="E1878" t="s">
        <v>1906</v>
      </c>
      <c r="F1878" t="s">
        <v>121</v>
      </c>
      <c r="G1878" s="4" t="s">
        <v>5428</v>
      </c>
      <c r="H1878" t="s">
        <v>1667</v>
      </c>
      <c r="I1878" t="s">
        <v>59</v>
      </c>
      <c r="J1878" s="4" t="s">
        <v>74</v>
      </c>
      <c r="K1878" t="s">
        <v>4</v>
      </c>
      <c r="L1878">
        <v>1</v>
      </c>
      <c r="M1878" t="s">
        <v>728</v>
      </c>
      <c r="N1878" t="s">
        <v>731</v>
      </c>
      <c r="O1878" t="s">
        <v>728</v>
      </c>
      <c r="P1878" s="2" t="str">
        <f t="shared" si="87"/>
        <v>17/12/2025 to 22/12/2025</v>
      </c>
      <c r="Q1878" s="3">
        <v>46011</v>
      </c>
      <c r="R1878" t="str">
        <f t="shared" si="88"/>
        <v>On-Time</v>
      </c>
      <c r="S1878" t="s">
        <v>1105</v>
      </c>
      <c r="T1878">
        <v>8</v>
      </c>
      <c r="U1878" t="s">
        <v>79</v>
      </c>
      <c r="V1878" t="s">
        <v>72</v>
      </c>
      <c r="W1878" t="str">
        <f t="shared" ca="1" si="89"/>
        <v>Active</v>
      </c>
    </row>
    <row r="1879" spans="1:23" x14ac:dyDescent="0.2">
      <c r="A1879">
        <v>535</v>
      </c>
      <c r="B1879" t="s">
        <v>1904</v>
      </c>
      <c r="C1879" t="s">
        <v>1912</v>
      </c>
      <c r="D1879" s="1" t="s">
        <v>723</v>
      </c>
      <c r="E1879" t="s">
        <v>1906</v>
      </c>
      <c r="F1879" t="s">
        <v>121</v>
      </c>
      <c r="G1879" s="4" t="s">
        <v>5424</v>
      </c>
      <c r="H1879" t="s">
        <v>1667</v>
      </c>
      <c r="I1879" t="s">
        <v>59</v>
      </c>
      <c r="J1879" s="4" t="s">
        <v>60</v>
      </c>
      <c r="K1879" t="s">
        <v>18</v>
      </c>
      <c r="L1879">
        <v>1</v>
      </c>
      <c r="M1879" t="s">
        <v>723</v>
      </c>
      <c r="N1879" t="s">
        <v>724</v>
      </c>
      <c r="O1879" t="s">
        <v>724</v>
      </c>
      <c r="P1879" s="2" t="str">
        <f t="shared" si="87"/>
        <v>16/12/2025 to 19/12/2025</v>
      </c>
      <c r="Q1879" s="3">
        <v>46008</v>
      </c>
      <c r="R1879" t="str">
        <f t="shared" si="88"/>
        <v>On-Time</v>
      </c>
      <c r="S1879" t="s">
        <v>596</v>
      </c>
      <c r="T1879">
        <v>8.5</v>
      </c>
      <c r="U1879" t="s">
        <v>65</v>
      </c>
      <c r="V1879" t="s">
        <v>80</v>
      </c>
      <c r="W1879" t="str">
        <f t="shared" ca="1" si="89"/>
        <v>Active</v>
      </c>
    </row>
    <row r="1880" spans="1:23" x14ac:dyDescent="0.2">
      <c r="A1880">
        <v>705</v>
      </c>
      <c r="B1880" t="s">
        <v>2348</v>
      </c>
      <c r="C1880" t="s">
        <v>2349</v>
      </c>
      <c r="D1880" s="1" t="s">
        <v>728</v>
      </c>
      <c r="E1880" t="s">
        <v>2350</v>
      </c>
      <c r="F1880" t="s">
        <v>1723</v>
      </c>
      <c r="G1880" s="4" t="s">
        <v>5426</v>
      </c>
      <c r="H1880" t="s">
        <v>1299</v>
      </c>
      <c r="I1880" t="s">
        <v>112</v>
      </c>
      <c r="J1880" s="4" t="s">
        <v>5417</v>
      </c>
      <c r="K1880" t="s">
        <v>2351</v>
      </c>
      <c r="L1880">
        <v>3</v>
      </c>
      <c r="M1880" t="s">
        <v>731</v>
      </c>
      <c r="N1880" t="s">
        <v>1099</v>
      </c>
      <c r="O1880" t="s">
        <v>1111</v>
      </c>
      <c r="P1880" s="2" t="str">
        <f t="shared" si="87"/>
        <v>19/12/2025 to 24/12/2025</v>
      </c>
      <c r="Q1880" s="3">
        <v>46016</v>
      </c>
      <c r="R1880" t="str">
        <f t="shared" si="88"/>
        <v>Late</v>
      </c>
      <c r="S1880" t="s">
        <v>183</v>
      </c>
      <c r="T1880">
        <v>25</v>
      </c>
      <c r="U1880" t="s">
        <v>79</v>
      </c>
      <c r="V1880" t="s">
        <v>66</v>
      </c>
      <c r="W1880" t="str">
        <f t="shared" ca="1" si="89"/>
        <v>Active</v>
      </c>
    </row>
    <row r="1881" spans="1:23" x14ac:dyDescent="0.2">
      <c r="A1881">
        <v>706</v>
      </c>
      <c r="B1881" t="s">
        <v>2348</v>
      </c>
      <c r="C1881" t="s">
        <v>2352</v>
      </c>
      <c r="D1881" s="1" t="s">
        <v>728</v>
      </c>
      <c r="E1881" t="s">
        <v>2350</v>
      </c>
      <c r="F1881" t="s">
        <v>1723</v>
      </c>
      <c r="G1881" s="4" t="s">
        <v>5426</v>
      </c>
      <c r="H1881" t="s">
        <v>1299</v>
      </c>
      <c r="I1881" t="s">
        <v>112</v>
      </c>
      <c r="J1881" s="4" t="s">
        <v>68</v>
      </c>
      <c r="K1881" t="s">
        <v>2353</v>
      </c>
      <c r="L1881">
        <v>4</v>
      </c>
      <c r="M1881" t="s">
        <v>731</v>
      </c>
      <c r="N1881" t="s">
        <v>731</v>
      </c>
      <c r="O1881" t="s">
        <v>1111</v>
      </c>
      <c r="P1881" s="2" t="str">
        <f t="shared" si="87"/>
        <v>19/12/2025 to 24/12/2025</v>
      </c>
      <c r="Q1881" s="3">
        <v>46010</v>
      </c>
      <c r="R1881" t="str">
        <f t="shared" si="88"/>
        <v>On-Time</v>
      </c>
      <c r="S1881" t="s">
        <v>1016</v>
      </c>
      <c r="T1881">
        <v>35.5</v>
      </c>
      <c r="U1881" t="s">
        <v>79</v>
      </c>
      <c r="V1881" t="s">
        <v>66</v>
      </c>
      <c r="W1881" t="str">
        <f t="shared" ca="1" si="89"/>
        <v>Active</v>
      </c>
    </row>
    <row r="1882" spans="1:23" x14ac:dyDescent="0.2">
      <c r="A1882">
        <v>707</v>
      </c>
      <c r="B1882" t="s">
        <v>2348</v>
      </c>
      <c r="C1882" t="s">
        <v>2354</v>
      </c>
      <c r="D1882" s="1" t="s">
        <v>728</v>
      </c>
      <c r="E1882" t="s">
        <v>2350</v>
      </c>
      <c r="F1882" t="s">
        <v>1723</v>
      </c>
      <c r="G1882" s="4" t="s">
        <v>5427</v>
      </c>
      <c r="H1882" t="s">
        <v>1299</v>
      </c>
      <c r="I1882" t="s">
        <v>112</v>
      </c>
      <c r="J1882" s="4" t="s">
        <v>74</v>
      </c>
      <c r="K1882" t="s">
        <v>2247</v>
      </c>
      <c r="L1882">
        <v>2</v>
      </c>
      <c r="M1882" t="s">
        <v>731</v>
      </c>
      <c r="N1882" t="s">
        <v>731</v>
      </c>
      <c r="O1882" t="s">
        <v>1111</v>
      </c>
      <c r="P1882" s="2" t="str">
        <f t="shared" si="87"/>
        <v>19/12/2025 to 24/12/2025</v>
      </c>
      <c r="Q1882" s="3">
        <v>46016</v>
      </c>
      <c r="R1882" t="str">
        <f t="shared" si="88"/>
        <v>Late</v>
      </c>
      <c r="S1882" t="s">
        <v>183</v>
      </c>
      <c r="T1882">
        <v>21</v>
      </c>
      <c r="U1882" t="s">
        <v>65</v>
      </c>
      <c r="V1882" t="s">
        <v>66</v>
      </c>
      <c r="W1882" t="str">
        <f t="shared" ca="1" si="89"/>
        <v>Active</v>
      </c>
    </row>
    <row r="1883" spans="1:23" x14ac:dyDescent="0.2">
      <c r="A1883">
        <v>708</v>
      </c>
      <c r="B1883" t="s">
        <v>2348</v>
      </c>
      <c r="C1883" t="s">
        <v>2355</v>
      </c>
      <c r="D1883" s="1" t="s">
        <v>728</v>
      </c>
      <c r="E1883" t="s">
        <v>2350</v>
      </c>
      <c r="F1883" t="s">
        <v>1723</v>
      </c>
      <c r="G1883" s="4" t="s">
        <v>5418</v>
      </c>
      <c r="H1883" t="s">
        <v>1299</v>
      </c>
      <c r="I1883" t="s">
        <v>112</v>
      </c>
      <c r="J1883" s="4" t="s">
        <v>60</v>
      </c>
      <c r="K1883" t="s">
        <v>2356</v>
      </c>
      <c r="L1883">
        <v>3</v>
      </c>
      <c r="M1883" t="s">
        <v>724</v>
      </c>
      <c r="N1883" t="s">
        <v>1099</v>
      </c>
      <c r="O1883" t="s">
        <v>1099</v>
      </c>
      <c r="P1883" s="2" t="str">
        <f t="shared" si="87"/>
        <v>18/12/2025 to 23/12/2025</v>
      </c>
      <c r="Q1883" s="3">
        <v>46013</v>
      </c>
      <c r="R1883" t="str">
        <f t="shared" si="88"/>
        <v>On-Time</v>
      </c>
      <c r="S1883" t="s">
        <v>1105</v>
      </c>
      <c r="T1883">
        <v>29.5</v>
      </c>
      <c r="U1883" t="s">
        <v>65</v>
      </c>
      <c r="V1883" t="s">
        <v>80</v>
      </c>
      <c r="W1883" t="str">
        <f t="shared" ca="1" si="89"/>
        <v>Active</v>
      </c>
    </row>
    <row r="1884" spans="1:23" x14ac:dyDescent="0.2">
      <c r="A1884">
        <v>709</v>
      </c>
      <c r="B1884" t="s">
        <v>2348</v>
      </c>
      <c r="C1884" t="s">
        <v>2357</v>
      </c>
      <c r="D1884" s="1" t="s">
        <v>728</v>
      </c>
      <c r="E1884" t="s">
        <v>2350</v>
      </c>
      <c r="F1884" t="s">
        <v>1723</v>
      </c>
      <c r="G1884" s="4" t="s">
        <v>38</v>
      </c>
      <c r="H1884" t="s">
        <v>1299</v>
      </c>
      <c r="I1884" t="s">
        <v>112</v>
      </c>
      <c r="J1884" s="4" t="s">
        <v>5417</v>
      </c>
      <c r="K1884" t="s">
        <v>2358</v>
      </c>
      <c r="L1884">
        <v>3</v>
      </c>
      <c r="M1884" t="s">
        <v>728</v>
      </c>
      <c r="N1884" t="s">
        <v>724</v>
      </c>
      <c r="O1884" t="s">
        <v>731</v>
      </c>
      <c r="P1884" s="2" t="str">
        <f t="shared" si="87"/>
        <v>17/12/2025 to 22/12/2025</v>
      </c>
      <c r="Q1884" s="3">
        <v>46014</v>
      </c>
      <c r="R1884" t="str">
        <f t="shared" si="88"/>
        <v>Late</v>
      </c>
      <c r="S1884" t="s">
        <v>192</v>
      </c>
      <c r="T1884">
        <v>25.5</v>
      </c>
      <c r="U1884" t="s">
        <v>65</v>
      </c>
      <c r="V1884" t="s">
        <v>72</v>
      </c>
      <c r="W1884" t="str">
        <f t="shared" ca="1" si="89"/>
        <v>Active</v>
      </c>
    </row>
    <row r="1885" spans="1:23" x14ac:dyDescent="0.2">
      <c r="A1885">
        <v>932</v>
      </c>
      <c r="B1885" t="s">
        <v>2896</v>
      </c>
      <c r="C1885" t="s">
        <v>2897</v>
      </c>
      <c r="D1885" s="1" t="s">
        <v>728</v>
      </c>
      <c r="E1885" t="s">
        <v>2898</v>
      </c>
      <c r="F1885" t="s">
        <v>159</v>
      </c>
      <c r="G1885" s="4" t="s">
        <v>5419</v>
      </c>
      <c r="H1885" t="s">
        <v>2899</v>
      </c>
      <c r="I1885" t="s">
        <v>59</v>
      </c>
      <c r="J1885" s="4" t="s">
        <v>5417</v>
      </c>
      <c r="K1885" t="s">
        <v>2446</v>
      </c>
      <c r="L1885">
        <v>2</v>
      </c>
      <c r="M1885" t="s">
        <v>731</v>
      </c>
      <c r="N1885" t="s">
        <v>1099</v>
      </c>
      <c r="O1885" t="s">
        <v>1099</v>
      </c>
      <c r="P1885" s="2" t="str">
        <f t="shared" si="87"/>
        <v>19/12/2025 to 24/12/2025</v>
      </c>
      <c r="Q1885" s="3">
        <v>46014</v>
      </c>
      <c r="R1885" t="str">
        <f t="shared" si="88"/>
        <v>On-Time</v>
      </c>
      <c r="S1885" t="s">
        <v>316</v>
      </c>
      <c r="T1885">
        <v>16.5</v>
      </c>
      <c r="U1885" t="s">
        <v>79</v>
      </c>
      <c r="V1885" t="s">
        <v>80</v>
      </c>
      <c r="W1885" t="str">
        <f t="shared" ca="1" si="89"/>
        <v>Active</v>
      </c>
    </row>
    <row r="1886" spans="1:23" x14ac:dyDescent="0.2">
      <c r="A1886">
        <v>933</v>
      </c>
      <c r="B1886" t="s">
        <v>2896</v>
      </c>
      <c r="C1886" t="s">
        <v>2900</v>
      </c>
      <c r="D1886" s="1" t="s">
        <v>728</v>
      </c>
      <c r="E1886" t="s">
        <v>2898</v>
      </c>
      <c r="F1886" t="s">
        <v>159</v>
      </c>
      <c r="G1886" s="4" t="s">
        <v>5426</v>
      </c>
      <c r="H1886" t="s">
        <v>2899</v>
      </c>
      <c r="I1886" t="s">
        <v>59</v>
      </c>
      <c r="J1886" s="4" t="s">
        <v>60</v>
      </c>
      <c r="K1886" t="s">
        <v>2901</v>
      </c>
      <c r="L1886">
        <v>2</v>
      </c>
      <c r="M1886" t="s">
        <v>728</v>
      </c>
      <c r="N1886" t="s">
        <v>728</v>
      </c>
      <c r="O1886" t="s">
        <v>731</v>
      </c>
      <c r="P1886" s="2" t="str">
        <f t="shared" si="87"/>
        <v>17/12/2025 to 22/12/2025</v>
      </c>
      <c r="Q1886" s="3">
        <v>46011</v>
      </c>
      <c r="R1886" t="str">
        <f t="shared" si="88"/>
        <v>On-Time</v>
      </c>
      <c r="S1886" t="s">
        <v>305</v>
      </c>
      <c r="T1886">
        <v>26</v>
      </c>
      <c r="U1886" t="s">
        <v>79</v>
      </c>
      <c r="V1886" t="s">
        <v>66</v>
      </c>
      <c r="W1886" t="str">
        <f t="shared" ca="1" si="89"/>
        <v>Active</v>
      </c>
    </row>
    <row r="1887" spans="1:23" x14ac:dyDescent="0.2">
      <c r="A1887">
        <v>934</v>
      </c>
      <c r="B1887" t="s">
        <v>2896</v>
      </c>
      <c r="C1887" t="s">
        <v>2902</v>
      </c>
      <c r="D1887" s="1" t="s">
        <v>728</v>
      </c>
      <c r="E1887" t="s">
        <v>2898</v>
      </c>
      <c r="F1887" t="s">
        <v>159</v>
      </c>
      <c r="G1887" s="4" t="s">
        <v>5425</v>
      </c>
      <c r="H1887" t="s">
        <v>2899</v>
      </c>
      <c r="I1887" t="s">
        <v>59</v>
      </c>
      <c r="J1887" s="4" t="s">
        <v>74</v>
      </c>
      <c r="K1887" t="s">
        <v>2903</v>
      </c>
      <c r="L1887">
        <v>4</v>
      </c>
      <c r="M1887" t="s">
        <v>731</v>
      </c>
      <c r="N1887" t="s">
        <v>731</v>
      </c>
      <c r="O1887" t="s">
        <v>731</v>
      </c>
      <c r="P1887" s="2" t="str">
        <f t="shared" si="87"/>
        <v>19/12/2025 to 24/12/2025</v>
      </c>
      <c r="Q1887" s="3">
        <v>46014</v>
      </c>
      <c r="R1887" t="str">
        <f t="shared" si="88"/>
        <v>On-Time</v>
      </c>
      <c r="S1887" t="s">
        <v>316</v>
      </c>
      <c r="T1887">
        <v>34.5</v>
      </c>
      <c r="U1887" t="s">
        <v>65</v>
      </c>
      <c r="V1887" t="s">
        <v>66</v>
      </c>
      <c r="W1887" t="str">
        <f t="shared" ca="1" si="89"/>
        <v>Active</v>
      </c>
    </row>
    <row r="1888" spans="1:23" x14ac:dyDescent="0.2">
      <c r="A1888">
        <v>935</v>
      </c>
      <c r="B1888" t="s">
        <v>2896</v>
      </c>
      <c r="C1888" t="s">
        <v>2904</v>
      </c>
      <c r="D1888" s="1" t="s">
        <v>728</v>
      </c>
      <c r="E1888" t="s">
        <v>2898</v>
      </c>
      <c r="F1888" t="s">
        <v>159</v>
      </c>
      <c r="G1888" s="4" t="s">
        <v>5426</v>
      </c>
      <c r="H1888" t="s">
        <v>2899</v>
      </c>
      <c r="I1888" t="s">
        <v>59</v>
      </c>
      <c r="J1888" s="4" t="s">
        <v>74</v>
      </c>
      <c r="K1888" t="s">
        <v>2905</v>
      </c>
      <c r="L1888">
        <v>4</v>
      </c>
      <c r="M1888" t="s">
        <v>724</v>
      </c>
      <c r="N1888" t="s">
        <v>724</v>
      </c>
      <c r="O1888" t="s">
        <v>724</v>
      </c>
      <c r="P1888" s="2" t="str">
        <f t="shared" si="87"/>
        <v>18/12/2025 to 23/12/2025</v>
      </c>
      <c r="Q1888" s="3">
        <v>46008</v>
      </c>
      <c r="R1888" t="str">
        <f t="shared" si="88"/>
        <v>Late</v>
      </c>
      <c r="S1888" t="s">
        <v>1016</v>
      </c>
      <c r="T1888">
        <v>40</v>
      </c>
      <c r="U1888" t="s">
        <v>65</v>
      </c>
      <c r="V1888" t="s">
        <v>66</v>
      </c>
      <c r="W1888" t="str">
        <f t="shared" ca="1" si="89"/>
        <v>Active</v>
      </c>
    </row>
    <row r="1889" spans="1:23" x14ac:dyDescent="0.2">
      <c r="A1889">
        <v>249</v>
      </c>
      <c r="B1889" t="s">
        <v>1097</v>
      </c>
      <c r="C1889" t="s">
        <v>1098</v>
      </c>
      <c r="D1889" s="1" t="s">
        <v>1099</v>
      </c>
      <c r="E1889" t="s">
        <v>1100</v>
      </c>
      <c r="F1889" t="s">
        <v>803</v>
      </c>
      <c r="G1889" s="4" t="s">
        <v>5426</v>
      </c>
      <c r="H1889" t="s">
        <v>1101</v>
      </c>
      <c r="I1889" t="s">
        <v>93</v>
      </c>
      <c r="J1889" s="4" t="s">
        <v>60</v>
      </c>
      <c r="K1889" t="s">
        <v>1102</v>
      </c>
      <c r="L1889">
        <v>2</v>
      </c>
      <c r="M1889" t="s">
        <v>1099</v>
      </c>
      <c r="N1889" t="s">
        <v>177</v>
      </c>
      <c r="O1889" t="s">
        <v>1099</v>
      </c>
      <c r="P1889" s="2" t="str">
        <f t="shared" si="87"/>
        <v>22/12/2025 to 25/12/2025</v>
      </c>
      <c r="Q1889" s="3">
        <v>46010</v>
      </c>
      <c r="R1889" t="str">
        <f t="shared" si="88"/>
        <v>Late</v>
      </c>
      <c r="S1889" t="s">
        <v>305</v>
      </c>
      <c r="T1889">
        <v>18.5</v>
      </c>
      <c r="U1889" t="s">
        <v>65</v>
      </c>
      <c r="V1889" t="s">
        <v>80</v>
      </c>
      <c r="W1889" t="str">
        <f t="shared" ca="1" si="89"/>
        <v>Active</v>
      </c>
    </row>
    <row r="1890" spans="1:23" x14ac:dyDescent="0.2">
      <c r="A1890">
        <v>250</v>
      </c>
      <c r="B1890" t="s">
        <v>1097</v>
      </c>
      <c r="C1890" t="s">
        <v>1103</v>
      </c>
      <c r="D1890" s="1" t="s">
        <v>1099</v>
      </c>
      <c r="E1890" t="s">
        <v>1100</v>
      </c>
      <c r="F1890" t="s">
        <v>803</v>
      </c>
      <c r="G1890" s="4" t="s">
        <v>38</v>
      </c>
      <c r="H1890" t="s">
        <v>1101</v>
      </c>
      <c r="I1890" t="s">
        <v>93</v>
      </c>
      <c r="J1890" s="4" t="s">
        <v>60</v>
      </c>
      <c r="K1890" t="s">
        <v>1104</v>
      </c>
      <c r="L1890">
        <v>4</v>
      </c>
      <c r="M1890" t="s">
        <v>1099</v>
      </c>
      <c r="N1890" t="s">
        <v>1099</v>
      </c>
      <c r="O1890" t="s">
        <v>177</v>
      </c>
      <c r="P1890" s="2" t="str">
        <f t="shared" si="87"/>
        <v>22/12/2025 to 25/12/2025</v>
      </c>
      <c r="Q1890" s="3">
        <v>46013</v>
      </c>
      <c r="R1890" t="str">
        <f t="shared" si="88"/>
        <v>On-Time</v>
      </c>
      <c r="S1890" t="s">
        <v>1105</v>
      </c>
      <c r="T1890">
        <v>36.5</v>
      </c>
      <c r="U1890" t="s">
        <v>79</v>
      </c>
      <c r="V1890" t="s">
        <v>66</v>
      </c>
      <c r="W1890" t="str">
        <f t="shared" ca="1" si="89"/>
        <v>Active</v>
      </c>
    </row>
    <row r="1891" spans="1:23" x14ac:dyDescent="0.2">
      <c r="A1891">
        <v>251</v>
      </c>
      <c r="B1891" t="s">
        <v>1097</v>
      </c>
      <c r="C1891" t="s">
        <v>1106</v>
      </c>
      <c r="D1891" s="1" t="s">
        <v>1099</v>
      </c>
      <c r="E1891" t="s">
        <v>1100</v>
      </c>
      <c r="F1891" t="s">
        <v>803</v>
      </c>
      <c r="G1891" s="4" t="s">
        <v>5424</v>
      </c>
      <c r="H1891" t="s">
        <v>1101</v>
      </c>
      <c r="I1891" t="s">
        <v>93</v>
      </c>
      <c r="J1891" s="4" t="s">
        <v>68</v>
      </c>
      <c r="K1891" t="s">
        <v>1107</v>
      </c>
      <c r="L1891">
        <v>4</v>
      </c>
      <c r="M1891" t="s">
        <v>177</v>
      </c>
      <c r="N1891" t="s">
        <v>181</v>
      </c>
      <c r="O1891" t="s">
        <v>181</v>
      </c>
      <c r="P1891" s="2" t="str">
        <f t="shared" si="87"/>
        <v>23/12/2025 to 26/12/2025</v>
      </c>
      <c r="Q1891" s="3">
        <v>46018</v>
      </c>
      <c r="R1891" t="str">
        <f t="shared" si="88"/>
        <v>Late</v>
      </c>
      <c r="S1891" t="s">
        <v>1108</v>
      </c>
      <c r="T1891">
        <v>41.5</v>
      </c>
      <c r="U1891" t="s">
        <v>65</v>
      </c>
      <c r="V1891" t="s">
        <v>80</v>
      </c>
      <c r="W1891" t="str">
        <f t="shared" ca="1" si="89"/>
        <v>Active</v>
      </c>
    </row>
    <row r="1892" spans="1:23" x14ac:dyDescent="0.2">
      <c r="A1892">
        <v>252</v>
      </c>
      <c r="B1892" t="s">
        <v>1097</v>
      </c>
      <c r="C1892" t="s">
        <v>1109</v>
      </c>
      <c r="D1892" s="1" t="s">
        <v>1099</v>
      </c>
      <c r="E1892" t="s">
        <v>1100</v>
      </c>
      <c r="F1892" t="s">
        <v>803</v>
      </c>
      <c r="G1892" s="4" t="s">
        <v>5423</v>
      </c>
      <c r="H1892" t="s">
        <v>1101</v>
      </c>
      <c r="I1892" t="s">
        <v>93</v>
      </c>
      <c r="J1892" s="4" t="s">
        <v>74</v>
      </c>
      <c r="K1892" t="s">
        <v>1110</v>
      </c>
      <c r="L1892">
        <v>2</v>
      </c>
      <c r="M1892" t="s">
        <v>1111</v>
      </c>
      <c r="N1892" t="s">
        <v>1111</v>
      </c>
      <c r="O1892" t="s">
        <v>1111</v>
      </c>
      <c r="P1892" s="2" t="str">
        <f t="shared" si="87"/>
        <v>23/12/2025 to 26/12/2025</v>
      </c>
      <c r="Q1892" s="3">
        <v>46010</v>
      </c>
      <c r="R1892" t="str">
        <f t="shared" si="88"/>
        <v>Late</v>
      </c>
      <c r="S1892" t="s">
        <v>301</v>
      </c>
      <c r="T1892">
        <v>16.5</v>
      </c>
      <c r="U1892" t="s">
        <v>65</v>
      </c>
      <c r="V1892" t="s">
        <v>66</v>
      </c>
      <c r="W1892" t="str">
        <f t="shared" ca="1" si="89"/>
        <v>Active</v>
      </c>
    </row>
    <row r="1893" spans="1:23" x14ac:dyDescent="0.2">
      <c r="A1893">
        <v>253</v>
      </c>
      <c r="B1893" t="s">
        <v>1097</v>
      </c>
      <c r="C1893" t="s">
        <v>1112</v>
      </c>
      <c r="D1893" s="1" t="s">
        <v>1099</v>
      </c>
      <c r="E1893" t="s">
        <v>1100</v>
      </c>
      <c r="F1893" t="s">
        <v>803</v>
      </c>
      <c r="G1893" s="4" t="s">
        <v>5422</v>
      </c>
      <c r="H1893" t="s">
        <v>1101</v>
      </c>
      <c r="I1893" t="s">
        <v>93</v>
      </c>
      <c r="J1893" s="4" t="s">
        <v>60</v>
      </c>
      <c r="K1893" t="s">
        <v>6</v>
      </c>
      <c r="L1893">
        <v>1</v>
      </c>
      <c r="M1893" t="s">
        <v>177</v>
      </c>
      <c r="N1893" t="s">
        <v>181</v>
      </c>
      <c r="O1893" t="s">
        <v>181</v>
      </c>
      <c r="P1893" s="2" t="str">
        <f t="shared" si="87"/>
        <v>23/12/2025 to 26/12/2025</v>
      </c>
      <c r="Q1893" s="3">
        <v>46018</v>
      </c>
      <c r="R1893" t="str">
        <f t="shared" si="88"/>
        <v>Late</v>
      </c>
      <c r="S1893" t="s">
        <v>1108</v>
      </c>
      <c r="T1893">
        <v>7.5</v>
      </c>
      <c r="U1893" t="s">
        <v>65</v>
      </c>
      <c r="V1893" t="s">
        <v>66</v>
      </c>
      <c r="W1893" t="str">
        <f t="shared" ca="1" si="89"/>
        <v>Active</v>
      </c>
    </row>
    <row r="1894" spans="1:23" x14ac:dyDescent="0.2">
      <c r="A1894">
        <v>264</v>
      </c>
      <c r="B1894" t="s">
        <v>1151</v>
      </c>
      <c r="C1894" t="s">
        <v>1152</v>
      </c>
      <c r="D1894" s="1" t="s">
        <v>1099</v>
      </c>
      <c r="E1894" t="s">
        <v>1153</v>
      </c>
      <c r="F1894" t="s">
        <v>1154</v>
      </c>
      <c r="G1894" s="4" t="s">
        <v>5424</v>
      </c>
      <c r="H1894" t="s">
        <v>1155</v>
      </c>
      <c r="I1894" t="s">
        <v>136</v>
      </c>
      <c r="J1894" s="4" t="s">
        <v>74</v>
      </c>
      <c r="K1894" t="s">
        <v>12</v>
      </c>
      <c r="L1894">
        <v>1</v>
      </c>
      <c r="M1894" t="s">
        <v>1099</v>
      </c>
      <c r="N1894" t="s">
        <v>1111</v>
      </c>
      <c r="O1894" t="s">
        <v>177</v>
      </c>
      <c r="P1894" s="2" t="str">
        <f t="shared" si="87"/>
        <v>22/12/2025 to 25/12/2025</v>
      </c>
      <c r="Q1894" s="3">
        <v>46011</v>
      </c>
      <c r="R1894" t="str">
        <f t="shared" si="88"/>
        <v>Late</v>
      </c>
      <c r="S1894" t="s">
        <v>1105</v>
      </c>
      <c r="T1894">
        <v>9.5</v>
      </c>
      <c r="U1894" t="s">
        <v>65</v>
      </c>
      <c r="V1894" t="s">
        <v>72</v>
      </c>
      <c r="W1894" t="str">
        <f t="shared" ca="1" si="89"/>
        <v>Active</v>
      </c>
    </row>
    <row r="1895" spans="1:23" x14ac:dyDescent="0.2">
      <c r="A1895">
        <v>465</v>
      </c>
      <c r="B1895" t="s">
        <v>1720</v>
      </c>
      <c r="C1895" t="s">
        <v>1721</v>
      </c>
      <c r="D1895" s="1" t="s">
        <v>1099</v>
      </c>
      <c r="E1895" t="s">
        <v>1722</v>
      </c>
      <c r="F1895" t="s">
        <v>1723</v>
      </c>
      <c r="G1895" s="4" t="s">
        <v>5422</v>
      </c>
      <c r="H1895" t="s">
        <v>769</v>
      </c>
      <c r="I1895" t="s">
        <v>201</v>
      </c>
      <c r="J1895" s="4" t="s">
        <v>5417</v>
      </c>
      <c r="K1895" t="s">
        <v>1724</v>
      </c>
      <c r="L1895">
        <v>3</v>
      </c>
      <c r="M1895" t="s">
        <v>1111</v>
      </c>
      <c r="N1895" t="s">
        <v>177</v>
      </c>
      <c r="O1895" t="s">
        <v>1111</v>
      </c>
      <c r="P1895" s="2" t="str">
        <f t="shared" si="87"/>
        <v>23/12/2025 to 26/12/2025</v>
      </c>
      <c r="Q1895" s="3">
        <v>46011</v>
      </c>
      <c r="R1895" t="str">
        <f t="shared" si="88"/>
        <v>Late</v>
      </c>
      <c r="S1895" t="s">
        <v>305</v>
      </c>
      <c r="T1895">
        <v>26.5</v>
      </c>
      <c r="U1895" t="s">
        <v>79</v>
      </c>
      <c r="V1895" t="s">
        <v>66</v>
      </c>
      <c r="W1895" t="str">
        <f t="shared" ca="1" si="89"/>
        <v>Active</v>
      </c>
    </row>
    <row r="1896" spans="1:23" x14ac:dyDescent="0.2">
      <c r="A1896">
        <v>1526</v>
      </c>
      <c r="B1896" t="s">
        <v>4336</v>
      </c>
      <c r="C1896" t="s">
        <v>4337</v>
      </c>
      <c r="D1896" s="1" t="s">
        <v>1099</v>
      </c>
      <c r="E1896" t="s">
        <v>4338</v>
      </c>
      <c r="F1896" t="s">
        <v>199</v>
      </c>
      <c r="G1896" s="4" t="s">
        <v>5426</v>
      </c>
      <c r="H1896" t="s">
        <v>3934</v>
      </c>
      <c r="I1896" t="s">
        <v>93</v>
      </c>
      <c r="J1896" s="4" t="s">
        <v>5417</v>
      </c>
      <c r="K1896" t="s">
        <v>4339</v>
      </c>
      <c r="L1896">
        <v>3</v>
      </c>
      <c r="M1896" t="s">
        <v>1111</v>
      </c>
      <c r="N1896" t="s">
        <v>177</v>
      </c>
      <c r="O1896" t="s">
        <v>1111</v>
      </c>
      <c r="P1896" s="2" t="str">
        <f t="shared" si="87"/>
        <v>23/12/2025 to 26/12/2025</v>
      </c>
      <c r="Q1896" s="3">
        <v>46015</v>
      </c>
      <c r="R1896" t="str">
        <f t="shared" si="88"/>
        <v>On-Time</v>
      </c>
      <c r="S1896" t="s">
        <v>195</v>
      </c>
      <c r="T1896">
        <v>32</v>
      </c>
      <c r="U1896" t="s">
        <v>65</v>
      </c>
      <c r="V1896" t="s">
        <v>80</v>
      </c>
      <c r="W1896" t="str">
        <f t="shared" ca="1" si="89"/>
        <v>Active</v>
      </c>
    </row>
    <row r="1897" spans="1:23" x14ac:dyDescent="0.2">
      <c r="A1897">
        <v>1467</v>
      </c>
      <c r="B1897" t="s">
        <v>4188</v>
      </c>
      <c r="C1897" t="s">
        <v>4189</v>
      </c>
      <c r="D1897" s="1" t="s">
        <v>1111</v>
      </c>
      <c r="E1897" t="s">
        <v>4190</v>
      </c>
      <c r="F1897" t="s">
        <v>803</v>
      </c>
      <c r="G1897" s="4" t="s">
        <v>5418</v>
      </c>
      <c r="H1897" t="s">
        <v>4191</v>
      </c>
      <c r="I1897" t="s">
        <v>201</v>
      </c>
      <c r="J1897" s="4" t="s">
        <v>74</v>
      </c>
      <c r="K1897" t="s">
        <v>20</v>
      </c>
      <c r="L1897">
        <v>1</v>
      </c>
      <c r="M1897" t="s">
        <v>181</v>
      </c>
      <c r="N1897" t="s">
        <v>181</v>
      </c>
      <c r="O1897" t="s">
        <v>182</v>
      </c>
      <c r="P1897" s="2" t="str">
        <f t="shared" si="87"/>
        <v>23/12/2025 to 26/12/2025</v>
      </c>
      <c r="Q1897" s="3">
        <v>46015</v>
      </c>
      <c r="R1897" t="str">
        <f t="shared" si="88"/>
        <v>On-Time</v>
      </c>
      <c r="S1897" t="s">
        <v>195</v>
      </c>
      <c r="T1897">
        <v>10.5</v>
      </c>
      <c r="U1897" t="s">
        <v>65</v>
      </c>
      <c r="V1897" t="s">
        <v>80</v>
      </c>
      <c r="W1897" t="str">
        <f t="shared" ca="1" si="89"/>
        <v>Active</v>
      </c>
    </row>
    <row r="1898" spans="1:23" x14ac:dyDescent="0.2">
      <c r="A1898">
        <v>1468</v>
      </c>
      <c r="B1898" t="s">
        <v>4188</v>
      </c>
      <c r="C1898" t="s">
        <v>4192</v>
      </c>
      <c r="D1898" s="1" t="s">
        <v>1111</v>
      </c>
      <c r="E1898" t="s">
        <v>4190</v>
      </c>
      <c r="F1898" t="s">
        <v>803</v>
      </c>
      <c r="G1898" s="4" t="s">
        <v>5419</v>
      </c>
      <c r="H1898" t="s">
        <v>4191</v>
      </c>
      <c r="I1898" t="s">
        <v>201</v>
      </c>
      <c r="J1898" s="4" t="s">
        <v>60</v>
      </c>
      <c r="K1898" t="s">
        <v>4193</v>
      </c>
      <c r="L1898">
        <v>3</v>
      </c>
      <c r="M1898" t="s">
        <v>177</v>
      </c>
      <c r="N1898" t="s">
        <v>181</v>
      </c>
      <c r="O1898" t="s">
        <v>182</v>
      </c>
      <c r="P1898" s="2" t="str">
        <f t="shared" si="87"/>
        <v>23/12/2025 to 26/12/2025</v>
      </c>
      <c r="Q1898" s="3">
        <v>46014</v>
      </c>
      <c r="R1898" t="str">
        <f t="shared" si="88"/>
        <v>On-Time</v>
      </c>
      <c r="S1898" t="s">
        <v>187</v>
      </c>
      <c r="T1898">
        <v>31.5</v>
      </c>
      <c r="U1898" t="s">
        <v>79</v>
      </c>
      <c r="V1898" t="s">
        <v>66</v>
      </c>
      <c r="W1898" t="str">
        <f t="shared" ca="1" si="89"/>
        <v>Active</v>
      </c>
    </row>
    <row r="1899" spans="1:23" x14ac:dyDescent="0.2">
      <c r="A1899">
        <v>1469</v>
      </c>
      <c r="B1899" t="s">
        <v>4188</v>
      </c>
      <c r="C1899" t="s">
        <v>4194</v>
      </c>
      <c r="D1899" s="1" t="s">
        <v>1111</v>
      </c>
      <c r="E1899" t="s">
        <v>4190</v>
      </c>
      <c r="F1899" t="s">
        <v>803</v>
      </c>
      <c r="G1899" s="4" t="s">
        <v>5418</v>
      </c>
      <c r="H1899" t="s">
        <v>4191</v>
      </c>
      <c r="I1899" t="s">
        <v>201</v>
      </c>
      <c r="J1899" s="4" t="s">
        <v>74</v>
      </c>
      <c r="K1899" t="s">
        <v>433</v>
      </c>
      <c r="L1899">
        <v>2</v>
      </c>
      <c r="M1899" t="s">
        <v>181</v>
      </c>
      <c r="N1899" t="s">
        <v>190</v>
      </c>
      <c r="O1899" t="s">
        <v>181</v>
      </c>
      <c r="P1899" s="2" t="str">
        <f t="shared" si="87"/>
        <v>23/12/2025 to 26/12/2025</v>
      </c>
      <c r="Q1899" s="3">
        <v>46012</v>
      </c>
      <c r="R1899" t="str">
        <f t="shared" si="88"/>
        <v>Late</v>
      </c>
      <c r="S1899" t="s">
        <v>305</v>
      </c>
      <c r="T1899">
        <v>18.5</v>
      </c>
      <c r="U1899" t="s">
        <v>79</v>
      </c>
      <c r="V1899" t="s">
        <v>80</v>
      </c>
      <c r="W1899" t="str">
        <f t="shared" ca="1" si="89"/>
        <v>Active</v>
      </c>
    </row>
    <row r="1900" spans="1:23" x14ac:dyDescent="0.2">
      <c r="A1900">
        <v>22</v>
      </c>
      <c r="B1900" t="s">
        <v>175</v>
      </c>
      <c r="C1900" t="s">
        <v>176</v>
      </c>
      <c r="D1900" s="1" t="s">
        <v>177</v>
      </c>
      <c r="E1900" t="s">
        <v>178</v>
      </c>
      <c r="F1900" t="s">
        <v>179</v>
      </c>
      <c r="G1900" s="4" t="s">
        <v>5428</v>
      </c>
      <c r="H1900" t="s">
        <v>180</v>
      </c>
      <c r="I1900" t="s">
        <v>136</v>
      </c>
      <c r="J1900" s="4" t="s">
        <v>74</v>
      </c>
      <c r="K1900" t="s">
        <v>30</v>
      </c>
      <c r="L1900">
        <v>1</v>
      </c>
      <c r="M1900" t="s">
        <v>181</v>
      </c>
      <c r="N1900" t="s">
        <v>181</v>
      </c>
      <c r="O1900" t="s">
        <v>182</v>
      </c>
      <c r="P1900" s="2" t="str">
        <f t="shared" si="87"/>
        <v>23/12/2025 to 26/12/2025</v>
      </c>
      <c r="Q1900" s="3">
        <v>46018</v>
      </c>
      <c r="R1900" t="str">
        <f t="shared" si="88"/>
        <v>Late</v>
      </c>
      <c r="S1900" t="s">
        <v>184</v>
      </c>
      <c r="T1900">
        <v>12</v>
      </c>
      <c r="U1900" t="s">
        <v>79</v>
      </c>
      <c r="V1900" t="s">
        <v>66</v>
      </c>
      <c r="W1900" t="str">
        <f t="shared" ca="1" si="89"/>
        <v>Active</v>
      </c>
    </row>
    <row r="1901" spans="1:23" x14ac:dyDescent="0.2">
      <c r="A1901">
        <v>23</v>
      </c>
      <c r="B1901" t="s">
        <v>175</v>
      </c>
      <c r="C1901" t="s">
        <v>185</v>
      </c>
      <c r="D1901" s="1" t="s">
        <v>177</v>
      </c>
      <c r="E1901" t="s">
        <v>178</v>
      </c>
      <c r="F1901" t="s">
        <v>179</v>
      </c>
      <c r="G1901" s="4" t="s">
        <v>5422</v>
      </c>
      <c r="H1901" t="s">
        <v>180</v>
      </c>
      <c r="I1901" t="s">
        <v>136</v>
      </c>
      <c r="J1901" s="4" t="s">
        <v>68</v>
      </c>
      <c r="K1901" t="s">
        <v>186</v>
      </c>
      <c r="L1901">
        <v>2</v>
      </c>
      <c r="M1901" t="s">
        <v>177</v>
      </c>
      <c r="N1901" t="s">
        <v>177</v>
      </c>
      <c r="O1901" t="s">
        <v>177</v>
      </c>
      <c r="P1901" s="2" t="str">
        <f t="shared" si="87"/>
        <v>23/12/2025 to 26/12/2025</v>
      </c>
      <c r="Q1901" s="3">
        <v>46015</v>
      </c>
      <c r="R1901" t="str">
        <f t="shared" si="88"/>
        <v>On-Time</v>
      </c>
      <c r="S1901" t="s">
        <v>187</v>
      </c>
      <c r="T1901">
        <v>19</v>
      </c>
      <c r="U1901" t="s">
        <v>65</v>
      </c>
      <c r="V1901" t="s">
        <v>72</v>
      </c>
      <c r="W1901" t="str">
        <f t="shared" ca="1" si="89"/>
        <v>Active</v>
      </c>
    </row>
    <row r="1902" spans="1:23" x14ac:dyDescent="0.2">
      <c r="A1902">
        <v>24</v>
      </c>
      <c r="B1902" t="s">
        <v>175</v>
      </c>
      <c r="C1902" t="s">
        <v>188</v>
      </c>
      <c r="D1902" s="1" t="s">
        <v>177</v>
      </c>
      <c r="E1902" t="s">
        <v>178</v>
      </c>
      <c r="F1902" t="s">
        <v>179</v>
      </c>
      <c r="G1902" s="4" t="s">
        <v>5425</v>
      </c>
      <c r="H1902" t="s">
        <v>180</v>
      </c>
      <c r="I1902" t="s">
        <v>136</v>
      </c>
      <c r="J1902" s="4" t="s">
        <v>74</v>
      </c>
      <c r="K1902" t="s">
        <v>189</v>
      </c>
      <c r="L1902">
        <v>4</v>
      </c>
      <c r="M1902" t="s">
        <v>182</v>
      </c>
      <c r="N1902" t="s">
        <v>190</v>
      </c>
      <c r="O1902" t="s">
        <v>191</v>
      </c>
      <c r="P1902" s="2" t="str">
        <f t="shared" si="87"/>
        <v>24/12/2025 to 29/12/2025</v>
      </c>
      <c r="Q1902" s="3">
        <v>46016</v>
      </c>
      <c r="R1902" t="str">
        <f t="shared" si="88"/>
        <v>On-Time</v>
      </c>
      <c r="S1902" t="s">
        <v>183</v>
      </c>
      <c r="T1902">
        <v>38</v>
      </c>
      <c r="U1902" t="s">
        <v>79</v>
      </c>
      <c r="V1902" t="s">
        <v>80</v>
      </c>
      <c r="W1902" t="str">
        <f t="shared" ca="1" si="89"/>
        <v>Active</v>
      </c>
    </row>
    <row r="1903" spans="1:23" x14ac:dyDescent="0.2">
      <c r="A1903">
        <v>25</v>
      </c>
      <c r="B1903" t="s">
        <v>175</v>
      </c>
      <c r="C1903" t="s">
        <v>193</v>
      </c>
      <c r="D1903" s="1" t="s">
        <v>177</v>
      </c>
      <c r="E1903" t="s">
        <v>178</v>
      </c>
      <c r="F1903" t="s">
        <v>179</v>
      </c>
      <c r="G1903" s="4" t="s">
        <v>5425</v>
      </c>
      <c r="H1903" t="s">
        <v>180</v>
      </c>
      <c r="I1903" t="s">
        <v>136</v>
      </c>
      <c r="J1903" s="4" t="s">
        <v>5417</v>
      </c>
      <c r="K1903" t="s">
        <v>194</v>
      </c>
      <c r="L1903">
        <v>2</v>
      </c>
      <c r="M1903" t="s">
        <v>181</v>
      </c>
      <c r="N1903" t="s">
        <v>181</v>
      </c>
      <c r="O1903" t="s">
        <v>182</v>
      </c>
      <c r="P1903" s="2" t="str">
        <f t="shared" si="87"/>
        <v>23/12/2025 to 26/12/2025</v>
      </c>
      <c r="Q1903" s="3">
        <v>46016</v>
      </c>
      <c r="R1903" t="str">
        <f t="shared" si="88"/>
        <v>On-Time</v>
      </c>
      <c r="S1903" t="s">
        <v>195</v>
      </c>
      <c r="T1903">
        <v>20.5</v>
      </c>
      <c r="U1903" t="s">
        <v>79</v>
      </c>
      <c r="V1903" t="s">
        <v>66</v>
      </c>
      <c r="W1903" t="str">
        <f t="shared" ca="1" si="89"/>
        <v>Active</v>
      </c>
    </row>
    <row r="1904" spans="1:23" x14ac:dyDescent="0.2">
      <c r="A1904">
        <v>596</v>
      </c>
      <c r="B1904" t="s">
        <v>2068</v>
      </c>
      <c r="C1904" t="s">
        <v>2069</v>
      </c>
      <c r="D1904" s="1" t="s">
        <v>177</v>
      </c>
      <c r="E1904" t="s">
        <v>2070</v>
      </c>
      <c r="F1904" t="s">
        <v>626</v>
      </c>
      <c r="G1904" s="4" t="s">
        <v>5424</v>
      </c>
      <c r="H1904" t="s">
        <v>160</v>
      </c>
      <c r="I1904" t="s">
        <v>201</v>
      </c>
      <c r="J1904" s="4" t="s">
        <v>60</v>
      </c>
      <c r="K1904" t="s">
        <v>2071</v>
      </c>
      <c r="L1904">
        <v>2</v>
      </c>
      <c r="M1904" t="s">
        <v>182</v>
      </c>
      <c r="N1904" t="s">
        <v>191</v>
      </c>
      <c r="O1904" t="s">
        <v>182</v>
      </c>
      <c r="P1904" s="2" t="str">
        <f t="shared" si="87"/>
        <v>24/12/2025 to 29/12/2025</v>
      </c>
      <c r="Q1904" s="3">
        <v>46015</v>
      </c>
      <c r="R1904" t="str">
        <f t="shared" si="88"/>
        <v>On-Time</v>
      </c>
      <c r="S1904" t="s">
        <v>195</v>
      </c>
      <c r="T1904">
        <v>19.5</v>
      </c>
      <c r="U1904" t="s">
        <v>65</v>
      </c>
      <c r="V1904" t="s">
        <v>80</v>
      </c>
      <c r="W1904" t="str">
        <f t="shared" ca="1" si="89"/>
        <v>Active</v>
      </c>
    </row>
    <row r="1905" spans="1:23" x14ac:dyDescent="0.2">
      <c r="A1905">
        <v>597</v>
      </c>
      <c r="B1905" t="s">
        <v>2068</v>
      </c>
      <c r="C1905" t="s">
        <v>2072</v>
      </c>
      <c r="D1905" s="1" t="s">
        <v>177</v>
      </c>
      <c r="E1905" t="s">
        <v>2070</v>
      </c>
      <c r="F1905" t="s">
        <v>626</v>
      </c>
      <c r="G1905" s="4" t="s">
        <v>5423</v>
      </c>
      <c r="H1905" t="s">
        <v>160</v>
      </c>
      <c r="I1905" t="s">
        <v>201</v>
      </c>
      <c r="J1905" s="4" t="s">
        <v>60</v>
      </c>
      <c r="K1905" t="s">
        <v>2073</v>
      </c>
      <c r="L1905">
        <v>4</v>
      </c>
      <c r="M1905" t="s">
        <v>182</v>
      </c>
      <c r="N1905" t="s">
        <v>182</v>
      </c>
      <c r="O1905" t="s">
        <v>190</v>
      </c>
      <c r="P1905" s="2" t="str">
        <f t="shared" si="87"/>
        <v>24/12/2025 to 29/12/2025</v>
      </c>
      <c r="Q1905" s="3">
        <v>46020</v>
      </c>
      <c r="R1905" t="str">
        <f t="shared" si="88"/>
        <v>On-Time</v>
      </c>
      <c r="S1905" t="s">
        <v>184</v>
      </c>
      <c r="T1905">
        <v>38.5</v>
      </c>
      <c r="U1905" t="s">
        <v>79</v>
      </c>
      <c r="V1905" t="s">
        <v>66</v>
      </c>
      <c r="W1905" t="str">
        <f t="shared" ca="1" si="89"/>
        <v>Active</v>
      </c>
    </row>
    <row r="1906" spans="1:23" x14ac:dyDescent="0.2">
      <c r="A1906">
        <v>598</v>
      </c>
      <c r="B1906" t="s">
        <v>2068</v>
      </c>
      <c r="C1906" t="s">
        <v>2074</v>
      </c>
      <c r="D1906" s="1" t="s">
        <v>177</v>
      </c>
      <c r="E1906" t="s">
        <v>2070</v>
      </c>
      <c r="F1906" t="s">
        <v>626</v>
      </c>
      <c r="G1906" s="4" t="s">
        <v>5428</v>
      </c>
      <c r="H1906" t="s">
        <v>160</v>
      </c>
      <c r="I1906" t="s">
        <v>201</v>
      </c>
      <c r="J1906" s="4" t="s">
        <v>60</v>
      </c>
      <c r="K1906" t="s">
        <v>18</v>
      </c>
      <c r="L1906">
        <v>1</v>
      </c>
      <c r="M1906" t="s">
        <v>181</v>
      </c>
      <c r="N1906" t="s">
        <v>181</v>
      </c>
      <c r="O1906" t="s">
        <v>190</v>
      </c>
      <c r="P1906" s="2" t="str">
        <f t="shared" si="87"/>
        <v>23/12/2025 to 26/12/2025</v>
      </c>
      <c r="Q1906" s="3">
        <v>46020</v>
      </c>
      <c r="R1906" t="str">
        <f t="shared" si="88"/>
        <v>Late</v>
      </c>
      <c r="S1906" t="s">
        <v>312</v>
      </c>
      <c r="T1906">
        <v>8.5</v>
      </c>
      <c r="U1906" t="s">
        <v>79</v>
      </c>
      <c r="V1906" t="s">
        <v>80</v>
      </c>
      <c r="W1906" t="str">
        <f t="shared" ca="1" si="89"/>
        <v>Active</v>
      </c>
    </row>
    <row r="1907" spans="1:23" x14ac:dyDescent="0.2">
      <c r="A1907">
        <v>599</v>
      </c>
      <c r="B1907" t="s">
        <v>2068</v>
      </c>
      <c r="C1907" t="s">
        <v>2075</v>
      </c>
      <c r="D1907" s="1" t="s">
        <v>177</v>
      </c>
      <c r="E1907" t="s">
        <v>2070</v>
      </c>
      <c r="F1907" t="s">
        <v>626</v>
      </c>
      <c r="G1907" s="4" t="s">
        <v>5423</v>
      </c>
      <c r="H1907" t="s">
        <v>160</v>
      </c>
      <c r="I1907" t="s">
        <v>201</v>
      </c>
      <c r="J1907" s="4" t="s">
        <v>68</v>
      </c>
      <c r="K1907" t="s">
        <v>2076</v>
      </c>
      <c r="L1907">
        <v>3</v>
      </c>
      <c r="M1907" t="s">
        <v>181</v>
      </c>
      <c r="N1907" t="s">
        <v>182</v>
      </c>
      <c r="O1907" t="s">
        <v>190</v>
      </c>
      <c r="P1907" s="2" t="str">
        <f t="shared" si="87"/>
        <v>23/12/2025 to 26/12/2025</v>
      </c>
      <c r="Q1907" s="3">
        <v>46020</v>
      </c>
      <c r="R1907" t="str">
        <f t="shared" si="88"/>
        <v>Late</v>
      </c>
      <c r="S1907" t="s">
        <v>312</v>
      </c>
      <c r="T1907">
        <v>27</v>
      </c>
      <c r="U1907" t="s">
        <v>79</v>
      </c>
      <c r="V1907" t="s">
        <v>72</v>
      </c>
      <c r="W1907" t="str">
        <f t="shared" ca="1" si="89"/>
        <v>Active</v>
      </c>
    </row>
    <row r="1908" spans="1:23" x14ac:dyDescent="0.2">
      <c r="A1908">
        <v>523</v>
      </c>
      <c r="B1908" t="s">
        <v>1883</v>
      </c>
      <c r="C1908" t="s">
        <v>1884</v>
      </c>
      <c r="D1908" s="1" t="s">
        <v>181</v>
      </c>
      <c r="E1908" t="s">
        <v>1885</v>
      </c>
      <c r="F1908" t="s">
        <v>881</v>
      </c>
      <c r="G1908" s="4" t="s">
        <v>5421</v>
      </c>
      <c r="H1908" t="s">
        <v>1886</v>
      </c>
      <c r="I1908" t="s">
        <v>112</v>
      </c>
      <c r="J1908" s="4" t="s">
        <v>5417</v>
      </c>
      <c r="K1908" t="s">
        <v>12</v>
      </c>
      <c r="L1908">
        <v>1</v>
      </c>
      <c r="M1908" t="s">
        <v>182</v>
      </c>
      <c r="N1908" t="s">
        <v>182</v>
      </c>
      <c r="O1908" t="s">
        <v>190</v>
      </c>
      <c r="P1908" s="2" t="str">
        <f t="shared" si="87"/>
        <v>24/12/2025 to 29/12/2025</v>
      </c>
      <c r="Q1908" s="3">
        <v>46019</v>
      </c>
      <c r="R1908" t="str">
        <f t="shared" si="88"/>
        <v>On-Time</v>
      </c>
      <c r="S1908" t="s">
        <v>312</v>
      </c>
      <c r="T1908">
        <v>9.5</v>
      </c>
      <c r="U1908" t="s">
        <v>65</v>
      </c>
      <c r="V1908" t="s">
        <v>66</v>
      </c>
      <c r="W1908" t="str">
        <f t="shared" ca="1" si="89"/>
        <v>Active</v>
      </c>
    </row>
    <row r="1909" spans="1:23" x14ac:dyDescent="0.2">
      <c r="A1909">
        <v>524</v>
      </c>
      <c r="B1909" t="s">
        <v>1883</v>
      </c>
      <c r="C1909" t="s">
        <v>1887</v>
      </c>
      <c r="D1909" s="1" t="s">
        <v>181</v>
      </c>
      <c r="E1909" t="s">
        <v>1885</v>
      </c>
      <c r="F1909" t="s">
        <v>881</v>
      </c>
      <c r="G1909" s="4" t="s">
        <v>5419</v>
      </c>
      <c r="H1909" t="s">
        <v>1886</v>
      </c>
      <c r="I1909" t="s">
        <v>112</v>
      </c>
      <c r="J1909" s="4" t="s">
        <v>74</v>
      </c>
      <c r="K1909" t="s">
        <v>1888</v>
      </c>
      <c r="L1909">
        <v>2</v>
      </c>
      <c r="M1909" t="s">
        <v>182</v>
      </c>
      <c r="N1909" t="s">
        <v>182</v>
      </c>
      <c r="O1909" t="s">
        <v>191</v>
      </c>
      <c r="P1909" s="2" t="str">
        <f t="shared" si="87"/>
        <v>24/12/2025 to 29/12/2025</v>
      </c>
      <c r="Q1909" s="3">
        <v>46020</v>
      </c>
      <c r="R1909" t="str">
        <f t="shared" si="88"/>
        <v>On-Time</v>
      </c>
      <c r="S1909" t="s">
        <v>184</v>
      </c>
      <c r="T1909">
        <v>18.5</v>
      </c>
      <c r="U1909" t="s">
        <v>79</v>
      </c>
      <c r="V1909" t="s">
        <v>80</v>
      </c>
      <c r="W1909" t="str">
        <f t="shared" ca="1" si="89"/>
        <v>Active</v>
      </c>
    </row>
    <row r="1910" spans="1:23" x14ac:dyDescent="0.2">
      <c r="A1910">
        <v>525</v>
      </c>
      <c r="B1910" t="s">
        <v>1883</v>
      </c>
      <c r="C1910" t="s">
        <v>1889</v>
      </c>
      <c r="D1910" s="1" t="s">
        <v>181</v>
      </c>
      <c r="E1910" t="s">
        <v>1885</v>
      </c>
      <c r="F1910" t="s">
        <v>881</v>
      </c>
      <c r="G1910" s="4" t="s">
        <v>5420</v>
      </c>
      <c r="H1910" t="s">
        <v>1886</v>
      </c>
      <c r="I1910" t="s">
        <v>112</v>
      </c>
      <c r="J1910" s="4" t="s">
        <v>5417</v>
      </c>
      <c r="K1910" t="s">
        <v>1890</v>
      </c>
      <c r="L1910">
        <v>3</v>
      </c>
      <c r="M1910" t="s">
        <v>190</v>
      </c>
      <c r="N1910" t="s">
        <v>596</v>
      </c>
      <c r="O1910" t="s">
        <v>191</v>
      </c>
      <c r="P1910" s="2" t="str">
        <f t="shared" si="87"/>
        <v>25/12/2025 to 30/12/2025</v>
      </c>
      <c r="Q1910" s="3">
        <v>46019</v>
      </c>
      <c r="R1910" t="str">
        <f t="shared" si="88"/>
        <v>On-Time</v>
      </c>
      <c r="S1910" t="s">
        <v>1108</v>
      </c>
      <c r="T1910">
        <v>28.5</v>
      </c>
      <c r="U1910" t="s">
        <v>79</v>
      </c>
      <c r="V1910" t="s">
        <v>66</v>
      </c>
      <c r="W1910" t="str">
        <f t="shared" ca="1" si="89"/>
        <v>Active</v>
      </c>
    </row>
    <row r="1911" spans="1:23" x14ac:dyDescent="0.2">
      <c r="A1911">
        <v>1649</v>
      </c>
      <c r="B1911" t="s">
        <v>4619</v>
      </c>
      <c r="C1911" t="s">
        <v>4620</v>
      </c>
      <c r="D1911" s="1" t="s">
        <v>181</v>
      </c>
      <c r="E1911" t="s">
        <v>4621</v>
      </c>
      <c r="F1911" t="s">
        <v>1154</v>
      </c>
      <c r="G1911" s="4" t="s">
        <v>5420</v>
      </c>
      <c r="H1911" t="s">
        <v>1836</v>
      </c>
      <c r="I1911" t="s">
        <v>112</v>
      </c>
      <c r="J1911" s="4" t="s">
        <v>74</v>
      </c>
      <c r="K1911" t="s">
        <v>4622</v>
      </c>
      <c r="L1911">
        <v>4</v>
      </c>
      <c r="M1911" t="s">
        <v>181</v>
      </c>
      <c r="N1911" t="s">
        <v>181</v>
      </c>
      <c r="O1911" t="s">
        <v>190</v>
      </c>
      <c r="P1911" s="2" t="str">
        <f t="shared" si="87"/>
        <v>23/12/2025 to 26/12/2025</v>
      </c>
      <c r="Q1911" s="3">
        <v>46018</v>
      </c>
      <c r="R1911" t="str">
        <f t="shared" si="88"/>
        <v>Late</v>
      </c>
      <c r="S1911" t="s">
        <v>184</v>
      </c>
      <c r="T1911">
        <v>38.5</v>
      </c>
      <c r="U1911" t="s">
        <v>65</v>
      </c>
      <c r="V1911" t="s">
        <v>66</v>
      </c>
      <c r="W1911" t="str">
        <f t="shared" ca="1" si="89"/>
        <v>Active</v>
      </c>
    </row>
    <row r="1912" spans="1:23" x14ac:dyDescent="0.2">
      <c r="A1912">
        <v>926</v>
      </c>
      <c r="B1912" t="s">
        <v>2880</v>
      </c>
      <c r="C1912" t="s">
        <v>2881</v>
      </c>
      <c r="D1912" s="1" t="s">
        <v>182</v>
      </c>
      <c r="E1912" t="s">
        <v>2882</v>
      </c>
      <c r="F1912" t="s">
        <v>121</v>
      </c>
      <c r="G1912" s="4" t="s">
        <v>5422</v>
      </c>
      <c r="H1912" t="s">
        <v>2883</v>
      </c>
      <c r="I1912" t="s">
        <v>59</v>
      </c>
      <c r="J1912" s="4" t="s">
        <v>68</v>
      </c>
      <c r="K1912" t="s">
        <v>934</v>
      </c>
      <c r="L1912">
        <v>2</v>
      </c>
      <c r="M1912" t="s">
        <v>182</v>
      </c>
      <c r="N1912" t="s">
        <v>182</v>
      </c>
      <c r="O1912" t="s">
        <v>191</v>
      </c>
      <c r="P1912" s="2" t="str">
        <f t="shared" si="87"/>
        <v>24/12/2025 to 29/12/2025</v>
      </c>
      <c r="Q1912" s="3">
        <v>46018</v>
      </c>
      <c r="R1912" t="str">
        <f t="shared" si="88"/>
        <v>On-Time</v>
      </c>
      <c r="S1912" t="s">
        <v>1108</v>
      </c>
      <c r="T1912">
        <v>18</v>
      </c>
      <c r="U1912" t="s">
        <v>65</v>
      </c>
      <c r="V1912" t="s">
        <v>66</v>
      </c>
      <c r="W1912" t="str">
        <f t="shared" ca="1" si="89"/>
        <v>Active</v>
      </c>
    </row>
    <row r="1913" spans="1:23" x14ac:dyDescent="0.2">
      <c r="A1913">
        <v>927</v>
      </c>
      <c r="B1913" t="s">
        <v>2880</v>
      </c>
      <c r="C1913" t="s">
        <v>2884</v>
      </c>
      <c r="D1913" s="1" t="s">
        <v>182</v>
      </c>
      <c r="E1913" t="s">
        <v>2882</v>
      </c>
      <c r="F1913" t="s">
        <v>121</v>
      </c>
      <c r="G1913" s="4" t="s">
        <v>5427</v>
      </c>
      <c r="H1913" t="s">
        <v>2883</v>
      </c>
      <c r="I1913" t="s">
        <v>59</v>
      </c>
      <c r="J1913" s="4" t="s">
        <v>74</v>
      </c>
      <c r="K1913" t="s">
        <v>10</v>
      </c>
      <c r="L1913">
        <v>1</v>
      </c>
      <c r="M1913" t="s">
        <v>190</v>
      </c>
      <c r="N1913" t="s">
        <v>191</v>
      </c>
      <c r="O1913" t="s">
        <v>191</v>
      </c>
      <c r="P1913" s="2" t="str">
        <f t="shared" si="87"/>
        <v>25/12/2025 to 30/12/2025</v>
      </c>
      <c r="Q1913" s="3">
        <v>46017</v>
      </c>
      <c r="R1913" t="str">
        <f t="shared" si="88"/>
        <v>On-Time</v>
      </c>
      <c r="S1913" t="s">
        <v>195</v>
      </c>
      <c r="T1913">
        <v>10</v>
      </c>
      <c r="U1913" t="s">
        <v>79</v>
      </c>
      <c r="V1913" t="s">
        <v>72</v>
      </c>
      <c r="W1913" t="str">
        <f t="shared" ca="1" si="89"/>
        <v>Active</v>
      </c>
    </row>
    <row r="1914" spans="1:23" x14ac:dyDescent="0.2">
      <c r="A1914">
        <v>1815</v>
      </c>
      <c r="B1914" t="s">
        <v>4993</v>
      </c>
      <c r="C1914" t="s">
        <v>4994</v>
      </c>
      <c r="D1914" s="1" t="s">
        <v>190</v>
      </c>
      <c r="E1914" t="s">
        <v>4995</v>
      </c>
      <c r="F1914" t="s">
        <v>303</v>
      </c>
      <c r="G1914" s="4" t="s">
        <v>38</v>
      </c>
      <c r="H1914" t="s">
        <v>4996</v>
      </c>
      <c r="I1914" t="s">
        <v>112</v>
      </c>
      <c r="J1914" s="4" t="s">
        <v>60</v>
      </c>
      <c r="K1914" t="s">
        <v>14</v>
      </c>
      <c r="L1914">
        <v>1</v>
      </c>
      <c r="M1914" t="s">
        <v>190</v>
      </c>
      <c r="N1914" t="s">
        <v>190</v>
      </c>
      <c r="O1914" t="s">
        <v>191</v>
      </c>
      <c r="P1914" s="2" t="str">
        <f t="shared" si="87"/>
        <v>25/12/2025 to 30/12/2025</v>
      </c>
      <c r="Q1914" s="3">
        <v>46015</v>
      </c>
      <c r="R1914" t="str">
        <f t="shared" si="88"/>
        <v>Late</v>
      </c>
      <c r="S1914" t="s">
        <v>192</v>
      </c>
      <c r="T1914">
        <v>9.5</v>
      </c>
      <c r="U1914" t="s">
        <v>79</v>
      </c>
      <c r="V1914" t="s">
        <v>72</v>
      </c>
      <c r="W1914" t="str">
        <f t="shared" ca="1" si="89"/>
        <v>Active</v>
      </c>
    </row>
    <row r="1915" spans="1:23" x14ac:dyDescent="0.2">
      <c r="A1915">
        <v>1816</v>
      </c>
      <c r="B1915" t="s">
        <v>4993</v>
      </c>
      <c r="C1915" t="s">
        <v>4997</v>
      </c>
      <c r="D1915" s="1" t="s">
        <v>190</v>
      </c>
      <c r="E1915" t="s">
        <v>4995</v>
      </c>
      <c r="F1915" t="s">
        <v>303</v>
      </c>
      <c r="G1915" s="4" t="s">
        <v>5424</v>
      </c>
      <c r="H1915" t="s">
        <v>4996</v>
      </c>
      <c r="I1915" t="s">
        <v>112</v>
      </c>
      <c r="J1915" s="4" t="s">
        <v>68</v>
      </c>
      <c r="K1915" t="s">
        <v>1788</v>
      </c>
      <c r="L1915">
        <v>2</v>
      </c>
      <c r="M1915" t="s">
        <v>191</v>
      </c>
      <c r="N1915" t="s">
        <v>596</v>
      </c>
      <c r="O1915" t="s">
        <v>1016</v>
      </c>
      <c r="P1915" s="2" t="str">
        <f t="shared" si="87"/>
        <v>26/12/2025 to 31/12/2025</v>
      </c>
      <c r="Q1915" s="3">
        <v>46019</v>
      </c>
      <c r="R1915" t="str">
        <f t="shared" si="88"/>
        <v>On-Time</v>
      </c>
      <c r="S1915" t="s">
        <v>312</v>
      </c>
      <c r="T1915">
        <v>17</v>
      </c>
      <c r="U1915" t="s">
        <v>65</v>
      </c>
      <c r="V1915" t="s">
        <v>72</v>
      </c>
      <c r="W1915" t="str">
        <f t="shared" ca="1" si="89"/>
        <v>Active</v>
      </c>
    </row>
    <row r="1916" spans="1:23" x14ac:dyDescent="0.2">
      <c r="A1916">
        <v>1434</v>
      </c>
      <c r="B1916" t="s">
        <v>4104</v>
      </c>
      <c r="C1916" t="s">
        <v>4105</v>
      </c>
      <c r="D1916" s="1" t="s">
        <v>191</v>
      </c>
      <c r="E1916" t="s">
        <v>4106</v>
      </c>
      <c r="F1916" t="s">
        <v>881</v>
      </c>
      <c r="G1916" s="4" t="s">
        <v>5419</v>
      </c>
      <c r="H1916" t="s">
        <v>4107</v>
      </c>
      <c r="I1916" t="s">
        <v>136</v>
      </c>
      <c r="J1916" s="4" t="s">
        <v>74</v>
      </c>
      <c r="K1916" t="s">
        <v>28</v>
      </c>
      <c r="L1916">
        <v>1</v>
      </c>
      <c r="M1916" t="s">
        <v>1016</v>
      </c>
      <c r="N1916" t="s">
        <v>1016</v>
      </c>
      <c r="O1916" t="s">
        <v>301</v>
      </c>
      <c r="P1916" s="2" t="str">
        <f t="shared" si="87"/>
        <v>30/12/2025 to 02/01/2026</v>
      </c>
      <c r="Q1916" s="3">
        <v>46024</v>
      </c>
      <c r="R1916" t="str">
        <f t="shared" si="88"/>
        <v>On-Time</v>
      </c>
      <c r="S1916" t="s">
        <v>306</v>
      </c>
      <c r="T1916">
        <v>9</v>
      </c>
      <c r="U1916" t="s">
        <v>65</v>
      </c>
      <c r="V1916" t="s">
        <v>66</v>
      </c>
      <c r="W1916" t="str">
        <f t="shared" ca="1" si="89"/>
        <v>Active</v>
      </c>
    </row>
    <row r="1917" spans="1:23" x14ac:dyDescent="0.2">
      <c r="A1917">
        <v>1435</v>
      </c>
      <c r="B1917" t="s">
        <v>4104</v>
      </c>
      <c r="C1917" t="s">
        <v>4108</v>
      </c>
      <c r="D1917" s="1" t="s">
        <v>191</v>
      </c>
      <c r="E1917" t="s">
        <v>4106</v>
      </c>
      <c r="F1917" t="s">
        <v>881</v>
      </c>
      <c r="G1917" s="4" t="s">
        <v>5425</v>
      </c>
      <c r="H1917" t="s">
        <v>4107</v>
      </c>
      <c r="I1917" t="s">
        <v>136</v>
      </c>
      <c r="J1917" s="4" t="s">
        <v>5417</v>
      </c>
      <c r="K1917" t="s">
        <v>32</v>
      </c>
      <c r="L1917">
        <v>1</v>
      </c>
      <c r="M1917" t="s">
        <v>191</v>
      </c>
      <c r="N1917" t="s">
        <v>191</v>
      </c>
      <c r="O1917" t="s">
        <v>596</v>
      </c>
      <c r="P1917" s="2" t="str">
        <f t="shared" si="87"/>
        <v>26/12/2025 to 31/12/2025</v>
      </c>
      <c r="Q1917" s="3">
        <v>46021</v>
      </c>
      <c r="R1917" t="str">
        <f t="shared" si="88"/>
        <v>On-Time</v>
      </c>
      <c r="S1917" t="s">
        <v>2623</v>
      </c>
      <c r="T1917">
        <v>14</v>
      </c>
      <c r="U1917" t="s">
        <v>79</v>
      </c>
      <c r="V1917" t="s">
        <v>66</v>
      </c>
      <c r="W1917" t="str">
        <f t="shared" ca="1" si="89"/>
        <v>Active</v>
      </c>
    </row>
    <row r="1918" spans="1:23" x14ac:dyDescent="0.2">
      <c r="A1918">
        <v>1436</v>
      </c>
      <c r="B1918" t="s">
        <v>4104</v>
      </c>
      <c r="C1918" t="s">
        <v>4109</v>
      </c>
      <c r="D1918" s="1" t="s">
        <v>191</v>
      </c>
      <c r="E1918" t="s">
        <v>4106</v>
      </c>
      <c r="F1918" t="s">
        <v>881</v>
      </c>
      <c r="G1918" s="4" t="s">
        <v>5425</v>
      </c>
      <c r="H1918" t="s">
        <v>4107</v>
      </c>
      <c r="I1918" t="s">
        <v>136</v>
      </c>
      <c r="J1918" s="4" t="s">
        <v>74</v>
      </c>
      <c r="K1918" t="s">
        <v>4110</v>
      </c>
      <c r="L1918">
        <v>3</v>
      </c>
      <c r="M1918" t="s">
        <v>191</v>
      </c>
      <c r="N1918" t="s">
        <v>596</v>
      </c>
      <c r="O1918" t="s">
        <v>191</v>
      </c>
      <c r="P1918" s="2" t="str">
        <f t="shared" si="87"/>
        <v>26/12/2025 to 31/12/2025</v>
      </c>
      <c r="Q1918" s="3">
        <v>46018</v>
      </c>
      <c r="R1918" t="str">
        <f t="shared" si="88"/>
        <v>On-Time</v>
      </c>
      <c r="S1918" t="s">
        <v>183</v>
      </c>
      <c r="T1918">
        <v>29.5</v>
      </c>
      <c r="U1918" t="s">
        <v>79</v>
      </c>
      <c r="V1918" t="s">
        <v>66</v>
      </c>
      <c r="W1918" t="str">
        <f t="shared" ca="1" si="89"/>
        <v>Active</v>
      </c>
    </row>
    <row r="1919" spans="1:23" x14ac:dyDescent="0.2">
      <c r="A1919">
        <v>547</v>
      </c>
      <c r="B1919" t="s">
        <v>1944</v>
      </c>
      <c r="C1919" t="s">
        <v>1945</v>
      </c>
      <c r="D1919" s="1" t="s">
        <v>596</v>
      </c>
      <c r="E1919" t="s">
        <v>1946</v>
      </c>
      <c r="F1919" t="s">
        <v>1036</v>
      </c>
      <c r="G1919" s="4" t="s">
        <v>5425</v>
      </c>
      <c r="H1919" t="s">
        <v>1947</v>
      </c>
      <c r="I1919" t="s">
        <v>112</v>
      </c>
      <c r="J1919" s="4" t="s">
        <v>74</v>
      </c>
      <c r="K1919" t="s">
        <v>1948</v>
      </c>
      <c r="L1919">
        <v>2</v>
      </c>
      <c r="M1919" t="s">
        <v>1016</v>
      </c>
      <c r="N1919" t="s">
        <v>301</v>
      </c>
      <c r="O1919" t="s">
        <v>305</v>
      </c>
      <c r="P1919" s="2" t="str">
        <f t="shared" si="87"/>
        <v>30/12/2025 to 02/01/2026</v>
      </c>
      <c r="Q1919" s="3">
        <v>46021</v>
      </c>
      <c r="R1919" t="str">
        <f t="shared" si="88"/>
        <v>On-Time</v>
      </c>
      <c r="S1919" t="s">
        <v>309</v>
      </c>
      <c r="T1919">
        <v>17.5</v>
      </c>
      <c r="U1919" t="s">
        <v>79</v>
      </c>
      <c r="V1919" t="s">
        <v>72</v>
      </c>
      <c r="W1919" t="str">
        <f t="shared" ca="1" si="89"/>
        <v>Active</v>
      </c>
    </row>
    <row r="1920" spans="1:23" x14ac:dyDescent="0.2">
      <c r="A1920">
        <v>548</v>
      </c>
      <c r="B1920" t="s">
        <v>1944</v>
      </c>
      <c r="C1920" t="s">
        <v>1949</v>
      </c>
      <c r="D1920" s="1" t="s">
        <v>596</v>
      </c>
      <c r="E1920" t="s">
        <v>1946</v>
      </c>
      <c r="F1920" t="s">
        <v>1036</v>
      </c>
      <c r="G1920" s="4" t="s">
        <v>5427</v>
      </c>
      <c r="H1920" t="s">
        <v>1947</v>
      </c>
      <c r="I1920" t="s">
        <v>112</v>
      </c>
      <c r="J1920" s="4" t="s">
        <v>68</v>
      </c>
      <c r="K1920" t="s">
        <v>1950</v>
      </c>
      <c r="L1920">
        <v>4</v>
      </c>
      <c r="M1920" t="s">
        <v>596</v>
      </c>
      <c r="N1920" t="s">
        <v>1016</v>
      </c>
      <c r="O1920" t="s">
        <v>1016</v>
      </c>
      <c r="P1920" s="2" t="str">
        <f t="shared" si="87"/>
        <v>29/12/2025 to 01/01/2026</v>
      </c>
      <c r="Q1920" s="3">
        <v>46017</v>
      </c>
      <c r="R1920" t="str">
        <f t="shared" si="88"/>
        <v>Late</v>
      </c>
      <c r="S1920" t="s">
        <v>183</v>
      </c>
      <c r="T1920">
        <v>41</v>
      </c>
      <c r="U1920" t="s">
        <v>79</v>
      </c>
      <c r="V1920" t="s">
        <v>80</v>
      </c>
      <c r="W1920" t="str">
        <f t="shared" ca="1" si="89"/>
        <v>Active</v>
      </c>
    </row>
    <row r="1921" spans="1:23" x14ac:dyDescent="0.2">
      <c r="A1921">
        <v>549</v>
      </c>
      <c r="B1921" t="s">
        <v>1944</v>
      </c>
      <c r="C1921" t="s">
        <v>1951</v>
      </c>
      <c r="D1921" s="1" t="s">
        <v>596</v>
      </c>
      <c r="E1921" t="s">
        <v>1946</v>
      </c>
      <c r="F1921" t="s">
        <v>1036</v>
      </c>
      <c r="G1921" s="4" t="s">
        <v>5428</v>
      </c>
      <c r="H1921" t="s">
        <v>1947</v>
      </c>
      <c r="I1921" t="s">
        <v>112</v>
      </c>
      <c r="J1921" s="4" t="s">
        <v>74</v>
      </c>
      <c r="K1921" t="s">
        <v>1952</v>
      </c>
      <c r="L1921">
        <v>3</v>
      </c>
      <c r="M1921" t="s">
        <v>1016</v>
      </c>
      <c r="N1921" t="s">
        <v>1016</v>
      </c>
      <c r="O1921" t="s">
        <v>1016</v>
      </c>
      <c r="P1921" s="2" t="str">
        <f t="shared" si="87"/>
        <v>30/12/2025 to 02/01/2026</v>
      </c>
      <c r="Q1921" s="3">
        <v>46017</v>
      </c>
      <c r="R1921" t="str">
        <f t="shared" si="88"/>
        <v>Late</v>
      </c>
      <c r="S1921" t="s">
        <v>183</v>
      </c>
      <c r="T1921">
        <v>29.5</v>
      </c>
      <c r="U1921" t="s">
        <v>79</v>
      </c>
      <c r="V1921" t="s">
        <v>72</v>
      </c>
      <c r="W1921" t="str">
        <f t="shared" ca="1" si="89"/>
        <v>Active</v>
      </c>
    </row>
    <row r="1922" spans="1:23" x14ac:dyDescent="0.2">
      <c r="A1922">
        <v>1805</v>
      </c>
      <c r="B1922" t="s">
        <v>4970</v>
      </c>
      <c r="C1922" t="s">
        <v>4971</v>
      </c>
      <c r="D1922" s="1" t="s">
        <v>596</v>
      </c>
      <c r="E1922" t="s">
        <v>4972</v>
      </c>
      <c r="F1922" t="s">
        <v>356</v>
      </c>
      <c r="G1922" s="4" t="s">
        <v>5428</v>
      </c>
      <c r="H1922" t="s">
        <v>4973</v>
      </c>
      <c r="I1922" t="s">
        <v>59</v>
      </c>
      <c r="J1922" s="4" t="s">
        <v>74</v>
      </c>
      <c r="K1922" t="s">
        <v>1110</v>
      </c>
      <c r="L1922">
        <v>2</v>
      </c>
      <c r="M1922" t="s">
        <v>1016</v>
      </c>
      <c r="N1922" t="s">
        <v>301</v>
      </c>
      <c r="O1922" t="s">
        <v>305</v>
      </c>
      <c r="P1922" s="2" t="str">
        <f t="shared" ref="P1922:P1985" si="90">IF(ISBLANK(M1922), "", TEXT(WORKDAY(M1922, 7), "dd/mm/yyyy") &amp; " to " &amp; TEXT(WORKDAY(M1922, 10), "dd/mm/yyyy"))</f>
        <v>30/12/2025 to 02/01/2026</v>
      </c>
      <c r="Q1922" s="3">
        <v>46019</v>
      </c>
      <c r="R1922" t="str">
        <f t="shared" ref="R1922:R1985" si="91">IF(Q1922="","In Progress",
IF(AND(--Q1922&gt;=DATEVALUE(LEFT(P1922,10)),
       --Q1922&lt;=DATEVALUE(TRIM(MID(P1922,FIND("to",P1922)+3,10)))),
   "On-Time","Late"))</f>
        <v>Late</v>
      </c>
      <c r="S1922" t="s">
        <v>312</v>
      </c>
      <c r="T1922">
        <v>16.5</v>
      </c>
      <c r="U1922" t="s">
        <v>65</v>
      </c>
      <c r="V1922" t="s">
        <v>72</v>
      </c>
      <c r="W1922" t="str">
        <f t="shared" ca="1" si="89"/>
        <v>Active</v>
      </c>
    </row>
    <row r="1923" spans="1:23" x14ac:dyDescent="0.2">
      <c r="A1923">
        <v>1806</v>
      </c>
      <c r="B1923" t="s">
        <v>4970</v>
      </c>
      <c r="C1923" t="s">
        <v>4974</v>
      </c>
      <c r="D1923" s="1" t="s">
        <v>596</v>
      </c>
      <c r="E1923" t="s">
        <v>4972</v>
      </c>
      <c r="F1923" t="s">
        <v>356</v>
      </c>
      <c r="G1923" s="4" t="s">
        <v>5424</v>
      </c>
      <c r="H1923" t="s">
        <v>4973</v>
      </c>
      <c r="I1923" t="s">
        <v>59</v>
      </c>
      <c r="J1923" s="4" t="s">
        <v>60</v>
      </c>
      <c r="K1923" t="s">
        <v>1209</v>
      </c>
      <c r="L1923">
        <v>2</v>
      </c>
      <c r="M1923" t="s">
        <v>596</v>
      </c>
      <c r="N1923" t="s">
        <v>301</v>
      </c>
      <c r="O1923" t="s">
        <v>596</v>
      </c>
      <c r="P1923" s="2" t="str">
        <f t="shared" si="90"/>
        <v>29/12/2025 to 01/01/2026</v>
      </c>
      <c r="Q1923" s="3">
        <v>46021</v>
      </c>
      <c r="R1923" t="str">
        <f t="shared" si="91"/>
        <v>On-Time</v>
      </c>
      <c r="S1923" t="s">
        <v>309</v>
      </c>
      <c r="T1923">
        <v>19</v>
      </c>
      <c r="U1923" t="s">
        <v>79</v>
      </c>
      <c r="V1923" t="s">
        <v>66</v>
      </c>
      <c r="W1923" t="str">
        <f t="shared" ref="W1923:W1986" ca="1" si="92">IF(D1923="","",
IF(TODAY()-D1923&lt;=120,"Active",
IF(TODAY()-D1923&lt;=210,"At Risk",
IF(TODAY()-D1923&lt;=395,"Dormant",
IF(TODAY()-D1923&lt;=730,"Inactive","Archived")))))</f>
        <v>Active</v>
      </c>
    </row>
    <row r="1924" spans="1:23" x14ac:dyDescent="0.2">
      <c r="A1924">
        <v>296</v>
      </c>
      <c r="B1924" t="s">
        <v>1244</v>
      </c>
      <c r="C1924" t="s">
        <v>1245</v>
      </c>
      <c r="D1924" s="1" t="s">
        <v>1016</v>
      </c>
      <c r="E1924" t="s">
        <v>1246</v>
      </c>
      <c r="F1924" t="s">
        <v>626</v>
      </c>
      <c r="G1924" s="4" t="s">
        <v>5425</v>
      </c>
      <c r="H1924" t="s">
        <v>1247</v>
      </c>
      <c r="I1924" t="s">
        <v>59</v>
      </c>
      <c r="J1924" s="4" t="s">
        <v>5417</v>
      </c>
      <c r="K1924" t="s">
        <v>1248</v>
      </c>
      <c r="L1924">
        <v>2</v>
      </c>
      <c r="M1924" t="s">
        <v>305</v>
      </c>
      <c r="N1924" t="s">
        <v>316</v>
      </c>
      <c r="O1924" t="s">
        <v>305</v>
      </c>
      <c r="P1924" s="2" t="str">
        <f t="shared" si="90"/>
        <v>30/12/2025 to 02/01/2026</v>
      </c>
      <c r="Q1924" s="3">
        <v>46019</v>
      </c>
      <c r="R1924" t="str">
        <f t="shared" si="91"/>
        <v>Late</v>
      </c>
      <c r="S1924" t="s">
        <v>184</v>
      </c>
      <c r="T1924">
        <v>17.5</v>
      </c>
      <c r="U1924" t="s">
        <v>79</v>
      </c>
      <c r="V1924" t="s">
        <v>80</v>
      </c>
      <c r="W1924" t="str">
        <f t="shared" ca="1" si="92"/>
        <v>Active</v>
      </c>
    </row>
    <row r="1925" spans="1:23" x14ac:dyDescent="0.2">
      <c r="A1925">
        <v>297</v>
      </c>
      <c r="B1925" t="s">
        <v>1244</v>
      </c>
      <c r="C1925" t="s">
        <v>1249</v>
      </c>
      <c r="D1925" s="1" t="s">
        <v>1016</v>
      </c>
      <c r="E1925" t="s">
        <v>1246</v>
      </c>
      <c r="F1925" t="s">
        <v>626</v>
      </c>
      <c r="G1925" s="4" t="s">
        <v>5424</v>
      </c>
      <c r="H1925" t="s">
        <v>1247</v>
      </c>
      <c r="I1925" t="s">
        <v>59</v>
      </c>
      <c r="J1925" s="4" t="s">
        <v>68</v>
      </c>
      <c r="K1925" t="s">
        <v>82</v>
      </c>
      <c r="L1925">
        <v>2</v>
      </c>
      <c r="M1925" t="s">
        <v>1016</v>
      </c>
      <c r="N1925" t="s">
        <v>305</v>
      </c>
      <c r="O1925" t="s">
        <v>1016</v>
      </c>
      <c r="P1925" s="2" t="str">
        <f t="shared" si="90"/>
        <v>30/12/2025 to 02/01/2026</v>
      </c>
      <c r="Q1925" s="3">
        <v>46017</v>
      </c>
      <c r="R1925" t="str">
        <f t="shared" si="91"/>
        <v>Late</v>
      </c>
      <c r="S1925" t="s">
        <v>183</v>
      </c>
      <c r="T1925">
        <v>19.5</v>
      </c>
      <c r="U1925" t="s">
        <v>79</v>
      </c>
      <c r="V1925" t="s">
        <v>72</v>
      </c>
      <c r="W1925" t="str">
        <f t="shared" ca="1" si="92"/>
        <v>Active</v>
      </c>
    </row>
    <row r="1926" spans="1:23" x14ac:dyDescent="0.2">
      <c r="A1926">
        <v>47</v>
      </c>
      <c r="B1926" t="s">
        <v>299</v>
      </c>
      <c r="C1926" t="s">
        <v>300</v>
      </c>
      <c r="D1926" s="1" t="s">
        <v>301</v>
      </c>
      <c r="E1926" t="s">
        <v>302</v>
      </c>
      <c r="F1926" t="s">
        <v>303</v>
      </c>
      <c r="G1926" s="4" t="s">
        <v>5426</v>
      </c>
      <c r="H1926" t="s">
        <v>222</v>
      </c>
      <c r="I1926" t="s">
        <v>136</v>
      </c>
      <c r="J1926" s="4" t="s">
        <v>68</v>
      </c>
      <c r="K1926" t="s">
        <v>304</v>
      </c>
      <c r="L1926">
        <v>2</v>
      </c>
      <c r="M1926" t="s">
        <v>301</v>
      </c>
      <c r="N1926" t="s">
        <v>305</v>
      </c>
      <c r="O1926" t="s">
        <v>301</v>
      </c>
      <c r="P1926" s="2" t="str">
        <f t="shared" si="90"/>
        <v>30/12/2025 to 02/01/2026</v>
      </c>
      <c r="Q1926" s="3">
        <v>46024</v>
      </c>
      <c r="R1926" t="str">
        <f t="shared" si="91"/>
        <v>On-Time</v>
      </c>
      <c r="S1926" t="s">
        <v>306</v>
      </c>
      <c r="T1926">
        <v>21</v>
      </c>
      <c r="U1926" t="s">
        <v>79</v>
      </c>
      <c r="V1926" t="s">
        <v>66</v>
      </c>
      <c r="W1926" t="str">
        <f t="shared" ca="1" si="92"/>
        <v>Active</v>
      </c>
    </row>
    <row r="1927" spans="1:23" x14ac:dyDescent="0.2">
      <c r="A1927">
        <v>48</v>
      </c>
      <c r="B1927" t="s">
        <v>299</v>
      </c>
      <c r="C1927" t="s">
        <v>307</v>
      </c>
      <c r="D1927" s="1" t="s">
        <v>301</v>
      </c>
      <c r="E1927" t="s">
        <v>302</v>
      </c>
      <c r="F1927" t="s">
        <v>303</v>
      </c>
      <c r="G1927" s="4" t="s">
        <v>5421</v>
      </c>
      <c r="H1927" t="s">
        <v>222</v>
      </c>
      <c r="I1927" t="s">
        <v>136</v>
      </c>
      <c r="J1927" s="4" t="s">
        <v>74</v>
      </c>
      <c r="K1927" t="s">
        <v>308</v>
      </c>
      <c r="L1927">
        <v>2</v>
      </c>
      <c r="M1927" t="s">
        <v>301</v>
      </c>
      <c r="N1927" t="s">
        <v>301</v>
      </c>
      <c r="O1927" t="s">
        <v>301</v>
      </c>
      <c r="P1927" s="2" t="str">
        <f t="shared" si="90"/>
        <v>30/12/2025 to 02/01/2026</v>
      </c>
      <c r="Q1927" s="3">
        <v>46020</v>
      </c>
      <c r="R1927" t="str">
        <f t="shared" si="91"/>
        <v>Late</v>
      </c>
      <c r="S1927" t="s">
        <v>309</v>
      </c>
      <c r="T1927">
        <v>18.5</v>
      </c>
      <c r="U1927" t="s">
        <v>65</v>
      </c>
      <c r="V1927" t="s">
        <v>72</v>
      </c>
      <c r="W1927" t="str">
        <f t="shared" ca="1" si="92"/>
        <v>Active</v>
      </c>
    </row>
    <row r="1928" spans="1:23" x14ac:dyDescent="0.2">
      <c r="A1928">
        <v>49</v>
      </c>
      <c r="B1928" t="s">
        <v>299</v>
      </c>
      <c r="C1928" t="s">
        <v>310</v>
      </c>
      <c r="D1928" s="1" t="s">
        <v>301</v>
      </c>
      <c r="E1928" t="s">
        <v>302</v>
      </c>
      <c r="F1928" t="s">
        <v>303</v>
      </c>
      <c r="G1928" s="4" t="s">
        <v>5418</v>
      </c>
      <c r="H1928" t="s">
        <v>222</v>
      </c>
      <c r="I1928" t="s">
        <v>136</v>
      </c>
      <c r="J1928" s="4" t="s">
        <v>74</v>
      </c>
      <c r="K1928" t="s">
        <v>311</v>
      </c>
      <c r="L1928">
        <v>4</v>
      </c>
      <c r="M1928" t="s">
        <v>301</v>
      </c>
      <c r="N1928" t="s">
        <v>305</v>
      </c>
      <c r="O1928" t="s">
        <v>301</v>
      </c>
      <c r="P1928" s="2" t="str">
        <f t="shared" si="90"/>
        <v>30/12/2025 to 02/01/2026</v>
      </c>
      <c r="Q1928" s="3">
        <v>46021</v>
      </c>
      <c r="R1928" t="str">
        <f t="shared" si="91"/>
        <v>On-Time</v>
      </c>
      <c r="S1928" t="s">
        <v>312</v>
      </c>
      <c r="T1928">
        <v>38</v>
      </c>
      <c r="U1928" t="s">
        <v>79</v>
      </c>
      <c r="V1928" t="s">
        <v>72</v>
      </c>
      <c r="W1928" t="str">
        <f t="shared" ca="1" si="92"/>
        <v>Active</v>
      </c>
    </row>
    <row r="1929" spans="1:23" x14ac:dyDescent="0.2">
      <c r="A1929">
        <v>50</v>
      </c>
      <c r="B1929" t="s">
        <v>299</v>
      </c>
      <c r="C1929" t="s">
        <v>313</v>
      </c>
      <c r="D1929" s="1" t="s">
        <v>301</v>
      </c>
      <c r="E1929" t="s">
        <v>302</v>
      </c>
      <c r="F1929" t="s">
        <v>303</v>
      </c>
      <c r="G1929" s="4" t="s">
        <v>5420</v>
      </c>
      <c r="H1929" t="s">
        <v>222</v>
      </c>
      <c r="I1929" t="s">
        <v>136</v>
      </c>
      <c r="J1929" s="4" t="s">
        <v>60</v>
      </c>
      <c r="K1929" t="s">
        <v>28</v>
      </c>
      <c r="L1929">
        <v>1</v>
      </c>
      <c r="M1929" t="s">
        <v>301</v>
      </c>
      <c r="N1929" t="s">
        <v>301</v>
      </c>
      <c r="O1929" t="s">
        <v>301</v>
      </c>
      <c r="P1929" s="2" t="str">
        <f t="shared" si="90"/>
        <v>30/12/2025 to 02/01/2026</v>
      </c>
      <c r="Q1929" s="3">
        <v>46020</v>
      </c>
      <c r="R1929" t="str">
        <f t="shared" si="91"/>
        <v>Late</v>
      </c>
      <c r="S1929" t="s">
        <v>312</v>
      </c>
      <c r="T1929">
        <v>9</v>
      </c>
      <c r="U1929" t="s">
        <v>79</v>
      </c>
      <c r="V1929" t="s">
        <v>80</v>
      </c>
      <c r="W1929" t="str">
        <f t="shared" ca="1" si="92"/>
        <v>Active</v>
      </c>
    </row>
    <row r="1930" spans="1:23" x14ac:dyDescent="0.2">
      <c r="A1930">
        <v>51</v>
      </c>
      <c r="B1930" t="s">
        <v>299</v>
      </c>
      <c r="C1930" t="s">
        <v>314</v>
      </c>
      <c r="D1930" s="1" t="s">
        <v>301</v>
      </c>
      <c r="E1930" t="s">
        <v>302</v>
      </c>
      <c r="F1930" t="s">
        <v>303</v>
      </c>
      <c r="G1930" s="4" t="s">
        <v>5421</v>
      </c>
      <c r="H1930" t="s">
        <v>222</v>
      </c>
      <c r="I1930" t="s">
        <v>136</v>
      </c>
      <c r="J1930" s="4" t="s">
        <v>5417</v>
      </c>
      <c r="K1930" t="s">
        <v>315</v>
      </c>
      <c r="L1930">
        <v>3</v>
      </c>
      <c r="M1930" t="s">
        <v>305</v>
      </c>
      <c r="N1930" t="s">
        <v>305</v>
      </c>
      <c r="O1930" t="s">
        <v>316</v>
      </c>
      <c r="P1930" s="2" t="str">
        <f t="shared" si="90"/>
        <v>30/12/2025 to 02/01/2026</v>
      </c>
      <c r="Q1930" s="3">
        <v>46026</v>
      </c>
      <c r="R1930" t="str">
        <f t="shared" si="91"/>
        <v>Late</v>
      </c>
      <c r="S1930" t="s">
        <v>317</v>
      </c>
      <c r="T1930">
        <v>25.5</v>
      </c>
      <c r="U1930" t="s">
        <v>65</v>
      </c>
      <c r="V1930" t="s">
        <v>72</v>
      </c>
      <c r="W1930" t="str">
        <f t="shared" ca="1" si="92"/>
        <v>Active</v>
      </c>
    </row>
    <row r="1931" spans="1:23" x14ac:dyDescent="0.2">
      <c r="A1931">
        <v>554</v>
      </c>
      <c r="B1931" t="s">
        <v>1962</v>
      </c>
      <c r="C1931" t="s">
        <v>1963</v>
      </c>
      <c r="D1931" s="1" t="s">
        <v>305</v>
      </c>
      <c r="E1931" t="s">
        <v>1964</v>
      </c>
      <c r="F1931" t="s">
        <v>803</v>
      </c>
      <c r="G1931" s="4" t="s">
        <v>5423</v>
      </c>
      <c r="H1931" t="s">
        <v>1116</v>
      </c>
      <c r="I1931" t="s">
        <v>59</v>
      </c>
      <c r="J1931" s="4" t="s">
        <v>5417</v>
      </c>
      <c r="K1931" t="s">
        <v>1965</v>
      </c>
      <c r="L1931">
        <v>4</v>
      </c>
      <c r="M1931" t="s">
        <v>1105</v>
      </c>
      <c r="N1931" t="s">
        <v>316</v>
      </c>
      <c r="O1931" t="s">
        <v>187</v>
      </c>
      <c r="P1931" s="2" t="str">
        <f t="shared" si="90"/>
        <v>31/12/2025 to 05/01/2026</v>
      </c>
      <c r="Q1931" s="3">
        <v>46022</v>
      </c>
      <c r="R1931" t="str">
        <f t="shared" si="91"/>
        <v>On-Time</v>
      </c>
      <c r="S1931" t="s">
        <v>306</v>
      </c>
      <c r="T1931">
        <v>37.5</v>
      </c>
      <c r="U1931" t="s">
        <v>65</v>
      </c>
      <c r="V1931" t="s">
        <v>66</v>
      </c>
      <c r="W1931" t="str">
        <f t="shared" ca="1" si="92"/>
        <v>Active</v>
      </c>
    </row>
    <row r="1932" spans="1:23" x14ac:dyDescent="0.2">
      <c r="A1932">
        <v>555</v>
      </c>
      <c r="B1932" t="s">
        <v>1962</v>
      </c>
      <c r="C1932" t="s">
        <v>1966</v>
      </c>
      <c r="D1932" s="1" t="s">
        <v>305</v>
      </c>
      <c r="E1932" t="s">
        <v>1964</v>
      </c>
      <c r="F1932" t="s">
        <v>803</v>
      </c>
      <c r="G1932" s="4" t="s">
        <v>5419</v>
      </c>
      <c r="H1932" t="s">
        <v>1116</v>
      </c>
      <c r="I1932" t="s">
        <v>59</v>
      </c>
      <c r="J1932" s="4" t="s">
        <v>5417</v>
      </c>
      <c r="K1932" t="s">
        <v>1967</v>
      </c>
      <c r="L1932">
        <v>3</v>
      </c>
      <c r="M1932" t="s">
        <v>316</v>
      </c>
      <c r="N1932" t="s">
        <v>192</v>
      </c>
      <c r="O1932" t="s">
        <v>192</v>
      </c>
      <c r="P1932" s="2" t="str">
        <f t="shared" si="90"/>
        <v>01/01/2026 to 06/01/2026</v>
      </c>
      <c r="Q1932" s="3">
        <v>46026</v>
      </c>
      <c r="R1932" t="str">
        <f t="shared" si="91"/>
        <v>On-Time</v>
      </c>
      <c r="S1932" t="s">
        <v>1503</v>
      </c>
      <c r="T1932">
        <v>28.5</v>
      </c>
      <c r="U1932" t="s">
        <v>79</v>
      </c>
      <c r="V1932" t="s">
        <v>66</v>
      </c>
      <c r="W1932" t="str">
        <f t="shared" ca="1" si="92"/>
        <v>Active</v>
      </c>
    </row>
    <row r="1933" spans="1:23" x14ac:dyDescent="0.2">
      <c r="A1933">
        <v>1119</v>
      </c>
      <c r="B1933" t="s">
        <v>3353</v>
      </c>
      <c r="C1933" t="s">
        <v>3354</v>
      </c>
      <c r="D1933" s="1" t="s">
        <v>305</v>
      </c>
      <c r="E1933" t="s">
        <v>3355</v>
      </c>
      <c r="F1933" t="s">
        <v>1077</v>
      </c>
      <c r="G1933" s="4" t="s">
        <v>5422</v>
      </c>
      <c r="H1933" t="s">
        <v>3356</v>
      </c>
      <c r="I1933" t="s">
        <v>136</v>
      </c>
      <c r="J1933" s="4" t="s">
        <v>5417</v>
      </c>
      <c r="K1933" t="s">
        <v>3357</v>
      </c>
      <c r="L1933">
        <v>4</v>
      </c>
      <c r="M1933" t="s">
        <v>1105</v>
      </c>
      <c r="N1933" t="s">
        <v>316</v>
      </c>
      <c r="O1933" t="s">
        <v>1105</v>
      </c>
      <c r="P1933" s="2" t="str">
        <f t="shared" si="90"/>
        <v>31/12/2025 to 05/01/2026</v>
      </c>
      <c r="Q1933" s="3">
        <v>46021</v>
      </c>
      <c r="R1933" t="str">
        <f t="shared" si="91"/>
        <v>Late</v>
      </c>
      <c r="S1933" t="s">
        <v>309</v>
      </c>
      <c r="T1933">
        <v>40</v>
      </c>
      <c r="U1933" t="s">
        <v>65</v>
      </c>
      <c r="V1933" t="s">
        <v>72</v>
      </c>
      <c r="W1933" t="str">
        <f t="shared" ca="1" si="92"/>
        <v>Active</v>
      </c>
    </row>
    <row r="1934" spans="1:23" x14ac:dyDescent="0.2">
      <c r="A1934">
        <v>1120</v>
      </c>
      <c r="B1934" t="s">
        <v>3353</v>
      </c>
      <c r="C1934" t="s">
        <v>3358</v>
      </c>
      <c r="D1934" s="1" t="s">
        <v>305</v>
      </c>
      <c r="E1934" t="s">
        <v>3355</v>
      </c>
      <c r="F1934" t="s">
        <v>1077</v>
      </c>
      <c r="G1934" s="4" t="s">
        <v>5421</v>
      </c>
      <c r="H1934" t="s">
        <v>3356</v>
      </c>
      <c r="I1934" t="s">
        <v>136</v>
      </c>
      <c r="J1934" s="4" t="s">
        <v>74</v>
      </c>
      <c r="K1934" t="s">
        <v>2099</v>
      </c>
      <c r="L1934">
        <v>2</v>
      </c>
      <c r="M1934" t="s">
        <v>305</v>
      </c>
      <c r="N1934" t="s">
        <v>1105</v>
      </c>
      <c r="O1934" t="s">
        <v>1105</v>
      </c>
      <c r="P1934" s="2" t="str">
        <f t="shared" si="90"/>
        <v>30/12/2025 to 02/01/2026</v>
      </c>
      <c r="Q1934" s="3">
        <v>46026</v>
      </c>
      <c r="R1934" t="str">
        <f t="shared" si="91"/>
        <v>Late</v>
      </c>
      <c r="S1934" t="s">
        <v>1500</v>
      </c>
      <c r="T1934">
        <v>22.5</v>
      </c>
      <c r="U1934" t="s">
        <v>65</v>
      </c>
      <c r="V1934" t="s">
        <v>72</v>
      </c>
      <c r="W1934" t="str">
        <f t="shared" ca="1" si="92"/>
        <v>Active</v>
      </c>
    </row>
    <row r="1935" spans="1:23" x14ac:dyDescent="0.2">
      <c r="A1935">
        <v>1121</v>
      </c>
      <c r="B1935" t="s">
        <v>3353</v>
      </c>
      <c r="C1935" t="s">
        <v>3359</v>
      </c>
      <c r="D1935" s="1" t="s">
        <v>305</v>
      </c>
      <c r="E1935" t="s">
        <v>3355</v>
      </c>
      <c r="F1935" t="s">
        <v>1077</v>
      </c>
      <c r="G1935" s="4" t="s">
        <v>5425</v>
      </c>
      <c r="H1935" t="s">
        <v>3356</v>
      </c>
      <c r="I1935" t="s">
        <v>136</v>
      </c>
      <c r="J1935" s="4" t="s">
        <v>68</v>
      </c>
      <c r="K1935" t="s">
        <v>1458</v>
      </c>
      <c r="L1935">
        <v>2</v>
      </c>
      <c r="M1935" t="s">
        <v>316</v>
      </c>
      <c r="N1935" t="s">
        <v>316</v>
      </c>
      <c r="O1935" t="s">
        <v>192</v>
      </c>
      <c r="P1935" s="2" t="str">
        <f t="shared" si="90"/>
        <v>01/01/2026 to 06/01/2026</v>
      </c>
      <c r="Q1935" s="3">
        <v>46028</v>
      </c>
      <c r="R1935" t="str">
        <f t="shared" si="91"/>
        <v>On-Time</v>
      </c>
      <c r="S1935" t="s">
        <v>1496</v>
      </c>
      <c r="T1935">
        <v>22</v>
      </c>
      <c r="U1935" t="s">
        <v>65</v>
      </c>
      <c r="V1935" t="s">
        <v>66</v>
      </c>
      <c r="W1935" t="str">
        <f t="shared" ca="1" si="92"/>
        <v>Active</v>
      </c>
    </row>
    <row r="1936" spans="1:23" x14ac:dyDescent="0.2">
      <c r="A1936">
        <v>1246</v>
      </c>
      <c r="B1936" t="s">
        <v>3654</v>
      </c>
      <c r="C1936" t="s">
        <v>3655</v>
      </c>
      <c r="D1936" s="1" t="s">
        <v>305</v>
      </c>
      <c r="E1936" t="s">
        <v>3656</v>
      </c>
      <c r="F1936" t="s">
        <v>607</v>
      </c>
      <c r="G1936" s="4" t="s">
        <v>5428</v>
      </c>
      <c r="H1936" t="s">
        <v>3657</v>
      </c>
      <c r="I1936" t="s">
        <v>59</v>
      </c>
      <c r="J1936" s="4" t="s">
        <v>60</v>
      </c>
      <c r="K1936" t="s">
        <v>3658</v>
      </c>
      <c r="L1936">
        <v>4</v>
      </c>
      <c r="M1936" t="s">
        <v>316</v>
      </c>
      <c r="N1936" t="s">
        <v>187</v>
      </c>
      <c r="O1936" t="s">
        <v>192</v>
      </c>
      <c r="P1936" s="2" t="str">
        <f t="shared" si="90"/>
        <v>01/01/2026 to 06/01/2026</v>
      </c>
      <c r="Q1936" s="3">
        <v>46029</v>
      </c>
      <c r="R1936" t="str">
        <f t="shared" si="91"/>
        <v>Late</v>
      </c>
      <c r="S1936" t="s">
        <v>2198</v>
      </c>
      <c r="T1936">
        <v>41</v>
      </c>
      <c r="U1936" t="s">
        <v>65</v>
      </c>
      <c r="V1936" t="s">
        <v>80</v>
      </c>
      <c r="W1936" t="str">
        <f t="shared" ca="1" si="92"/>
        <v>Active</v>
      </c>
    </row>
    <row r="1937" spans="1:23" x14ac:dyDescent="0.2">
      <c r="A1937">
        <v>1247</v>
      </c>
      <c r="B1937" t="s">
        <v>3654</v>
      </c>
      <c r="C1937" t="s">
        <v>3659</v>
      </c>
      <c r="D1937" s="1" t="s">
        <v>305</v>
      </c>
      <c r="E1937" t="s">
        <v>3656</v>
      </c>
      <c r="F1937" t="s">
        <v>607</v>
      </c>
      <c r="G1937" s="4" t="s">
        <v>38</v>
      </c>
      <c r="H1937" t="s">
        <v>3657</v>
      </c>
      <c r="I1937" t="s">
        <v>59</v>
      </c>
      <c r="J1937" s="4" t="s">
        <v>68</v>
      </c>
      <c r="K1937" t="s">
        <v>1230</v>
      </c>
      <c r="L1937">
        <v>2</v>
      </c>
      <c r="M1937" t="s">
        <v>316</v>
      </c>
      <c r="N1937" t="s">
        <v>187</v>
      </c>
      <c r="O1937" t="s">
        <v>316</v>
      </c>
      <c r="P1937" s="2" t="str">
        <f t="shared" si="90"/>
        <v>01/01/2026 to 06/01/2026</v>
      </c>
      <c r="Q1937" s="3">
        <v>46021</v>
      </c>
      <c r="R1937" t="str">
        <f t="shared" si="91"/>
        <v>Late</v>
      </c>
      <c r="S1937" t="s">
        <v>2623</v>
      </c>
      <c r="T1937">
        <v>19.5</v>
      </c>
      <c r="U1937" t="s">
        <v>79</v>
      </c>
      <c r="V1937" t="s">
        <v>72</v>
      </c>
      <c r="W1937" t="str">
        <f t="shared" ca="1" si="92"/>
        <v>Active</v>
      </c>
    </row>
    <row r="1938" spans="1:23" x14ac:dyDescent="0.2">
      <c r="A1938">
        <v>1248</v>
      </c>
      <c r="B1938" t="s">
        <v>3654</v>
      </c>
      <c r="C1938" t="s">
        <v>3660</v>
      </c>
      <c r="D1938" s="1" t="s">
        <v>305</v>
      </c>
      <c r="E1938" t="s">
        <v>3656</v>
      </c>
      <c r="F1938" t="s">
        <v>607</v>
      </c>
      <c r="G1938" s="4" t="s">
        <v>5419</v>
      </c>
      <c r="H1938" t="s">
        <v>3657</v>
      </c>
      <c r="I1938" t="s">
        <v>59</v>
      </c>
      <c r="J1938" s="4" t="s">
        <v>5417</v>
      </c>
      <c r="K1938" t="s">
        <v>3661</v>
      </c>
      <c r="L1938">
        <v>4</v>
      </c>
      <c r="M1938" t="s">
        <v>316</v>
      </c>
      <c r="N1938" t="s">
        <v>316</v>
      </c>
      <c r="O1938" t="s">
        <v>316</v>
      </c>
      <c r="P1938" s="2" t="str">
        <f t="shared" si="90"/>
        <v>01/01/2026 to 06/01/2026</v>
      </c>
      <c r="Q1938" s="3">
        <v>46024</v>
      </c>
      <c r="R1938" t="str">
        <f t="shared" si="91"/>
        <v>On-Time</v>
      </c>
      <c r="S1938" t="s">
        <v>317</v>
      </c>
      <c r="T1938">
        <v>37.5</v>
      </c>
      <c r="U1938" t="s">
        <v>65</v>
      </c>
      <c r="V1938" t="s">
        <v>66</v>
      </c>
      <c r="W1938" t="str">
        <f t="shared" ca="1" si="92"/>
        <v>Active</v>
      </c>
    </row>
    <row r="1939" spans="1:23" x14ac:dyDescent="0.2">
      <c r="A1939">
        <v>1930</v>
      </c>
      <c r="B1939" t="s">
        <v>5250</v>
      </c>
      <c r="C1939" t="s">
        <v>5251</v>
      </c>
      <c r="D1939" s="1" t="s">
        <v>305</v>
      </c>
      <c r="E1939" t="s">
        <v>5252</v>
      </c>
      <c r="F1939" t="s">
        <v>229</v>
      </c>
      <c r="G1939" s="4" t="s">
        <v>5424</v>
      </c>
      <c r="H1939" t="s">
        <v>5253</v>
      </c>
      <c r="I1939" t="s">
        <v>136</v>
      </c>
      <c r="J1939" s="4" t="s">
        <v>5417</v>
      </c>
      <c r="K1939" t="s">
        <v>4</v>
      </c>
      <c r="L1939">
        <v>1</v>
      </c>
      <c r="M1939" t="s">
        <v>1105</v>
      </c>
      <c r="N1939" t="s">
        <v>1105</v>
      </c>
      <c r="O1939" t="s">
        <v>187</v>
      </c>
      <c r="P1939" s="2" t="str">
        <f t="shared" si="90"/>
        <v>31/12/2025 to 05/01/2026</v>
      </c>
      <c r="Q1939" s="3">
        <v>46023</v>
      </c>
      <c r="R1939" t="str">
        <f t="shared" si="91"/>
        <v>On-Time</v>
      </c>
      <c r="S1939" t="s">
        <v>2623</v>
      </c>
      <c r="T1939">
        <v>8</v>
      </c>
      <c r="U1939" t="s">
        <v>65</v>
      </c>
      <c r="V1939" t="s">
        <v>72</v>
      </c>
      <c r="W1939" t="str">
        <f t="shared" ca="1" si="92"/>
        <v>Active</v>
      </c>
    </row>
    <row r="1940" spans="1:23" x14ac:dyDescent="0.2">
      <c r="A1940">
        <v>1931</v>
      </c>
      <c r="B1940" t="s">
        <v>5250</v>
      </c>
      <c r="C1940" t="s">
        <v>5254</v>
      </c>
      <c r="D1940" s="1" t="s">
        <v>305</v>
      </c>
      <c r="E1940" t="s">
        <v>5252</v>
      </c>
      <c r="F1940" t="s">
        <v>229</v>
      </c>
      <c r="G1940" s="4" t="s">
        <v>5426</v>
      </c>
      <c r="H1940" t="s">
        <v>5253</v>
      </c>
      <c r="I1940" t="s">
        <v>136</v>
      </c>
      <c r="J1940" s="4" t="s">
        <v>68</v>
      </c>
      <c r="K1940" t="s">
        <v>5255</v>
      </c>
      <c r="L1940">
        <v>3</v>
      </c>
      <c r="M1940" t="s">
        <v>316</v>
      </c>
      <c r="N1940" t="s">
        <v>316</v>
      </c>
      <c r="O1940" t="s">
        <v>187</v>
      </c>
      <c r="P1940" s="2" t="str">
        <f t="shared" si="90"/>
        <v>01/01/2026 to 06/01/2026</v>
      </c>
      <c r="Q1940" s="3">
        <v>46024</v>
      </c>
      <c r="R1940" t="str">
        <f t="shared" si="91"/>
        <v>On-Time</v>
      </c>
      <c r="S1940" t="s">
        <v>1499</v>
      </c>
      <c r="T1940">
        <v>33</v>
      </c>
      <c r="U1940" t="s">
        <v>65</v>
      </c>
      <c r="V1940" t="s">
        <v>80</v>
      </c>
      <c r="W1940" t="str">
        <f t="shared" ca="1" si="92"/>
        <v>Active</v>
      </c>
    </row>
    <row r="1941" spans="1:23" x14ac:dyDescent="0.2">
      <c r="A1941">
        <v>1932</v>
      </c>
      <c r="B1941" t="s">
        <v>5250</v>
      </c>
      <c r="C1941" t="s">
        <v>5256</v>
      </c>
      <c r="D1941" s="1" t="s">
        <v>305</v>
      </c>
      <c r="E1941" t="s">
        <v>5252</v>
      </c>
      <c r="F1941" t="s">
        <v>229</v>
      </c>
      <c r="G1941" s="4" t="s">
        <v>38</v>
      </c>
      <c r="H1941" t="s">
        <v>5253</v>
      </c>
      <c r="I1941" t="s">
        <v>136</v>
      </c>
      <c r="J1941" s="4" t="s">
        <v>60</v>
      </c>
      <c r="K1941" t="s">
        <v>918</v>
      </c>
      <c r="L1941">
        <v>2</v>
      </c>
      <c r="M1941" t="s">
        <v>316</v>
      </c>
      <c r="N1941" t="s">
        <v>187</v>
      </c>
      <c r="O1941" t="s">
        <v>192</v>
      </c>
      <c r="P1941" s="2" t="str">
        <f t="shared" si="90"/>
        <v>01/01/2026 to 06/01/2026</v>
      </c>
      <c r="Q1941" s="3">
        <v>46024</v>
      </c>
      <c r="R1941" t="str">
        <f t="shared" si="91"/>
        <v>On-Time</v>
      </c>
      <c r="S1941" t="s">
        <v>1499</v>
      </c>
      <c r="T1941">
        <v>24</v>
      </c>
      <c r="U1941" t="s">
        <v>79</v>
      </c>
      <c r="V1941" t="s">
        <v>80</v>
      </c>
      <c r="W1941" t="str">
        <f t="shared" ca="1" si="92"/>
        <v>Active</v>
      </c>
    </row>
    <row r="1942" spans="1:23" x14ac:dyDescent="0.2">
      <c r="A1942">
        <v>1933</v>
      </c>
      <c r="B1942" t="s">
        <v>5250</v>
      </c>
      <c r="C1942" t="s">
        <v>5257</v>
      </c>
      <c r="D1942" s="1" t="s">
        <v>305</v>
      </c>
      <c r="E1942" t="s">
        <v>5252</v>
      </c>
      <c r="F1942" t="s">
        <v>229</v>
      </c>
      <c r="G1942" s="4" t="s">
        <v>5423</v>
      </c>
      <c r="H1942" t="s">
        <v>5253</v>
      </c>
      <c r="I1942" t="s">
        <v>136</v>
      </c>
      <c r="J1942" s="4" t="s">
        <v>60</v>
      </c>
      <c r="K1942" t="s">
        <v>1041</v>
      </c>
      <c r="L1942">
        <v>2</v>
      </c>
      <c r="M1942" t="s">
        <v>305</v>
      </c>
      <c r="N1942" t="s">
        <v>316</v>
      </c>
      <c r="O1942" t="s">
        <v>305</v>
      </c>
      <c r="P1942" s="2" t="str">
        <f t="shared" si="90"/>
        <v>30/12/2025 to 02/01/2026</v>
      </c>
      <c r="Q1942" s="3">
        <v>46025</v>
      </c>
      <c r="R1942" t="str">
        <f t="shared" si="91"/>
        <v>Late</v>
      </c>
      <c r="S1942" t="s">
        <v>1500</v>
      </c>
      <c r="T1942">
        <v>16</v>
      </c>
      <c r="U1942" t="s">
        <v>79</v>
      </c>
      <c r="V1942" t="s">
        <v>72</v>
      </c>
      <c r="W1942" t="str">
        <f t="shared" ca="1" si="92"/>
        <v>Active</v>
      </c>
    </row>
    <row r="1943" spans="1:23" x14ac:dyDescent="0.2">
      <c r="A1943">
        <v>1934</v>
      </c>
      <c r="B1943" t="s">
        <v>5250</v>
      </c>
      <c r="C1943" t="s">
        <v>5258</v>
      </c>
      <c r="D1943" s="1" t="s">
        <v>305</v>
      </c>
      <c r="E1943" t="s">
        <v>5252</v>
      </c>
      <c r="F1943" t="s">
        <v>229</v>
      </c>
      <c r="G1943" s="4" t="s">
        <v>5419</v>
      </c>
      <c r="H1943" t="s">
        <v>5253</v>
      </c>
      <c r="I1943" t="s">
        <v>136</v>
      </c>
      <c r="J1943" s="4" t="s">
        <v>60</v>
      </c>
      <c r="K1943" t="s">
        <v>26</v>
      </c>
      <c r="L1943">
        <v>1</v>
      </c>
      <c r="M1943" t="s">
        <v>305</v>
      </c>
      <c r="N1943" t="s">
        <v>316</v>
      </c>
      <c r="O1943" t="s">
        <v>305</v>
      </c>
      <c r="P1943" s="2" t="str">
        <f t="shared" si="90"/>
        <v>30/12/2025 to 02/01/2026</v>
      </c>
      <c r="Q1943" s="3">
        <v>46019</v>
      </c>
      <c r="R1943" t="str">
        <f t="shared" si="91"/>
        <v>Late</v>
      </c>
      <c r="S1943" t="s">
        <v>312</v>
      </c>
      <c r="T1943">
        <v>9</v>
      </c>
      <c r="U1943" t="s">
        <v>65</v>
      </c>
      <c r="V1943" t="s">
        <v>72</v>
      </c>
      <c r="W1943" t="str">
        <f t="shared" ca="1" si="92"/>
        <v>Active</v>
      </c>
    </row>
    <row r="1944" spans="1:23" x14ac:dyDescent="0.2">
      <c r="A1944">
        <v>1648</v>
      </c>
      <c r="B1944" t="s">
        <v>4615</v>
      </c>
      <c r="C1944" t="s">
        <v>4616</v>
      </c>
      <c r="D1944" s="1" t="s">
        <v>1105</v>
      </c>
      <c r="E1944" t="s">
        <v>4617</v>
      </c>
      <c r="F1944" t="s">
        <v>1077</v>
      </c>
      <c r="G1944" s="4" t="s">
        <v>5428</v>
      </c>
      <c r="H1944" t="s">
        <v>4618</v>
      </c>
      <c r="I1944" t="s">
        <v>59</v>
      </c>
      <c r="J1944" s="4" t="s">
        <v>68</v>
      </c>
      <c r="K1944" t="s">
        <v>4</v>
      </c>
      <c r="L1944">
        <v>1</v>
      </c>
      <c r="M1944" t="s">
        <v>316</v>
      </c>
      <c r="N1944" t="s">
        <v>187</v>
      </c>
      <c r="O1944" t="s">
        <v>316</v>
      </c>
      <c r="P1944" s="2" t="str">
        <f t="shared" si="90"/>
        <v>01/01/2026 to 06/01/2026</v>
      </c>
      <c r="Q1944" s="3">
        <v>46024</v>
      </c>
      <c r="R1944" t="str">
        <f t="shared" si="91"/>
        <v>On-Time</v>
      </c>
      <c r="S1944" t="s">
        <v>1499</v>
      </c>
      <c r="T1944">
        <v>8</v>
      </c>
      <c r="U1944" t="s">
        <v>79</v>
      </c>
      <c r="V1944" t="s">
        <v>80</v>
      </c>
      <c r="W1944" t="str">
        <f t="shared" ca="1" si="92"/>
        <v>Active</v>
      </c>
    </row>
    <row r="1945" spans="1:23" x14ac:dyDescent="0.2">
      <c r="A1945">
        <v>869</v>
      </c>
      <c r="B1945" t="s">
        <v>2738</v>
      </c>
      <c r="C1945" t="s">
        <v>2739</v>
      </c>
      <c r="D1945" s="1" t="s">
        <v>316</v>
      </c>
      <c r="E1945" t="s">
        <v>2740</v>
      </c>
      <c r="F1945" t="s">
        <v>1154</v>
      </c>
      <c r="G1945" s="4" t="s">
        <v>5420</v>
      </c>
      <c r="H1945" t="s">
        <v>2741</v>
      </c>
      <c r="I1945" t="s">
        <v>136</v>
      </c>
      <c r="J1945" s="4" t="s">
        <v>68</v>
      </c>
      <c r="K1945" t="s">
        <v>18</v>
      </c>
      <c r="L1945">
        <v>1</v>
      </c>
      <c r="M1945" t="s">
        <v>316</v>
      </c>
      <c r="N1945" t="s">
        <v>192</v>
      </c>
      <c r="O1945" t="s">
        <v>187</v>
      </c>
      <c r="P1945" s="2" t="str">
        <f t="shared" si="90"/>
        <v>01/01/2026 to 06/01/2026</v>
      </c>
      <c r="Q1945" s="3">
        <v>46028</v>
      </c>
      <c r="R1945" t="str">
        <f t="shared" si="91"/>
        <v>On-Time</v>
      </c>
      <c r="S1945" t="s">
        <v>2198</v>
      </c>
      <c r="T1945">
        <v>8.5</v>
      </c>
      <c r="U1945" t="s">
        <v>65</v>
      </c>
      <c r="V1945" t="s">
        <v>72</v>
      </c>
      <c r="W1945" t="str">
        <f t="shared" ca="1" si="92"/>
        <v>Active</v>
      </c>
    </row>
    <row r="1946" spans="1:23" x14ac:dyDescent="0.2">
      <c r="A1946">
        <v>870</v>
      </c>
      <c r="B1946" t="s">
        <v>2738</v>
      </c>
      <c r="C1946" t="s">
        <v>2742</v>
      </c>
      <c r="D1946" s="1" t="s">
        <v>316</v>
      </c>
      <c r="E1946" t="s">
        <v>2740</v>
      </c>
      <c r="F1946" t="s">
        <v>1154</v>
      </c>
      <c r="G1946" s="4" t="s">
        <v>38</v>
      </c>
      <c r="H1946" t="s">
        <v>2741</v>
      </c>
      <c r="I1946" t="s">
        <v>136</v>
      </c>
      <c r="J1946" s="4" t="s">
        <v>5417</v>
      </c>
      <c r="K1946" t="s">
        <v>2743</v>
      </c>
      <c r="L1946">
        <v>4</v>
      </c>
      <c r="M1946" t="s">
        <v>316</v>
      </c>
      <c r="N1946" t="s">
        <v>192</v>
      </c>
      <c r="O1946" t="s">
        <v>316</v>
      </c>
      <c r="P1946" s="2" t="str">
        <f t="shared" si="90"/>
        <v>01/01/2026 to 06/01/2026</v>
      </c>
      <c r="Q1946" s="3">
        <v>46027</v>
      </c>
      <c r="R1946" t="str">
        <f t="shared" si="91"/>
        <v>On-Time</v>
      </c>
      <c r="S1946" t="s">
        <v>1500</v>
      </c>
      <c r="T1946">
        <v>36.5</v>
      </c>
      <c r="U1946" t="s">
        <v>79</v>
      </c>
      <c r="V1946" t="s">
        <v>66</v>
      </c>
      <c r="W1946" t="str">
        <f t="shared" ca="1" si="92"/>
        <v>Active</v>
      </c>
    </row>
    <row r="1947" spans="1:23" x14ac:dyDescent="0.2">
      <c r="A1947">
        <v>1955</v>
      </c>
      <c r="B1947" t="s">
        <v>5305</v>
      </c>
      <c r="C1947" t="s">
        <v>5306</v>
      </c>
      <c r="D1947" s="1" t="s">
        <v>316</v>
      </c>
      <c r="E1947" t="s">
        <v>5307</v>
      </c>
      <c r="F1947" t="s">
        <v>600</v>
      </c>
      <c r="G1947" s="4" t="s">
        <v>5424</v>
      </c>
      <c r="H1947" t="s">
        <v>1590</v>
      </c>
      <c r="I1947" t="s">
        <v>136</v>
      </c>
      <c r="J1947" s="4" t="s">
        <v>5417</v>
      </c>
      <c r="K1947" t="s">
        <v>298</v>
      </c>
      <c r="L1947">
        <v>2</v>
      </c>
      <c r="M1947" t="s">
        <v>316</v>
      </c>
      <c r="N1947" t="s">
        <v>316</v>
      </c>
      <c r="O1947" t="s">
        <v>187</v>
      </c>
      <c r="P1947" s="2" t="str">
        <f t="shared" si="90"/>
        <v>01/01/2026 to 06/01/2026</v>
      </c>
      <c r="Q1947" s="3">
        <v>46024</v>
      </c>
      <c r="R1947" t="str">
        <f t="shared" si="91"/>
        <v>On-Time</v>
      </c>
      <c r="S1947" t="s">
        <v>317</v>
      </c>
      <c r="T1947">
        <v>20</v>
      </c>
      <c r="U1947" t="s">
        <v>79</v>
      </c>
      <c r="V1947" t="s">
        <v>66</v>
      </c>
      <c r="W1947" t="str">
        <f t="shared" ca="1" si="92"/>
        <v>Active</v>
      </c>
    </row>
    <row r="1948" spans="1:23" x14ac:dyDescent="0.2">
      <c r="A1948">
        <v>1956</v>
      </c>
      <c r="B1948" t="s">
        <v>5305</v>
      </c>
      <c r="C1948" t="s">
        <v>5308</v>
      </c>
      <c r="D1948" s="1" t="s">
        <v>316</v>
      </c>
      <c r="E1948" t="s">
        <v>5307</v>
      </c>
      <c r="F1948" t="s">
        <v>600</v>
      </c>
      <c r="G1948" s="4" t="s">
        <v>5421</v>
      </c>
      <c r="H1948" t="s">
        <v>1590</v>
      </c>
      <c r="I1948" t="s">
        <v>136</v>
      </c>
      <c r="J1948" s="4" t="s">
        <v>5417</v>
      </c>
      <c r="K1948" t="s">
        <v>4205</v>
      </c>
      <c r="L1948">
        <v>2</v>
      </c>
      <c r="M1948" t="s">
        <v>316</v>
      </c>
      <c r="N1948" t="s">
        <v>316</v>
      </c>
      <c r="O1948" t="s">
        <v>192</v>
      </c>
      <c r="P1948" s="2" t="str">
        <f t="shared" si="90"/>
        <v>01/01/2026 to 06/01/2026</v>
      </c>
      <c r="Q1948" s="3">
        <v>46028</v>
      </c>
      <c r="R1948" t="str">
        <f t="shared" si="91"/>
        <v>On-Time</v>
      </c>
      <c r="S1948" t="s">
        <v>2198</v>
      </c>
      <c r="T1948">
        <v>17.5</v>
      </c>
      <c r="U1948" t="s">
        <v>79</v>
      </c>
      <c r="V1948" t="s">
        <v>66</v>
      </c>
      <c r="W1948" t="str">
        <f t="shared" ca="1" si="92"/>
        <v>Active</v>
      </c>
    </row>
    <row r="1949" spans="1:23" x14ac:dyDescent="0.2">
      <c r="A1949">
        <v>1957</v>
      </c>
      <c r="B1949" t="s">
        <v>5305</v>
      </c>
      <c r="C1949" t="s">
        <v>5309</v>
      </c>
      <c r="D1949" s="1" t="s">
        <v>316</v>
      </c>
      <c r="E1949" t="s">
        <v>5307</v>
      </c>
      <c r="F1949" t="s">
        <v>600</v>
      </c>
      <c r="G1949" s="4" t="s">
        <v>38</v>
      </c>
      <c r="H1949" t="s">
        <v>1590</v>
      </c>
      <c r="I1949" t="s">
        <v>136</v>
      </c>
      <c r="J1949" s="4" t="s">
        <v>5417</v>
      </c>
      <c r="K1949" t="s">
        <v>14</v>
      </c>
      <c r="L1949">
        <v>1</v>
      </c>
      <c r="M1949" t="s">
        <v>316</v>
      </c>
      <c r="N1949" t="s">
        <v>187</v>
      </c>
      <c r="O1949" t="s">
        <v>187</v>
      </c>
      <c r="P1949" s="2" t="str">
        <f t="shared" si="90"/>
        <v>01/01/2026 to 06/01/2026</v>
      </c>
      <c r="Q1949" s="3">
        <v>46027</v>
      </c>
      <c r="R1949" t="str">
        <f t="shared" si="91"/>
        <v>On-Time</v>
      </c>
      <c r="S1949" t="s">
        <v>2198</v>
      </c>
      <c r="T1949">
        <v>9.5</v>
      </c>
      <c r="U1949" t="s">
        <v>79</v>
      </c>
      <c r="V1949" t="s">
        <v>66</v>
      </c>
      <c r="W1949" t="str">
        <f t="shared" ca="1" si="92"/>
        <v>Active</v>
      </c>
    </row>
    <row r="1950" spans="1:23" x14ac:dyDescent="0.2">
      <c r="A1950">
        <v>1958</v>
      </c>
      <c r="B1950" t="s">
        <v>5305</v>
      </c>
      <c r="C1950" t="s">
        <v>5310</v>
      </c>
      <c r="D1950" s="1" t="s">
        <v>316</v>
      </c>
      <c r="E1950" t="s">
        <v>5307</v>
      </c>
      <c r="F1950" t="s">
        <v>600</v>
      </c>
      <c r="G1950" s="4" t="s">
        <v>5423</v>
      </c>
      <c r="H1950" t="s">
        <v>1590</v>
      </c>
      <c r="I1950" t="s">
        <v>136</v>
      </c>
      <c r="J1950" s="4" t="s">
        <v>60</v>
      </c>
      <c r="K1950" t="s">
        <v>5311</v>
      </c>
      <c r="L1950">
        <v>4</v>
      </c>
      <c r="M1950" t="s">
        <v>316</v>
      </c>
      <c r="N1950" t="s">
        <v>192</v>
      </c>
      <c r="O1950" t="s">
        <v>316</v>
      </c>
      <c r="P1950" s="2" t="str">
        <f t="shared" si="90"/>
        <v>01/01/2026 to 06/01/2026</v>
      </c>
      <c r="Q1950" s="3">
        <v>46021</v>
      </c>
      <c r="R1950" t="str">
        <f t="shared" si="91"/>
        <v>Late</v>
      </c>
      <c r="S1950" t="s">
        <v>309</v>
      </c>
      <c r="T1950">
        <v>37</v>
      </c>
      <c r="U1950" t="s">
        <v>65</v>
      </c>
      <c r="V1950" t="s">
        <v>72</v>
      </c>
      <c r="W1950" t="str">
        <f t="shared" ca="1" si="92"/>
        <v>Active</v>
      </c>
    </row>
    <row r="1951" spans="1:23" x14ac:dyDescent="0.2">
      <c r="A1951">
        <v>1508</v>
      </c>
      <c r="B1951" t="s">
        <v>4289</v>
      </c>
      <c r="C1951" t="s">
        <v>4290</v>
      </c>
      <c r="D1951" s="1" t="s">
        <v>187</v>
      </c>
      <c r="E1951" t="s">
        <v>4291</v>
      </c>
      <c r="F1951" t="s">
        <v>1829</v>
      </c>
      <c r="G1951" s="4" t="s">
        <v>5427</v>
      </c>
      <c r="H1951" t="s">
        <v>4292</v>
      </c>
      <c r="I1951" t="s">
        <v>93</v>
      </c>
      <c r="J1951" s="4" t="s">
        <v>74</v>
      </c>
      <c r="K1951" t="s">
        <v>4293</v>
      </c>
      <c r="L1951">
        <v>3</v>
      </c>
      <c r="M1951" t="s">
        <v>192</v>
      </c>
      <c r="N1951" t="s">
        <v>192</v>
      </c>
      <c r="O1951" t="s">
        <v>183</v>
      </c>
      <c r="P1951" s="2" t="str">
        <f t="shared" si="90"/>
        <v>05/01/2026 to 08/01/2026</v>
      </c>
      <c r="Q1951" s="3">
        <v>46030</v>
      </c>
      <c r="R1951" t="str">
        <f t="shared" si="91"/>
        <v>On-Time</v>
      </c>
      <c r="S1951" t="s">
        <v>1496</v>
      </c>
      <c r="T1951">
        <v>33.5</v>
      </c>
      <c r="U1951" t="s">
        <v>79</v>
      </c>
      <c r="V1951" t="s">
        <v>80</v>
      </c>
      <c r="W1951" t="str">
        <f t="shared" ca="1" si="92"/>
        <v>Active</v>
      </c>
    </row>
    <row r="1952" spans="1:23" x14ac:dyDescent="0.2">
      <c r="A1952">
        <v>383</v>
      </c>
      <c r="B1952" t="s">
        <v>1491</v>
      </c>
      <c r="C1952" t="s">
        <v>1492</v>
      </c>
      <c r="D1952" s="1" t="s">
        <v>192</v>
      </c>
      <c r="E1952" t="s">
        <v>1493</v>
      </c>
      <c r="F1952" t="s">
        <v>91</v>
      </c>
      <c r="G1952" s="4" t="s">
        <v>5418</v>
      </c>
      <c r="H1952" t="s">
        <v>1494</v>
      </c>
      <c r="I1952" t="s">
        <v>136</v>
      </c>
      <c r="J1952" s="4" t="s">
        <v>60</v>
      </c>
      <c r="K1952" t="s">
        <v>1495</v>
      </c>
      <c r="L1952">
        <v>2</v>
      </c>
      <c r="M1952" t="s">
        <v>183</v>
      </c>
      <c r="N1952" t="s">
        <v>1108</v>
      </c>
      <c r="O1952" t="s">
        <v>184</v>
      </c>
      <c r="P1952" s="2" t="str">
        <f t="shared" si="90"/>
        <v>06/01/2026 to 09/01/2026</v>
      </c>
      <c r="Q1952" s="3">
        <v>46030</v>
      </c>
      <c r="R1952" t="str">
        <f t="shared" si="91"/>
        <v>On-Time</v>
      </c>
      <c r="S1952" t="s">
        <v>1496</v>
      </c>
      <c r="T1952">
        <v>19.5</v>
      </c>
      <c r="U1952" t="s">
        <v>65</v>
      </c>
      <c r="V1952" t="s">
        <v>80</v>
      </c>
      <c r="W1952" t="str">
        <f t="shared" ca="1" si="92"/>
        <v>Active</v>
      </c>
    </row>
    <row r="1953" spans="1:23" x14ac:dyDescent="0.2">
      <c r="A1953">
        <v>384</v>
      </c>
      <c r="B1953" t="s">
        <v>1491</v>
      </c>
      <c r="C1953" t="s">
        <v>1497</v>
      </c>
      <c r="D1953" s="1" t="s">
        <v>192</v>
      </c>
      <c r="E1953" t="s">
        <v>1493</v>
      </c>
      <c r="F1953" t="s">
        <v>91</v>
      </c>
      <c r="G1953" s="4" t="s">
        <v>5424</v>
      </c>
      <c r="H1953" t="s">
        <v>1494</v>
      </c>
      <c r="I1953" t="s">
        <v>136</v>
      </c>
      <c r="J1953" s="4" t="s">
        <v>60</v>
      </c>
      <c r="K1953" t="s">
        <v>1498</v>
      </c>
      <c r="L1953">
        <v>2</v>
      </c>
      <c r="M1953" t="s">
        <v>195</v>
      </c>
      <c r="N1953" t="s">
        <v>195</v>
      </c>
      <c r="O1953" t="s">
        <v>183</v>
      </c>
      <c r="P1953" s="2" t="str">
        <f t="shared" si="90"/>
        <v>06/01/2026 to 09/01/2026</v>
      </c>
      <c r="Q1953" s="3">
        <v>46025</v>
      </c>
      <c r="R1953" t="str">
        <f t="shared" si="91"/>
        <v>Late</v>
      </c>
      <c r="S1953" t="s">
        <v>1500</v>
      </c>
      <c r="T1953">
        <v>17</v>
      </c>
      <c r="U1953" t="s">
        <v>79</v>
      </c>
      <c r="V1953" t="s">
        <v>80</v>
      </c>
      <c r="W1953" t="str">
        <f t="shared" ca="1" si="92"/>
        <v>Active</v>
      </c>
    </row>
    <row r="1954" spans="1:23" x14ac:dyDescent="0.2">
      <c r="A1954">
        <v>385</v>
      </c>
      <c r="B1954" t="s">
        <v>1491</v>
      </c>
      <c r="C1954" t="s">
        <v>1501</v>
      </c>
      <c r="D1954" s="1" t="s">
        <v>192</v>
      </c>
      <c r="E1954" t="s">
        <v>1493</v>
      </c>
      <c r="F1954" t="s">
        <v>91</v>
      </c>
      <c r="G1954" s="4" t="s">
        <v>5426</v>
      </c>
      <c r="H1954" t="s">
        <v>1494</v>
      </c>
      <c r="I1954" t="s">
        <v>136</v>
      </c>
      <c r="J1954" s="4" t="s">
        <v>74</v>
      </c>
      <c r="K1954" t="s">
        <v>1502</v>
      </c>
      <c r="L1954">
        <v>4</v>
      </c>
      <c r="M1954" t="s">
        <v>183</v>
      </c>
      <c r="N1954" t="s">
        <v>1108</v>
      </c>
      <c r="O1954" t="s">
        <v>184</v>
      </c>
      <c r="P1954" s="2" t="str">
        <f t="shared" si="90"/>
        <v>06/01/2026 to 09/01/2026</v>
      </c>
      <c r="Q1954" s="3">
        <v>46028</v>
      </c>
      <c r="R1954" t="str">
        <f t="shared" si="91"/>
        <v>On-Time</v>
      </c>
      <c r="S1954" t="s">
        <v>1496</v>
      </c>
      <c r="T1954">
        <v>41</v>
      </c>
      <c r="U1954" t="s">
        <v>79</v>
      </c>
      <c r="V1954" t="s">
        <v>80</v>
      </c>
      <c r="W1954" t="str">
        <f t="shared" ca="1" si="92"/>
        <v>Active</v>
      </c>
    </row>
    <row r="1955" spans="1:23" x14ac:dyDescent="0.2">
      <c r="A1955">
        <v>386</v>
      </c>
      <c r="B1955" t="s">
        <v>1491</v>
      </c>
      <c r="C1955" t="s">
        <v>1504</v>
      </c>
      <c r="D1955" s="1" t="s">
        <v>192</v>
      </c>
      <c r="E1955" t="s">
        <v>1493</v>
      </c>
      <c r="F1955" t="s">
        <v>91</v>
      </c>
      <c r="G1955" s="4" t="s">
        <v>5420</v>
      </c>
      <c r="H1955" t="s">
        <v>1494</v>
      </c>
      <c r="I1955" t="s">
        <v>136</v>
      </c>
      <c r="J1955" s="4" t="s">
        <v>5417</v>
      </c>
      <c r="K1955" t="s">
        <v>20</v>
      </c>
      <c r="L1955">
        <v>1</v>
      </c>
      <c r="M1955" t="s">
        <v>183</v>
      </c>
      <c r="N1955" t="s">
        <v>183</v>
      </c>
      <c r="O1955" t="s">
        <v>1108</v>
      </c>
      <c r="P1955" s="2" t="str">
        <f t="shared" si="90"/>
        <v>06/01/2026 to 09/01/2026</v>
      </c>
      <c r="Q1955" s="3">
        <v>46031</v>
      </c>
      <c r="R1955" t="str">
        <f t="shared" si="91"/>
        <v>On-Time</v>
      </c>
      <c r="S1955" t="s">
        <v>912</v>
      </c>
      <c r="T1955">
        <v>10.5</v>
      </c>
      <c r="U1955" t="s">
        <v>65</v>
      </c>
      <c r="V1955" t="s">
        <v>80</v>
      </c>
      <c r="W1955" t="str">
        <f t="shared" ca="1" si="92"/>
        <v>Active</v>
      </c>
    </row>
    <row r="1956" spans="1:23" x14ac:dyDescent="0.2">
      <c r="A1956">
        <v>642</v>
      </c>
      <c r="B1956" t="s">
        <v>2194</v>
      </c>
      <c r="C1956" t="s">
        <v>2195</v>
      </c>
      <c r="D1956" s="1" t="s">
        <v>195</v>
      </c>
      <c r="E1956" t="s">
        <v>2196</v>
      </c>
      <c r="F1956" t="s">
        <v>872</v>
      </c>
      <c r="G1956" s="4" t="s">
        <v>5428</v>
      </c>
      <c r="H1956" t="s">
        <v>2197</v>
      </c>
      <c r="I1956" t="s">
        <v>112</v>
      </c>
      <c r="J1956" s="4" t="s">
        <v>60</v>
      </c>
      <c r="K1956" t="s">
        <v>298</v>
      </c>
      <c r="L1956">
        <v>2</v>
      </c>
      <c r="M1956" t="s">
        <v>1108</v>
      </c>
      <c r="N1956" t="s">
        <v>184</v>
      </c>
      <c r="O1956" t="s">
        <v>1108</v>
      </c>
      <c r="P1956" s="2" t="str">
        <f t="shared" si="90"/>
        <v>06/01/2026 to 09/01/2026</v>
      </c>
      <c r="Q1956" s="3">
        <v>46029</v>
      </c>
      <c r="R1956" t="str">
        <f t="shared" si="91"/>
        <v>On-Time</v>
      </c>
      <c r="S1956" t="s">
        <v>2198</v>
      </c>
      <c r="T1956">
        <v>20</v>
      </c>
      <c r="U1956" t="s">
        <v>65</v>
      </c>
      <c r="V1956" t="s">
        <v>72</v>
      </c>
      <c r="W1956" t="str">
        <f t="shared" ca="1" si="92"/>
        <v>Active</v>
      </c>
    </row>
    <row r="1957" spans="1:23" x14ac:dyDescent="0.2">
      <c r="A1957">
        <v>1001</v>
      </c>
      <c r="B1957" t="s">
        <v>3069</v>
      </c>
      <c r="C1957" t="s">
        <v>3070</v>
      </c>
      <c r="D1957" s="1" t="s">
        <v>195</v>
      </c>
      <c r="E1957" t="s">
        <v>3071</v>
      </c>
      <c r="F1957" t="s">
        <v>1756</v>
      </c>
      <c r="G1957" s="4" t="s">
        <v>5420</v>
      </c>
      <c r="H1957" t="s">
        <v>2135</v>
      </c>
      <c r="I1957" t="s">
        <v>136</v>
      </c>
      <c r="J1957" s="4" t="s">
        <v>74</v>
      </c>
      <c r="K1957" t="s">
        <v>548</v>
      </c>
      <c r="L1957">
        <v>2</v>
      </c>
      <c r="M1957" t="s">
        <v>1108</v>
      </c>
      <c r="N1957" t="s">
        <v>184</v>
      </c>
      <c r="O1957" t="s">
        <v>1108</v>
      </c>
      <c r="P1957" s="2" t="str">
        <f t="shared" si="90"/>
        <v>06/01/2026 to 09/01/2026</v>
      </c>
      <c r="Q1957" s="3">
        <v>46031</v>
      </c>
      <c r="R1957" t="str">
        <f t="shared" si="91"/>
        <v>On-Time</v>
      </c>
      <c r="S1957" t="s">
        <v>912</v>
      </c>
      <c r="T1957">
        <v>16.5</v>
      </c>
      <c r="U1957" t="s">
        <v>79</v>
      </c>
      <c r="V1957" t="s">
        <v>80</v>
      </c>
      <c r="W1957" t="str">
        <f t="shared" ca="1" si="92"/>
        <v>Active</v>
      </c>
    </row>
    <row r="1958" spans="1:23" x14ac:dyDescent="0.2">
      <c r="A1958">
        <v>1002</v>
      </c>
      <c r="B1958" t="s">
        <v>3069</v>
      </c>
      <c r="C1958" t="s">
        <v>3072</v>
      </c>
      <c r="D1958" s="1" t="s">
        <v>195</v>
      </c>
      <c r="E1958" t="s">
        <v>3071</v>
      </c>
      <c r="F1958" t="s">
        <v>1756</v>
      </c>
      <c r="G1958" s="4" t="s">
        <v>5419</v>
      </c>
      <c r="H1958" t="s">
        <v>2135</v>
      </c>
      <c r="I1958" t="s">
        <v>136</v>
      </c>
      <c r="J1958" s="4" t="s">
        <v>5417</v>
      </c>
      <c r="K1958" t="s">
        <v>28</v>
      </c>
      <c r="L1958">
        <v>1</v>
      </c>
      <c r="M1958" t="s">
        <v>1108</v>
      </c>
      <c r="N1958" t="s">
        <v>1108</v>
      </c>
      <c r="O1958" t="s">
        <v>184</v>
      </c>
      <c r="P1958" s="2" t="str">
        <f t="shared" si="90"/>
        <v>06/01/2026 to 09/01/2026</v>
      </c>
      <c r="Q1958" s="3">
        <v>46028</v>
      </c>
      <c r="R1958" t="str">
        <f t="shared" si="91"/>
        <v>On-Time</v>
      </c>
      <c r="S1958" t="s">
        <v>1496</v>
      </c>
      <c r="T1958">
        <v>9</v>
      </c>
      <c r="U1958" t="s">
        <v>79</v>
      </c>
      <c r="V1958" t="s">
        <v>72</v>
      </c>
      <c r="W1958" t="str">
        <f t="shared" ca="1" si="92"/>
        <v>Active</v>
      </c>
    </row>
    <row r="1959" spans="1:23" x14ac:dyDescent="0.2">
      <c r="A1959">
        <v>1003</v>
      </c>
      <c r="B1959" t="s">
        <v>3069</v>
      </c>
      <c r="C1959" t="s">
        <v>3073</v>
      </c>
      <c r="D1959" s="1" t="s">
        <v>195</v>
      </c>
      <c r="E1959" t="s">
        <v>3071</v>
      </c>
      <c r="F1959" t="s">
        <v>1756</v>
      </c>
      <c r="G1959" s="4" t="s">
        <v>5428</v>
      </c>
      <c r="H1959" t="s">
        <v>2135</v>
      </c>
      <c r="I1959" t="s">
        <v>136</v>
      </c>
      <c r="J1959" s="4" t="s">
        <v>74</v>
      </c>
      <c r="K1959" t="s">
        <v>26</v>
      </c>
      <c r="L1959">
        <v>1</v>
      </c>
      <c r="M1959" t="s">
        <v>183</v>
      </c>
      <c r="N1959" t="s">
        <v>1108</v>
      </c>
      <c r="O1959" t="s">
        <v>1108</v>
      </c>
      <c r="P1959" s="2" t="str">
        <f t="shared" si="90"/>
        <v>06/01/2026 to 09/01/2026</v>
      </c>
      <c r="Q1959" s="3">
        <v>46028</v>
      </c>
      <c r="R1959" t="str">
        <f t="shared" si="91"/>
        <v>On-Time</v>
      </c>
      <c r="S1959" t="s">
        <v>1503</v>
      </c>
      <c r="T1959">
        <v>9</v>
      </c>
      <c r="U1959" t="s">
        <v>79</v>
      </c>
      <c r="V1959" t="s">
        <v>80</v>
      </c>
      <c r="W1959" t="str">
        <f t="shared" ca="1" si="92"/>
        <v>Active</v>
      </c>
    </row>
    <row r="1960" spans="1:23" x14ac:dyDescent="0.2">
      <c r="A1960">
        <v>1355</v>
      </c>
      <c r="B1960" t="s">
        <v>3909</v>
      </c>
      <c r="C1960" t="s">
        <v>3910</v>
      </c>
      <c r="D1960" s="1" t="s">
        <v>195</v>
      </c>
      <c r="E1960" t="s">
        <v>3911</v>
      </c>
      <c r="F1960" t="s">
        <v>1154</v>
      </c>
      <c r="G1960" s="4" t="s">
        <v>5421</v>
      </c>
      <c r="H1960" t="s">
        <v>3912</v>
      </c>
      <c r="I1960" t="s">
        <v>112</v>
      </c>
      <c r="J1960" s="4" t="s">
        <v>74</v>
      </c>
      <c r="K1960" t="s">
        <v>2156</v>
      </c>
      <c r="L1960">
        <v>2</v>
      </c>
      <c r="M1960" t="s">
        <v>1108</v>
      </c>
      <c r="N1960" t="s">
        <v>1108</v>
      </c>
      <c r="O1960" t="s">
        <v>312</v>
      </c>
      <c r="P1960" s="2" t="str">
        <f t="shared" si="90"/>
        <v>06/01/2026 to 09/01/2026</v>
      </c>
      <c r="Q1960" s="3">
        <v>46028</v>
      </c>
      <c r="R1960" t="str">
        <f t="shared" si="91"/>
        <v>On-Time</v>
      </c>
      <c r="S1960" t="s">
        <v>1503</v>
      </c>
      <c r="T1960">
        <v>18.5</v>
      </c>
      <c r="U1960" t="s">
        <v>79</v>
      </c>
      <c r="V1960" t="s">
        <v>66</v>
      </c>
      <c r="W1960" t="str">
        <f t="shared" ca="1" si="92"/>
        <v>Active</v>
      </c>
    </row>
    <row r="1961" spans="1:23" x14ac:dyDescent="0.2">
      <c r="A1961">
        <v>1356</v>
      </c>
      <c r="B1961" t="s">
        <v>3909</v>
      </c>
      <c r="C1961" t="s">
        <v>3913</v>
      </c>
      <c r="D1961" s="1" t="s">
        <v>195</v>
      </c>
      <c r="E1961" t="s">
        <v>3911</v>
      </c>
      <c r="F1961" t="s">
        <v>1154</v>
      </c>
      <c r="G1961" s="4" t="s">
        <v>38</v>
      </c>
      <c r="H1961" t="s">
        <v>3912</v>
      </c>
      <c r="I1961" t="s">
        <v>112</v>
      </c>
      <c r="J1961" s="4" t="s">
        <v>74</v>
      </c>
      <c r="K1961" t="s">
        <v>3914</v>
      </c>
      <c r="L1961">
        <v>4</v>
      </c>
      <c r="M1961" t="s">
        <v>1108</v>
      </c>
      <c r="N1961" t="s">
        <v>184</v>
      </c>
      <c r="O1961" t="s">
        <v>312</v>
      </c>
      <c r="P1961" s="2" t="str">
        <f t="shared" si="90"/>
        <v>06/01/2026 to 09/01/2026</v>
      </c>
      <c r="Q1961" s="3">
        <v>46029</v>
      </c>
      <c r="R1961" t="str">
        <f t="shared" si="91"/>
        <v>On-Time</v>
      </c>
      <c r="S1961" t="s">
        <v>2198</v>
      </c>
      <c r="T1961">
        <v>37.5</v>
      </c>
      <c r="U1961" t="s">
        <v>65</v>
      </c>
      <c r="V1961" t="s">
        <v>72</v>
      </c>
      <c r="W1961" t="str">
        <f t="shared" ca="1" si="92"/>
        <v>Active</v>
      </c>
    </row>
    <row r="1962" spans="1:23" x14ac:dyDescent="0.2">
      <c r="A1962">
        <v>1357</v>
      </c>
      <c r="B1962" t="s">
        <v>3909</v>
      </c>
      <c r="C1962" t="s">
        <v>3915</v>
      </c>
      <c r="D1962" s="1" t="s">
        <v>195</v>
      </c>
      <c r="E1962" t="s">
        <v>3911</v>
      </c>
      <c r="F1962" t="s">
        <v>1154</v>
      </c>
      <c r="G1962" s="4" t="s">
        <v>5426</v>
      </c>
      <c r="H1962" t="s">
        <v>3912</v>
      </c>
      <c r="I1962" t="s">
        <v>112</v>
      </c>
      <c r="J1962" s="4" t="s">
        <v>68</v>
      </c>
      <c r="K1962" t="s">
        <v>1285</v>
      </c>
      <c r="L1962">
        <v>2</v>
      </c>
      <c r="M1962" t="s">
        <v>195</v>
      </c>
      <c r="N1962" t="s">
        <v>1108</v>
      </c>
      <c r="O1962" t="s">
        <v>195</v>
      </c>
      <c r="P1962" s="2" t="str">
        <f t="shared" si="90"/>
        <v>06/01/2026 to 09/01/2026</v>
      </c>
      <c r="Q1962" s="3">
        <v>46027</v>
      </c>
      <c r="R1962" t="str">
        <f t="shared" si="91"/>
        <v>Late</v>
      </c>
      <c r="S1962" t="s">
        <v>1500</v>
      </c>
      <c r="T1962">
        <v>18.5</v>
      </c>
      <c r="U1962" t="s">
        <v>65</v>
      </c>
      <c r="V1962" t="s">
        <v>66</v>
      </c>
      <c r="W1962" t="str">
        <f t="shared" ca="1" si="92"/>
        <v>Active</v>
      </c>
    </row>
    <row r="1963" spans="1:23" x14ac:dyDescent="0.2">
      <c r="A1963">
        <v>1358</v>
      </c>
      <c r="B1963" t="s">
        <v>3909</v>
      </c>
      <c r="C1963" t="s">
        <v>3916</v>
      </c>
      <c r="D1963" s="1" t="s">
        <v>195</v>
      </c>
      <c r="E1963" t="s">
        <v>3911</v>
      </c>
      <c r="F1963" t="s">
        <v>1154</v>
      </c>
      <c r="G1963" s="4" t="s">
        <v>5423</v>
      </c>
      <c r="H1963" t="s">
        <v>3912</v>
      </c>
      <c r="I1963" t="s">
        <v>112</v>
      </c>
      <c r="J1963" s="4" t="s">
        <v>60</v>
      </c>
      <c r="K1963" t="s">
        <v>1458</v>
      </c>
      <c r="L1963">
        <v>2</v>
      </c>
      <c r="M1963" t="s">
        <v>183</v>
      </c>
      <c r="N1963" t="s">
        <v>1108</v>
      </c>
      <c r="O1963" t="s">
        <v>184</v>
      </c>
      <c r="P1963" s="2" t="str">
        <f t="shared" si="90"/>
        <v>06/01/2026 to 09/01/2026</v>
      </c>
      <c r="Q1963" s="3">
        <v>46031</v>
      </c>
      <c r="R1963" t="str">
        <f t="shared" si="91"/>
        <v>On-Time</v>
      </c>
      <c r="S1963" t="s">
        <v>912</v>
      </c>
      <c r="T1963">
        <v>22</v>
      </c>
      <c r="U1963" t="s">
        <v>65</v>
      </c>
      <c r="V1963" t="s">
        <v>72</v>
      </c>
      <c r="W1963" t="str">
        <f t="shared" ca="1" si="92"/>
        <v>Active</v>
      </c>
    </row>
    <row r="1964" spans="1:23" x14ac:dyDescent="0.2">
      <c r="A1964">
        <v>1359</v>
      </c>
      <c r="B1964" t="s">
        <v>3909</v>
      </c>
      <c r="C1964" t="s">
        <v>3917</v>
      </c>
      <c r="D1964" s="1" t="s">
        <v>195</v>
      </c>
      <c r="E1964" t="s">
        <v>3911</v>
      </c>
      <c r="F1964" t="s">
        <v>1154</v>
      </c>
      <c r="G1964" s="4" t="s">
        <v>5421</v>
      </c>
      <c r="H1964" t="s">
        <v>3912</v>
      </c>
      <c r="I1964" t="s">
        <v>112</v>
      </c>
      <c r="J1964" s="4" t="s">
        <v>5417</v>
      </c>
      <c r="K1964" t="s">
        <v>12</v>
      </c>
      <c r="L1964">
        <v>1</v>
      </c>
      <c r="M1964" t="s">
        <v>1108</v>
      </c>
      <c r="N1964" t="s">
        <v>312</v>
      </c>
      <c r="O1964" t="s">
        <v>184</v>
      </c>
      <c r="P1964" s="2" t="str">
        <f t="shared" si="90"/>
        <v>06/01/2026 to 09/01/2026</v>
      </c>
      <c r="Q1964" s="3">
        <v>46033</v>
      </c>
      <c r="R1964" t="str">
        <f t="shared" si="91"/>
        <v>Late</v>
      </c>
      <c r="S1964" t="s">
        <v>913</v>
      </c>
      <c r="T1964">
        <v>9.5</v>
      </c>
      <c r="U1964" t="s">
        <v>65</v>
      </c>
      <c r="V1964" t="s">
        <v>66</v>
      </c>
      <c r="W1964" t="str">
        <f t="shared" ca="1" si="92"/>
        <v>Active</v>
      </c>
    </row>
    <row r="1965" spans="1:23" x14ac:dyDescent="0.2">
      <c r="A1965">
        <v>685</v>
      </c>
      <c r="B1965" t="s">
        <v>2298</v>
      </c>
      <c r="C1965" t="s">
        <v>2299</v>
      </c>
      <c r="D1965" s="1" t="s">
        <v>183</v>
      </c>
      <c r="E1965" t="s">
        <v>2300</v>
      </c>
      <c r="F1965" t="s">
        <v>159</v>
      </c>
      <c r="G1965" s="4" t="s">
        <v>5420</v>
      </c>
      <c r="H1965" t="s">
        <v>2301</v>
      </c>
      <c r="I1965" t="s">
        <v>112</v>
      </c>
      <c r="J1965" s="4" t="s">
        <v>60</v>
      </c>
      <c r="K1965" t="s">
        <v>6</v>
      </c>
      <c r="L1965">
        <v>1</v>
      </c>
      <c r="M1965" t="s">
        <v>1108</v>
      </c>
      <c r="N1965" t="s">
        <v>312</v>
      </c>
      <c r="O1965" t="s">
        <v>1108</v>
      </c>
      <c r="P1965" s="2" t="str">
        <f t="shared" si="90"/>
        <v>06/01/2026 to 09/01/2026</v>
      </c>
      <c r="Q1965" s="3">
        <v>46029</v>
      </c>
      <c r="R1965" t="str">
        <f t="shared" si="91"/>
        <v>On-Time</v>
      </c>
      <c r="S1965" t="s">
        <v>1505</v>
      </c>
      <c r="T1965">
        <v>7.5</v>
      </c>
      <c r="U1965" t="s">
        <v>79</v>
      </c>
      <c r="V1965" t="s">
        <v>80</v>
      </c>
      <c r="W1965" t="str">
        <f t="shared" ca="1" si="92"/>
        <v>Active</v>
      </c>
    </row>
    <row r="1966" spans="1:23" x14ac:dyDescent="0.2">
      <c r="A1966">
        <v>686</v>
      </c>
      <c r="B1966" t="s">
        <v>2298</v>
      </c>
      <c r="C1966" t="s">
        <v>2302</v>
      </c>
      <c r="D1966" s="1" t="s">
        <v>183</v>
      </c>
      <c r="E1966" t="s">
        <v>2300</v>
      </c>
      <c r="F1966" t="s">
        <v>159</v>
      </c>
      <c r="G1966" s="4" t="s">
        <v>5426</v>
      </c>
      <c r="H1966" t="s">
        <v>2301</v>
      </c>
      <c r="I1966" t="s">
        <v>112</v>
      </c>
      <c r="J1966" s="4" t="s">
        <v>60</v>
      </c>
      <c r="K1966" t="s">
        <v>2303</v>
      </c>
      <c r="L1966">
        <v>4</v>
      </c>
      <c r="M1966" t="s">
        <v>183</v>
      </c>
      <c r="N1966" t="s">
        <v>184</v>
      </c>
      <c r="O1966" t="s">
        <v>183</v>
      </c>
      <c r="P1966" s="2" t="str">
        <f t="shared" si="90"/>
        <v>06/01/2026 to 09/01/2026</v>
      </c>
      <c r="Q1966" s="3">
        <v>46031</v>
      </c>
      <c r="R1966" t="str">
        <f t="shared" si="91"/>
        <v>On-Time</v>
      </c>
      <c r="S1966" t="s">
        <v>2304</v>
      </c>
      <c r="T1966">
        <v>41.5</v>
      </c>
      <c r="U1966" t="s">
        <v>79</v>
      </c>
      <c r="V1966" t="s">
        <v>80</v>
      </c>
      <c r="W1966" t="str">
        <f t="shared" ca="1" si="92"/>
        <v>Active</v>
      </c>
    </row>
    <row r="1967" spans="1:23" x14ac:dyDescent="0.2">
      <c r="A1967">
        <v>687</v>
      </c>
      <c r="B1967" t="s">
        <v>2298</v>
      </c>
      <c r="C1967" t="s">
        <v>2305</v>
      </c>
      <c r="D1967" s="1" t="s">
        <v>183</v>
      </c>
      <c r="E1967" t="s">
        <v>2300</v>
      </c>
      <c r="F1967" t="s">
        <v>159</v>
      </c>
      <c r="G1967" s="4" t="s">
        <v>5426</v>
      </c>
      <c r="H1967" t="s">
        <v>2301</v>
      </c>
      <c r="I1967" t="s">
        <v>112</v>
      </c>
      <c r="J1967" s="4" t="s">
        <v>74</v>
      </c>
      <c r="K1967" t="s">
        <v>2306</v>
      </c>
      <c r="L1967">
        <v>4</v>
      </c>
      <c r="M1967" t="s">
        <v>1108</v>
      </c>
      <c r="N1967" t="s">
        <v>312</v>
      </c>
      <c r="O1967" t="s">
        <v>312</v>
      </c>
      <c r="P1967" s="2" t="str">
        <f t="shared" si="90"/>
        <v>06/01/2026 to 09/01/2026</v>
      </c>
      <c r="Q1967" s="3">
        <v>46028</v>
      </c>
      <c r="R1967" t="str">
        <f t="shared" si="91"/>
        <v>On-Time</v>
      </c>
      <c r="S1967" t="s">
        <v>1496</v>
      </c>
      <c r="T1967">
        <v>36</v>
      </c>
      <c r="U1967" t="s">
        <v>65</v>
      </c>
      <c r="V1967" t="s">
        <v>66</v>
      </c>
      <c r="W1967" t="str">
        <f t="shared" ca="1" si="92"/>
        <v>Active</v>
      </c>
    </row>
    <row r="1968" spans="1:23" x14ac:dyDescent="0.2">
      <c r="A1968">
        <v>762</v>
      </c>
      <c r="B1968" t="s">
        <v>2485</v>
      </c>
      <c r="C1968" t="s">
        <v>2486</v>
      </c>
      <c r="D1968" s="1" t="s">
        <v>183</v>
      </c>
      <c r="E1968" t="s">
        <v>2487</v>
      </c>
      <c r="F1968" t="s">
        <v>553</v>
      </c>
      <c r="G1968" s="4" t="s">
        <v>5423</v>
      </c>
      <c r="H1968" t="s">
        <v>2488</v>
      </c>
      <c r="I1968" t="s">
        <v>59</v>
      </c>
      <c r="J1968" s="4" t="s">
        <v>68</v>
      </c>
      <c r="K1968" t="s">
        <v>2489</v>
      </c>
      <c r="L1968">
        <v>3</v>
      </c>
      <c r="M1968" t="s">
        <v>184</v>
      </c>
      <c r="N1968" t="s">
        <v>312</v>
      </c>
      <c r="O1968" t="s">
        <v>312</v>
      </c>
      <c r="P1968" s="2" t="str">
        <f t="shared" si="90"/>
        <v>07/01/2026 to 12/01/2026</v>
      </c>
      <c r="Q1968" s="3">
        <v>46030</v>
      </c>
      <c r="R1968" t="str">
        <f t="shared" si="91"/>
        <v>On-Time</v>
      </c>
      <c r="S1968" t="s">
        <v>912</v>
      </c>
      <c r="T1968">
        <v>25.5</v>
      </c>
      <c r="U1968" t="s">
        <v>65</v>
      </c>
      <c r="V1968" t="s">
        <v>80</v>
      </c>
      <c r="W1968" t="str">
        <f t="shared" ca="1" si="92"/>
        <v>Active</v>
      </c>
    </row>
    <row r="1969" spans="1:23" x14ac:dyDescent="0.2">
      <c r="A1969">
        <v>763</v>
      </c>
      <c r="B1969" t="s">
        <v>2485</v>
      </c>
      <c r="C1969" t="s">
        <v>2490</v>
      </c>
      <c r="D1969" s="1" t="s">
        <v>183</v>
      </c>
      <c r="E1969" t="s">
        <v>2487</v>
      </c>
      <c r="F1969" t="s">
        <v>553</v>
      </c>
      <c r="G1969" s="4" t="s">
        <v>5420</v>
      </c>
      <c r="H1969" t="s">
        <v>2488</v>
      </c>
      <c r="I1969" t="s">
        <v>59</v>
      </c>
      <c r="J1969" s="4" t="s">
        <v>5417</v>
      </c>
      <c r="K1969" t="s">
        <v>2491</v>
      </c>
      <c r="L1969">
        <v>3</v>
      </c>
      <c r="M1969" t="s">
        <v>184</v>
      </c>
      <c r="N1969" t="s">
        <v>312</v>
      </c>
      <c r="O1969" t="s">
        <v>309</v>
      </c>
      <c r="P1969" s="2" t="str">
        <f t="shared" si="90"/>
        <v>07/01/2026 to 12/01/2026</v>
      </c>
      <c r="Q1969" s="3">
        <v>46034</v>
      </c>
      <c r="R1969" t="str">
        <f t="shared" si="91"/>
        <v>On-Time</v>
      </c>
      <c r="S1969" t="s">
        <v>2492</v>
      </c>
      <c r="T1969">
        <v>29.5</v>
      </c>
      <c r="U1969" t="s">
        <v>79</v>
      </c>
      <c r="V1969" t="s">
        <v>66</v>
      </c>
      <c r="W1969" t="str">
        <f t="shared" ca="1" si="92"/>
        <v>Active</v>
      </c>
    </row>
    <row r="1970" spans="1:23" x14ac:dyDescent="0.2">
      <c r="A1970">
        <v>764</v>
      </c>
      <c r="B1970" t="s">
        <v>2485</v>
      </c>
      <c r="C1970" t="s">
        <v>2493</v>
      </c>
      <c r="D1970" s="1" t="s">
        <v>183</v>
      </c>
      <c r="E1970" t="s">
        <v>2487</v>
      </c>
      <c r="F1970" t="s">
        <v>553</v>
      </c>
      <c r="G1970" s="4" t="s">
        <v>5424</v>
      </c>
      <c r="H1970" t="s">
        <v>2488</v>
      </c>
      <c r="I1970" t="s">
        <v>59</v>
      </c>
      <c r="J1970" s="4" t="s">
        <v>60</v>
      </c>
      <c r="K1970" t="s">
        <v>12</v>
      </c>
      <c r="L1970">
        <v>1</v>
      </c>
      <c r="M1970" t="s">
        <v>183</v>
      </c>
      <c r="N1970" t="s">
        <v>1108</v>
      </c>
      <c r="O1970" t="s">
        <v>1108</v>
      </c>
      <c r="P1970" s="2" t="str">
        <f t="shared" si="90"/>
        <v>06/01/2026 to 09/01/2026</v>
      </c>
      <c r="Q1970" s="3">
        <v>46027</v>
      </c>
      <c r="R1970" t="str">
        <f t="shared" si="91"/>
        <v>Late</v>
      </c>
      <c r="S1970" t="s">
        <v>1503</v>
      </c>
      <c r="T1970">
        <v>9.5</v>
      </c>
      <c r="U1970" t="s">
        <v>65</v>
      </c>
      <c r="V1970" t="s">
        <v>66</v>
      </c>
      <c r="W1970" t="str">
        <f t="shared" ca="1" si="92"/>
        <v>Active</v>
      </c>
    </row>
    <row r="1971" spans="1:23" x14ac:dyDescent="0.2">
      <c r="A1971">
        <v>765</v>
      </c>
      <c r="B1971" t="s">
        <v>2485</v>
      </c>
      <c r="C1971" t="s">
        <v>2494</v>
      </c>
      <c r="D1971" s="1" t="s">
        <v>183</v>
      </c>
      <c r="E1971" t="s">
        <v>2487</v>
      </c>
      <c r="F1971" t="s">
        <v>553</v>
      </c>
      <c r="G1971" s="4" t="s">
        <v>38</v>
      </c>
      <c r="H1971" t="s">
        <v>2488</v>
      </c>
      <c r="I1971" t="s">
        <v>59</v>
      </c>
      <c r="J1971" s="4" t="s">
        <v>5417</v>
      </c>
      <c r="K1971" t="s">
        <v>2495</v>
      </c>
      <c r="L1971">
        <v>4</v>
      </c>
      <c r="M1971" t="s">
        <v>184</v>
      </c>
      <c r="N1971" t="s">
        <v>309</v>
      </c>
      <c r="O1971" t="s">
        <v>184</v>
      </c>
      <c r="P1971" s="2" t="str">
        <f t="shared" si="90"/>
        <v>07/01/2026 to 12/01/2026</v>
      </c>
      <c r="Q1971" s="3">
        <v>46028</v>
      </c>
      <c r="R1971" t="str">
        <f t="shared" si="91"/>
        <v>Late</v>
      </c>
      <c r="S1971" t="s">
        <v>2198</v>
      </c>
      <c r="T1971">
        <v>41</v>
      </c>
      <c r="U1971" t="s">
        <v>79</v>
      </c>
      <c r="V1971" t="s">
        <v>72</v>
      </c>
      <c r="W1971" t="str">
        <f t="shared" ca="1" si="92"/>
        <v>Active</v>
      </c>
    </row>
    <row r="1972" spans="1:23" x14ac:dyDescent="0.2">
      <c r="A1972">
        <v>801</v>
      </c>
      <c r="B1972" t="s">
        <v>2574</v>
      </c>
      <c r="C1972" t="s">
        <v>2575</v>
      </c>
      <c r="D1972" s="1" t="s">
        <v>183</v>
      </c>
      <c r="E1972" t="s">
        <v>2576</v>
      </c>
      <c r="F1972" t="s">
        <v>371</v>
      </c>
      <c r="G1972" s="4" t="s">
        <v>5423</v>
      </c>
      <c r="H1972" t="s">
        <v>2577</v>
      </c>
      <c r="I1972" t="s">
        <v>136</v>
      </c>
      <c r="J1972" s="4" t="s">
        <v>5417</v>
      </c>
      <c r="K1972" t="s">
        <v>2578</v>
      </c>
      <c r="L1972">
        <v>4</v>
      </c>
      <c r="M1972" t="s">
        <v>183</v>
      </c>
      <c r="N1972" t="s">
        <v>184</v>
      </c>
      <c r="O1972" t="s">
        <v>183</v>
      </c>
      <c r="P1972" s="2" t="str">
        <f t="shared" si="90"/>
        <v>06/01/2026 to 09/01/2026</v>
      </c>
      <c r="Q1972" s="3">
        <v>46026</v>
      </c>
      <c r="R1972" t="str">
        <f t="shared" si="91"/>
        <v>Late</v>
      </c>
      <c r="S1972" t="s">
        <v>1503</v>
      </c>
      <c r="T1972">
        <v>34.5</v>
      </c>
      <c r="U1972" t="s">
        <v>79</v>
      </c>
      <c r="V1972" t="s">
        <v>80</v>
      </c>
      <c r="W1972" t="str">
        <f t="shared" ca="1" si="92"/>
        <v>Active</v>
      </c>
    </row>
    <row r="1973" spans="1:23" x14ac:dyDescent="0.2">
      <c r="A1973">
        <v>802</v>
      </c>
      <c r="B1973" t="s">
        <v>2574</v>
      </c>
      <c r="C1973" t="s">
        <v>2579</v>
      </c>
      <c r="D1973" s="1" t="s">
        <v>183</v>
      </c>
      <c r="E1973" t="s">
        <v>2576</v>
      </c>
      <c r="F1973" t="s">
        <v>371</v>
      </c>
      <c r="G1973" s="4" t="s">
        <v>5424</v>
      </c>
      <c r="H1973" t="s">
        <v>2577</v>
      </c>
      <c r="I1973" t="s">
        <v>136</v>
      </c>
      <c r="J1973" s="4" t="s">
        <v>74</v>
      </c>
      <c r="K1973" t="s">
        <v>2580</v>
      </c>
      <c r="L1973">
        <v>3</v>
      </c>
      <c r="M1973" t="s">
        <v>184</v>
      </c>
      <c r="N1973" t="s">
        <v>312</v>
      </c>
      <c r="O1973" t="s">
        <v>184</v>
      </c>
      <c r="P1973" s="2" t="str">
        <f t="shared" si="90"/>
        <v>07/01/2026 to 12/01/2026</v>
      </c>
      <c r="Q1973" s="3">
        <v>46031</v>
      </c>
      <c r="R1973" t="str">
        <f t="shared" si="91"/>
        <v>On-Time</v>
      </c>
      <c r="S1973" t="s">
        <v>912</v>
      </c>
      <c r="T1973">
        <v>27.5</v>
      </c>
      <c r="U1973" t="s">
        <v>79</v>
      </c>
      <c r="V1973" t="s">
        <v>80</v>
      </c>
      <c r="W1973" t="str">
        <f t="shared" ca="1" si="92"/>
        <v>Active</v>
      </c>
    </row>
    <row r="1974" spans="1:23" x14ac:dyDescent="0.2">
      <c r="A1974">
        <v>803</v>
      </c>
      <c r="B1974" t="s">
        <v>2574</v>
      </c>
      <c r="C1974" t="s">
        <v>2581</v>
      </c>
      <c r="D1974" s="1" t="s">
        <v>183</v>
      </c>
      <c r="E1974" t="s">
        <v>2576</v>
      </c>
      <c r="F1974" t="s">
        <v>371</v>
      </c>
      <c r="G1974" s="4" t="s">
        <v>5419</v>
      </c>
      <c r="H1974" t="s">
        <v>2577</v>
      </c>
      <c r="I1974" t="s">
        <v>136</v>
      </c>
      <c r="J1974" s="4" t="s">
        <v>5417</v>
      </c>
      <c r="K1974" t="s">
        <v>2582</v>
      </c>
      <c r="L1974">
        <v>3</v>
      </c>
      <c r="M1974" t="s">
        <v>1108</v>
      </c>
      <c r="N1974" t="s">
        <v>184</v>
      </c>
      <c r="O1974" t="s">
        <v>184</v>
      </c>
      <c r="P1974" s="2" t="str">
        <f t="shared" si="90"/>
        <v>06/01/2026 to 09/01/2026</v>
      </c>
      <c r="Q1974" s="3">
        <v>46027</v>
      </c>
      <c r="R1974" t="str">
        <f t="shared" si="91"/>
        <v>Late</v>
      </c>
      <c r="S1974" t="s">
        <v>1500</v>
      </c>
      <c r="T1974">
        <v>27.5</v>
      </c>
      <c r="U1974" t="s">
        <v>65</v>
      </c>
      <c r="V1974" t="s">
        <v>66</v>
      </c>
      <c r="W1974" t="str">
        <f t="shared" ca="1" si="92"/>
        <v>Active</v>
      </c>
    </row>
    <row r="1975" spans="1:23" x14ac:dyDescent="0.2">
      <c r="A1975">
        <v>804</v>
      </c>
      <c r="B1975" t="s">
        <v>2574</v>
      </c>
      <c r="C1975" t="s">
        <v>2583</v>
      </c>
      <c r="D1975" s="1" t="s">
        <v>183</v>
      </c>
      <c r="E1975" t="s">
        <v>2576</v>
      </c>
      <c r="F1975" t="s">
        <v>371</v>
      </c>
      <c r="G1975" s="4" t="s">
        <v>5426</v>
      </c>
      <c r="H1975" t="s">
        <v>2577</v>
      </c>
      <c r="I1975" t="s">
        <v>136</v>
      </c>
      <c r="J1975" s="4" t="s">
        <v>74</v>
      </c>
      <c r="K1975" t="s">
        <v>2584</v>
      </c>
      <c r="L1975">
        <v>4</v>
      </c>
      <c r="M1975" t="s">
        <v>1108</v>
      </c>
      <c r="N1975" t="s">
        <v>184</v>
      </c>
      <c r="O1975" t="s">
        <v>312</v>
      </c>
      <c r="P1975" s="2" t="str">
        <f t="shared" si="90"/>
        <v>06/01/2026 to 09/01/2026</v>
      </c>
      <c r="Q1975" s="3">
        <v>46029</v>
      </c>
      <c r="R1975" t="str">
        <f t="shared" si="91"/>
        <v>On-Time</v>
      </c>
      <c r="S1975" t="s">
        <v>1505</v>
      </c>
      <c r="T1975">
        <v>38</v>
      </c>
      <c r="U1975" t="s">
        <v>79</v>
      </c>
      <c r="V1975" t="s">
        <v>80</v>
      </c>
      <c r="W1975" t="str">
        <f t="shared" ca="1" si="92"/>
        <v>Active</v>
      </c>
    </row>
    <row r="1976" spans="1:23" x14ac:dyDescent="0.2">
      <c r="A1976">
        <v>1340</v>
      </c>
      <c r="B1976" t="s">
        <v>3879</v>
      </c>
      <c r="C1976" t="s">
        <v>3880</v>
      </c>
      <c r="D1976" s="1" t="s">
        <v>183</v>
      </c>
      <c r="E1976" t="s">
        <v>3881</v>
      </c>
      <c r="F1976" t="s">
        <v>803</v>
      </c>
      <c r="G1976" s="4" t="s">
        <v>5422</v>
      </c>
      <c r="H1976" t="s">
        <v>3882</v>
      </c>
      <c r="I1976" t="s">
        <v>59</v>
      </c>
      <c r="J1976" s="4" t="s">
        <v>74</v>
      </c>
      <c r="K1976" t="s">
        <v>3883</v>
      </c>
      <c r="L1976">
        <v>4</v>
      </c>
      <c r="M1976" t="s">
        <v>183</v>
      </c>
      <c r="N1976" t="s">
        <v>184</v>
      </c>
      <c r="O1976" t="s">
        <v>183</v>
      </c>
      <c r="P1976" s="2" t="str">
        <f t="shared" si="90"/>
        <v>06/01/2026 to 09/01/2026</v>
      </c>
      <c r="Q1976" s="3">
        <v>46028</v>
      </c>
      <c r="R1976" t="str">
        <f t="shared" si="91"/>
        <v>On-Time</v>
      </c>
      <c r="S1976" t="s">
        <v>2198</v>
      </c>
      <c r="T1976">
        <v>37.5</v>
      </c>
      <c r="U1976" t="s">
        <v>65</v>
      </c>
      <c r="V1976" t="s">
        <v>80</v>
      </c>
      <c r="W1976" t="str">
        <f t="shared" ca="1" si="92"/>
        <v>Active</v>
      </c>
    </row>
    <row r="1977" spans="1:23" x14ac:dyDescent="0.2">
      <c r="A1977">
        <v>1341</v>
      </c>
      <c r="B1977" t="s">
        <v>3879</v>
      </c>
      <c r="C1977" t="s">
        <v>3884</v>
      </c>
      <c r="D1977" s="1" t="s">
        <v>183</v>
      </c>
      <c r="E1977" t="s">
        <v>3881</v>
      </c>
      <c r="F1977" t="s">
        <v>803</v>
      </c>
      <c r="G1977" s="4" t="s">
        <v>5419</v>
      </c>
      <c r="H1977" t="s">
        <v>3882</v>
      </c>
      <c r="I1977" t="s">
        <v>59</v>
      </c>
      <c r="J1977" s="4" t="s">
        <v>74</v>
      </c>
      <c r="K1977" t="s">
        <v>3885</v>
      </c>
      <c r="L1977">
        <v>3</v>
      </c>
      <c r="M1977" t="s">
        <v>1108</v>
      </c>
      <c r="N1977" t="s">
        <v>312</v>
      </c>
      <c r="O1977" t="s">
        <v>1108</v>
      </c>
      <c r="P1977" s="2" t="str">
        <f t="shared" si="90"/>
        <v>06/01/2026 to 09/01/2026</v>
      </c>
      <c r="Q1977" s="3">
        <v>46027</v>
      </c>
      <c r="R1977" t="str">
        <f t="shared" si="91"/>
        <v>Late</v>
      </c>
      <c r="S1977" t="s">
        <v>2198</v>
      </c>
      <c r="T1977">
        <v>27</v>
      </c>
      <c r="U1977" t="s">
        <v>79</v>
      </c>
      <c r="V1977" t="s">
        <v>66</v>
      </c>
      <c r="W1977" t="str">
        <f t="shared" ca="1" si="92"/>
        <v>Active</v>
      </c>
    </row>
    <row r="1978" spans="1:23" x14ac:dyDescent="0.2">
      <c r="A1978">
        <v>1342</v>
      </c>
      <c r="B1978" t="s">
        <v>3879</v>
      </c>
      <c r="C1978" t="s">
        <v>3886</v>
      </c>
      <c r="D1978" s="1" t="s">
        <v>183</v>
      </c>
      <c r="E1978" t="s">
        <v>3881</v>
      </c>
      <c r="F1978" t="s">
        <v>803</v>
      </c>
      <c r="G1978" s="4" t="s">
        <v>5421</v>
      </c>
      <c r="H1978" t="s">
        <v>3882</v>
      </c>
      <c r="I1978" t="s">
        <v>59</v>
      </c>
      <c r="J1978" s="4" t="s">
        <v>68</v>
      </c>
      <c r="K1978" t="s">
        <v>18</v>
      </c>
      <c r="L1978">
        <v>1</v>
      </c>
      <c r="M1978" t="s">
        <v>183</v>
      </c>
      <c r="N1978" t="s">
        <v>184</v>
      </c>
      <c r="O1978" t="s">
        <v>183</v>
      </c>
      <c r="P1978" s="2" t="str">
        <f t="shared" si="90"/>
        <v>06/01/2026 to 09/01/2026</v>
      </c>
      <c r="Q1978" s="3">
        <v>46025</v>
      </c>
      <c r="R1978" t="str">
        <f t="shared" si="91"/>
        <v>Late</v>
      </c>
      <c r="S1978" t="s">
        <v>1499</v>
      </c>
      <c r="T1978">
        <v>8.5</v>
      </c>
      <c r="U1978" t="s">
        <v>65</v>
      </c>
      <c r="V1978" t="s">
        <v>66</v>
      </c>
      <c r="W1978" t="str">
        <f t="shared" ca="1" si="92"/>
        <v>Active</v>
      </c>
    </row>
    <row r="1979" spans="1:23" x14ac:dyDescent="0.2">
      <c r="A1979">
        <v>192</v>
      </c>
      <c r="B1979" t="s">
        <v>907</v>
      </c>
      <c r="C1979" t="s">
        <v>908</v>
      </c>
      <c r="D1979" s="1" t="s">
        <v>184</v>
      </c>
      <c r="E1979" t="s">
        <v>909</v>
      </c>
      <c r="F1979" t="s">
        <v>910</v>
      </c>
      <c r="G1979" s="4" t="s">
        <v>38</v>
      </c>
      <c r="H1979" t="s">
        <v>210</v>
      </c>
      <c r="I1979" t="s">
        <v>93</v>
      </c>
      <c r="J1979" s="4" t="s">
        <v>60</v>
      </c>
      <c r="K1979" t="s">
        <v>911</v>
      </c>
      <c r="L1979">
        <v>3</v>
      </c>
      <c r="M1979" t="s">
        <v>184</v>
      </c>
      <c r="N1979" t="s">
        <v>312</v>
      </c>
      <c r="O1979" t="s">
        <v>309</v>
      </c>
      <c r="P1979" s="2" t="str">
        <f t="shared" si="90"/>
        <v>07/01/2026 to 12/01/2026</v>
      </c>
      <c r="Q1979" s="3">
        <v>46032</v>
      </c>
      <c r="R1979" t="str">
        <f t="shared" si="91"/>
        <v>On-Time</v>
      </c>
      <c r="S1979" t="s">
        <v>913</v>
      </c>
      <c r="T1979">
        <v>25</v>
      </c>
      <c r="U1979" t="s">
        <v>65</v>
      </c>
      <c r="V1979" t="s">
        <v>80</v>
      </c>
      <c r="W1979" t="str">
        <f t="shared" ca="1" si="92"/>
        <v>Active</v>
      </c>
    </row>
    <row r="1980" spans="1:23" x14ac:dyDescent="0.2">
      <c r="A1980">
        <v>818</v>
      </c>
      <c r="B1980" t="s">
        <v>2618</v>
      </c>
      <c r="C1980" t="s">
        <v>2619</v>
      </c>
      <c r="D1980" s="1" t="s">
        <v>184</v>
      </c>
      <c r="E1980" t="s">
        <v>2620</v>
      </c>
      <c r="F1980" t="s">
        <v>229</v>
      </c>
      <c r="G1980" s="4" t="s">
        <v>38</v>
      </c>
      <c r="H1980" t="s">
        <v>1330</v>
      </c>
      <c r="I1980" t="s">
        <v>112</v>
      </c>
      <c r="J1980" s="4" t="s">
        <v>5417</v>
      </c>
      <c r="K1980" t="s">
        <v>8</v>
      </c>
      <c r="L1980">
        <v>1</v>
      </c>
      <c r="M1980" t="s">
        <v>184</v>
      </c>
      <c r="N1980" t="s">
        <v>312</v>
      </c>
      <c r="O1980" t="s">
        <v>309</v>
      </c>
      <c r="P1980" s="2" t="str">
        <f t="shared" si="90"/>
        <v>07/01/2026 to 12/01/2026</v>
      </c>
      <c r="Q1980" s="3">
        <v>46035</v>
      </c>
      <c r="R1980" t="str">
        <f t="shared" si="91"/>
        <v>Late</v>
      </c>
      <c r="S1980" t="s">
        <v>2492</v>
      </c>
      <c r="T1980">
        <v>9</v>
      </c>
      <c r="U1980" t="s">
        <v>65</v>
      </c>
      <c r="V1980" t="s">
        <v>80</v>
      </c>
      <c r="W1980" t="str">
        <f t="shared" ca="1" si="92"/>
        <v>Active</v>
      </c>
    </row>
    <row r="1981" spans="1:23" x14ac:dyDescent="0.2">
      <c r="A1981">
        <v>819</v>
      </c>
      <c r="B1981" t="s">
        <v>2618</v>
      </c>
      <c r="C1981" t="s">
        <v>2622</v>
      </c>
      <c r="D1981" s="1" t="s">
        <v>184</v>
      </c>
      <c r="E1981" t="s">
        <v>2620</v>
      </c>
      <c r="F1981" t="s">
        <v>229</v>
      </c>
      <c r="G1981" s="4" t="s">
        <v>5425</v>
      </c>
      <c r="H1981" t="s">
        <v>1330</v>
      </c>
      <c r="I1981" t="s">
        <v>112</v>
      </c>
      <c r="J1981" s="4" t="s">
        <v>74</v>
      </c>
      <c r="K1981" t="s">
        <v>4</v>
      </c>
      <c r="L1981">
        <v>1</v>
      </c>
      <c r="M1981" t="s">
        <v>309</v>
      </c>
      <c r="N1981" t="s">
        <v>309</v>
      </c>
      <c r="O1981" t="s">
        <v>2623</v>
      </c>
      <c r="P1981" s="2" t="str">
        <f t="shared" si="90"/>
        <v>09/01/2026 to 14/01/2026</v>
      </c>
      <c r="Q1981" s="3">
        <v>46036</v>
      </c>
      <c r="R1981" t="str">
        <f t="shared" si="91"/>
        <v>On-Time</v>
      </c>
      <c r="S1981" t="s">
        <v>2492</v>
      </c>
      <c r="T1981">
        <v>8</v>
      </c>
      <c r="U1981" t="s">
        <v>65</v>
      </c>
      <c r="V1981" t="s">
        <v>66</v>
      </c>
      <c r="W1981" t="str">
        <f t="shared" ca="1" si="92"/>
        <v>Active</v>
      </c>
    </row>
    <row r="1982" spans="1:23" x14ac:dyDescent="0.2">
      <c r="A1982">
        <v>820</v>
      </c>
      <c r="B1982" t="s">
        <v>2618</v>
      </c>
      <c r="C1982" t="s">
        <v>2624</v>
      </c>
      <c r="D1982" s="1" t="s">
        <v>184</v>
      </c>
      <c r="E1982" t="s">
        <v>2620</v>
      </c>
      <c r="F1982" t="s">
        <v>229</v>
      </c>
      <c r="G1982" s="4" t="s">
        <v>5423</v>
      </c>
      <c r="H1982" t="s">
        <v>1330</v>
      </c>
      <c r="I1982" t="s">
        <v>112</v>
      </c>
      <c r="J1982" s="4" t="s">
        <v>74</v>
      </c>
      <c r="K1982" t="s">
        <v>454</v>
      </c>
      <c r="L1982">
        <v>2</v>
      </c>
      <c r="M1982" t="s">
        <v>184</v>
      </c>
      <c r="N1982" t="s">
        <v>184</v>
      </c>
      <c r="O1982" t="s">
        <v>312</v>
      </c>
      <c r="P1982" s="2" t="str">
        <f t="shared" si="90"/>
        <v>07/01/2026 to 12/01/2026</v>
      </c>
      <c r="Q1982" s="3">
        <v>46034</v>
      </c>
      <c r="R1982" t="str">
        <f t="shared" si="91"/>
        <v>On-Time</v>
      </c>
      <c r="S1982" t="s">
        <v>2492</v>
      </c>
      <c r="T1982">
        <v>22</v>
      </c>
      <c r="U1982" t="s">
        <v>65</v>
      </c>
      <c r="V1982" t="s">
        <v>72</v>
      </c>
      <c r="W1982" t="str">
        <f t="shared" ca="1" si="92"/>
        <v>Active</v>
      </c>
    </row>
    <row r="1983" spans="1:23" x14ac:dyDescent="0.2">
      <c r="A1983">
        <v>1463</v>
      </c>
      <c r="B1983" t="s">
        <v>4175</v>
      </c>
      <c r="C1983" t="s">
        <v>4176</v>
      </c>
      <c r="D1983" s="1" t="s">
        <v>184</v>
      </c>
      <c r="E1983" t="s">
        <v>4177</v>
      </c>
      <c r="F1983" t="s">
        <v>159</v>
      </c>
      <c r="G1983" s="4" t="s">
        <v>5422</v>
      </c>
      <c r="H1983" t="s">
        <v>1933</v>
      </c>
      <c r="I1983" t="s">
        <v>201</v>
      </c>
      <c r="J1983" s="4" t="s">
        <v>5417</v>
      </c>
      <c r="K1983" t="s">
        <v>2953</v>
      </c>
      <c r="L1983">
        <v>2</v>
      </c>
      <c r="M1983" t="s">
        <v>184</v>
      </c>
      <c r="N1983" t="s">
        <v>184</v>
      </c>
      <c r="O1983" t="s">
        <v>312</v>
      </c>
      <c r="P1983" s="2" t="str">
        <f t="shared" si="90"/>
        <v>07/01/2026 to 12/01/2026</v>
      </c>
      <c r="Q1983" s="3">
        <v>46033</v>
      </c>
      <c r="R1983" t="str">
        <f t="shared" si="91"/>
        <v>On-Time</v>
      </c>
      <c r="S1983" t="s">
        <v>2621</v>
      </c>
      <c r="T1983">
        <v>17.5</v>
      </c>
      <c r="U1983" t="s">
        <v>79</v>
      </c>
      <c r="V1983" t="s">
        <v>80</v>
      </c>
      <c r="W1983" t="str">
        <f t="shared" ca="1" si="92"/>
        <v>Active</v>
      </c>
    </row>
    <row r="1984" spans="1:23" x14ac:dyDescent="0.2">
      <c r="A1984">
        <v>1647</v>
      </c>
      <c r="B1984" t="s">
        <v>4612</v>
      </c>
      <c r="C1984" t="s">
        <v>4613</v>
      </c>
      <c r="D1984" s="1" t="s">
        <v>184</v>
      </c>
      <c r="E1984" t="s">
        <v>4614</v>
      </c>
      <c r="F1984" t="s">
        <v>1154</v>
      </c>
      <c r="G1984" s="4" t="s">
        <v>5420</v>
      </c>
      <c r="H1984" t="s">
        <v>787</v>
      </c>
      <c r="I1984" t="s">
        <v>136</v>
      </c>
      <c r="J1984" s="4" t="s">
        <v>60</v>
      </c>
      <c r="K1984" t="s">
        <v>934</v>
      </c>
      <c r="L1984">
        <v>2</v>
      </c>
      <c r="M1984" t="s">
        <v>184</v>
      </c>
      <c r="N1984" t="s">
        <v>184</v>
      </c>
      <c r="O1984" t="s">
        <v>184</v>
      </c>
      <c r="P1984" s="2" t="str">
        <f t="shared" si="90"/>
        <v>07/01/2026 to 12/01/2026</v>
      </c>
      <c r="Q1984" s="3">
        <v>46028</v>
      </c>
      <c r="R1984" t="str">
        <f t="shared" si="91"/>
        <v>Late</v>
      </c>
      <c r="S1984" t="s">
        <v>2198</v>
      </c>
      <c r="T1984">
        <v>18</v>
      </c>
      <c r="U1984" t="s">
        <v>65</v>
      </c>
      <c r="V1984" t="s">
        <v>72</v>
      </c>
      <c r="W1984" t="str">
        <f t="shared" ca="1" si="92"/>
        <v>Active</v>
      </c>
    </row>
    <row r="1985" spans="1:23" x14ac:dyDescent="0.2">
      <c r="A1985">
        <v>919</v>
      </c>
      <c r="B1985" t="s">
        <v>2861</v>
      </c>
      <c r="C1985" t="s">
        <v>2862</v>
      </c>
      <c r="D1985" s="1" t="s">
        <v>312</v>
      </c>
      <c r="E1985" t="s">
        <v>2863</v>
      </c>
      <c r="F1985" t="s">
        <v>741</v>
      </c>
      <c r="G1985" s="4" t="s">
        <v>5423</v>
      </c>
      <c r="H1985" t="s">
        <v>2864</v>
      </c>
      <c r="I1985" t="s">
        <v>201</v>
      </c>
      <c r="J1985" s="4" t="s">
        <v>5417</v>
      </c>
      <c r="K1985" t="s">
        <v>6</v>
      </c>
      <c r="L1985">
        <v>1</v>
      </c>
      <c r="M1985" t="s">
        <v>309</v>
      </c>
      <c r="N1985" t="s">
        <v>306</v>
      </c>
      <c r="O1985" t="s">
        <v>306</v>
      </c>
      <c r="P1985" s="2" t="str">
        <f t="shared" si="90"/>
        <v>09/01/2026 to 14/01/2026</v>
      </c>
      <c r="Q1985" s="3">
        <v>46032</v>
      </c>
      <c r="R1985" t="str">
        <f t="shared" si="91"/>
        <v>On-Time</v>
      </c>
      <c r="S1985" t="s">
        <v>2304</v>
      </c>
      <c r="T1985">
        <v>7.5</v>
      </c>
      <c r="U1985" t="s">
        <v>65</v>
      </c>
      <c r="V1985" t="s">
        <v>72</v>
      </c>
      <c r="W1985" t="str">
        <f t="shared" ca="1" si="92"/>
        <v>Active</v>
      </c>
    </row>
    <row r="1986" spans="1:23" x14ac:dyDescent="0.2">
      <c r="A1986">
        <v>920</v>
      </c>
      <c r="B1986" t="s">
        <v>2861</v>
      </c>
      <c r="C1986" t="s">
        <v>2865</v>
      </c>
      <c r="D1986" s="1" t="s">
        <v>312</v>
      </c>
      <c r="E1986" t="s">
        <v>2863</v>
      </c>
      <c r="F1986" t="s">
        <v>741</v>
      </c>
      <c r="G1986" s="4" t="s">
        <v>5425</v>
      </c>
      <c r="H1986" t="s">
        <v>2864</v>
      </c>
      <c r="I1986" t="s">
        <v>201</v>
      </c>
      <c r="J1986" s="4" t="s">
        <v>74</v>
      </c>
      <c r="K1986" t="s">
        <v>2866</v>
      </c>
      <c r="L1986">
        <v>4</v>
      </c>
      <c r="M1986" t="s">
        <v>312</v>
      </c>
      <c r="N1986" t="s">
        <v>309</v>
      </c>
      <c r="O1986" t="s">
        <v>309</v>
      </c>
      <c r="P1986" s="2" t="str">
        <f t="shared" ref="P1986:P2001" si="93">IF(ISBLANK(M1986), "", TEXT(WORKDAY(M1986, 7), "dd/mm/yyyy") &amp; " to " &amp; TEXT(WORKDAY(M1986, 10), "dd/mm/yyyy"))</f>
        <v>08/01/2026 to 13/01/2026</v>
      </c>
      <c r="Q1986" s="3">
        <v>46034</v>
      </c>
      <c r="R1986" t="str">
        <f t="shared" ref="R1986:R2049" si="94">IF(Q1986="","In Progress",
IF(AND(--Q1986&gt;=DATEVALUE(LEFT(P1986,10)),
       --Q1986&lt;=DATEVALUE(TRIM(MID(P1986,FIND("to",P1986)+3,10)))),
   "On-Time","Late"))</f>
        <v>On-Time</v>
      </c>
      <c r="S1986" t="s">
        <v>2492</v>
      </c>
      <c r="T1986">
        <v>38.5</v>
      </c>
      <c r="U1986" t="s">
        <v>79</v>
      </c>
      <c r="V1986" t="s">
        <v>66</v>
      </c>
      <c r="W1986" t="str">
        <f t="shared" ca="1" si="92"/>
        <v>Active</v>
      </c>
    </row>
    <row r="1987" spans="1:23" x14ac:dyDescent="0.2">
      <c r="A1987">
        <v>921</v>
      </c>
      <c r="B1987" t="s">
        <v>2861</v>
      </c>
      <c r="C1987" t="s">
        <v>2867</v>
      </c>
      <c r="D1987" s="1" t="s">
        <v>312</v>
      </c>
      <c r="E1987" t="s">
        <v>2863</v>
      </c>
      <c r="F1987" t="s">
        <v>741</v>
      </c>
      <c r="G1987" s="4" t="s">
        <v>5421</v>
      </c>
      <c r="H1987" t="s">
        <v>2864</v>
      </c>
      <c r="I1987" t="s">
        <v>201</v>
      </c>
      <c r="J1987" s="4" t="s">
        <v>60</v>
      </c>
      <c r="K1987" t="s">
        <v>2868</v>
      </c>
      <c r="L1987">
        <v>4</v>
      </c>
      <c r="M1987" t="s">
        <v>309</v>
      </c>
      <c r="N1987" t="s">
        <v>2623</v>
      </c>
      <c r="O1987" t="s">
        <v>309</v>
      </c>
      <c r="P1987" s="2" t="str">
        <f t="shared" si="93"/>
        <v>09/01/2026 to 14/01/2026</v>
      </c>
      <c r="Q1987" s="3">
        <v>46032</v>
      </c>
      <c r="R1987" t="str">
        <f t="shared" si="94"/>
        <v>On-Time</v>
      </c>
      <c r="S1987" t="s">
        <v>913</v>
      </c>
      <c r="T1987">
        <v>42</v>
      </c>
      <c r="U1987" t="s">
        <v>79</v>
      </c>
      <c r="V1987" t="s">
        <v>72</v>
      </c>
      <c r="W1987" t="str">
        <f t="shared" ref="W1987:W2001" ca="1" si="95">IF(D1987="","",
IF(TODAY()-D1987&lt;=120,"Active",
IF(TODAY()-D1987&lt;=210,"At Risk",
IF(TODAY()-D1987&lt;=395,"Dormant",
IF(TODAY()-D1987&lt;=730,"Inactive","Archived")))))</f>
        <v>Active</v>
      </c>
    </row>
    <row r="1988" spans="1:23" x14ac:dyDescent="0.2">
      <c r="A1988">
        <v>1171</v>
      </c>
      <c r="B1988" t="s">
        <v>3471</v>
      </c>
      <c r="C1988" t="s">
        <v>3472</v>
      </c>
      <c r="D1988" s="1" t="s">
        <v>312</v>
      </c>
      <c r="E1988" t="s">
        <v>3473</v>
      </c>
      <c r="F1988" t="s">
        <v>286</v>
      </c>
      <c r="G1988" s="4" t="s">
        <v>5423</v>
      </c>
      <c r="H1988" t="s">
        <v>3474</v>
      </c>
      <c r="I1988" t="s">
        <v>201</v>
      </c>
      <c r="J1988" s="4" t="s">
        <v>60</v>
      </c>
      <c r="K1988" t="s">
        <v>14</v>
      </c>
      <c r="L1988">
        <v>1</v>
      </c>
      <c r="M1988" t="s">
        <v>309</v>
      </c>
      <c r="N1988" t="s">
        <v>306</v>
      </c>
      <c r="O1988" t="s">
        <v>309</v>
      </c>
      <c r="P1988" s="2" t="str">
        <f t="shared" si="93"/>
        <v>09/01/2026 to 14/01/2026</v>
      </c>
      <c r="Q1988" s="3">
        <v>46035</v>
      </c>
      <c r="R1988" t="str">
        <f t="shared" si="94"/>
        <v>On-Time</v>
      </c>
      <c r="S1988" t="s">
        <v>2621</v>
      </c>
      <c r="T1988">
        <v>9.5</v>
      </c>
      <c r="U1988" t="s">
        <v>79</v>
      </c>
      <c r="V1988" t="s">
        <v>80</v>
      </c>
      <c r="W1988" t="str">
        <f t="shared" ca="1" si="95"/>
        <v>Active</v>
      </c>
    </row>
    <row r="1989" spans="1:23" x14ac:dyDescent="0.2">
      <c r="A1989">
        <v>1172</v>
      </c>
      <c r="B1989" t="s">
        <v>3471</v>
      </c>
      <c r="C1989" t="s">
        <v>3475</v>
      </c>
      <c r="D1989" s="1" t="s">
        <v>312</v>
      </c>
      <c r="E1989" t="s">
        <v>3473</v>
      </c>
      <c r="F1989" t="s">
        <v>286</v>
      </c>
      <c r="G1989" s="4" t="s">
        <v>5424</v>
      </c>
      <c r="H1989" t="s">
        <v>3474</v>
      </c>
      <c r="I1989" t="s">
        <v>201</v>
      </c>
      <c r="J1989" s="4" t="s">
        <v>5417</v>
      </c>
      <c r="K1989" t="s">
        <v>3476</v>
      </c>
      <c r="L1989">
        <v>4</v>
      </c>
      <c r="M1989" t="s">
        <v>312</v>
      </c>
      <c r="N1989" t="s">
        <v>309</v>
      </c>
      <c r="O1989" t="s">
        <v>312</v>
      </c>
      <c r="P1989" s="2" t="str">
        <f t="shared" si="93"/>
        <v>08/01/2026 to 13/01/2026</v>
      </c>
      <c r="Q1989" s="3">
        <v>46030</v>
      </c>
      <c r="R1989" t="str">
        <f t="shared" si="94"/>
        <v>On-Time</v>
      </c>
      <c r="S1989" t="s">
        <v>1505</v>
      </c>
      <c r="T1989">
        <v>37</v>
      </c>
      <c r="U1989" t="s">
        <v>79</v>
      </c>
      <c r="V1989" t="s">
        <v>72</v>
      </c>
      <c r="W1989" t="str">
        <f t="shared" ca="1" si="95"/>
        <v>Active</v>
      </c>
    </row>
    <row r="1990" spans="1:23" x14ac:dyDescent="0.2">
      <c r="A1990">
        <v>1173</v>
      </c>
      <c r="B1990" t="s">
        <v>3471</v>
      </c>
      <c r="C1990" t="s">
        <v>3477</v>
      </c>
      <c r="D1990" s="1" t="s">
        <v>312</v>
      </c>
      <c r="E1990" t="s">
        <v>3473</v>
      </c>
      <c r="F1990" t="s">
        <v>286</v>
      </c>
      <c r="G1990" s="4" t="s">
        <v>5426</v>
      </c>
      <c r="H1990" t="s">
        <v>3474</v>
      </c>
      <c r="I1990" t="s">
        <v>201</v>
      </c>
      <c r="J1990" s="4" t="s">
        <v>5417</v>
      </c>
      <c r="K1990" t="s">
        <v>3478</v>
      </c>
      <c r="L1990">
        <v>4</v>
      </c>
      <c r="M1990" t="s">
        <v>2623</v>
      </c>
      <c r="N1990" t="s">
        <v>1499</v>
      </c>
      <c r="O1990" t="s">
        <v>2623</v>
      </c>
      <c r="P1990" s="2" t="str">
        <f t="shared" si="93"/>
        <v>12/01/2026 to 15/01/2026</v>
      </c>
      <c r="Q1990" s="3">
        <v>46032</v>
      </c>
      <c r="R1990" t="str">
        <f t="shared" si="94"/>
        <v>Late</v>
      </c>
      <c r="S1990" t="s">
        <v>912</v>
      </c>
      <c r="T1990">
        <v>36</v>
      </c>
      <c r="U1990" t="s">
        <v>79</v>
      </c>
      <c r="V1990" t="s">
        <v>80</v>
      </c>
      <c r="W1990" t="str">
        <f t="shared" ca="1" si="95"/>
        <v>Active</v>
      </c>
    </row>
    <row r="1991" spans="1:23" x14ac:dyDescent="0.2">
      <c r="A1991">
        <v>1174</v>
      </c>
      <c r="B1991" t="s">
        <v>3471</v>
      </c>
      <c r="C1991" t="s">
        <v>3479</v>
      </c>
      <c r="D1991" s="1" t="s">
        <v>312</v>
      </c>
      <c r="E1991" t="s">
        <v>3473</v>
      </c>
      <c r="F1991" t="s">
        <v>286</v>
      </c>
      <c r="G1991" s="4" t="s">
        <v>5425</v>
      </c>
      <c r="H1991" t="s">
        <v>3474</v>
      </c>
      <c r="I1991" t="s">
        <v>201</v>
      </c>
      <c r="J1991" s="4" t="s">
        <v>68</v>
      </c>
      <c r="K1991" t="s">
        <v>3480</v>
      </c>
      <c r="L1991">
        <v>4</v>
      </c>
      <c r="M1991" t="s">
        <v>2623</v>
      </c>
      <c r="N1991" t="s">
        <v>2623</v>
      </c>
      <c r="O1991" t="s">
        <v>1499</v>
      </c>
      <c r="P1991" s="2" t="str">
        <f t="shared" si="93"/>
        <v>12/01/2026 to 15/01/2026</v>
      </c>
      <c r="Q1991" s="3">
        <v>46032</v>
      </c>
      <c r="R1991" t="str">
        <f t="shared" si="94"/>
        <v>Late</v>
      </c>
      <c r="S1991" t="s">
        <v>913</v>
      </c>
      <c r="T1991">
        <v>38</v>
      </c>
      <c r="U1991" t="s">
        <v>65</v>
      </c>
      <c r="V1991" t="s">
        <v>66</v>
      </c>
      <c r="W1991" t="str">
        <f t="shared" ca="1" si="95"/>
        <v>Active</v>
      </c>
    </row>
    <row r="1992" spans="1:23" x14ac:dyDescent="0.2">
      <c r="A1992">
        <v>1175</v>
      </c>
      <c r="B1992" t="s">
        <v>3471</v>
      </c>
      <c r="C1992" t="s">
        <v>3481</v>
      </c>
      <c r="D1992" s="1" t="s">
        <v>312</v>
      </c>
      <c r="E1992" t="s">
        <v>3473</v>
      </c>
      <c r="F1992" t="s">
        <v>286</v>
      </c>
      <c r="G1992" s="4" t="s">
        <v>5428</v>
      </c>
      <c r="H1992" t="s">
        <v>3474</v>
      </c>
      <c r="I1992" t="s">
        <v>201</v>
      </c>
      <c r="J1992" s="4" t="s">
        <v>5417</v>
      </c>
      <c r="K1992" t="s">
        <v>18</v>
      </c>
      <c r="L1992">
        <v>1</v>
      </c>
      <c r="M1992" t="s">
        <v>312</v>
      </c>
      <c r="N1992" t="s">
        <v>309</v>
      </c>
      <c r="O1992" t="s">
        <v>312</v>
      </c>
      <c r="P1992" s="2" t="str">
        <f t="shared" si="93"/>
        <v>08/01/2026 to 13/01/2026</v>
      </c>
      <c r="Q1992" s="3">
        <v>46033</v>
      </c>
      <c r="R1992" t="str">
        <f t="shared" si="94"/>
        <v>On-Time</v>
      </c>
      <c r="S1992" t="s">
        <v>913</v>
      </c>
      <c r="T1992">
        <v>8.5</v>
      </c>
      <c r="U1992" t="s">
        <v>65</v>
      </c>
      <c r="V1992" t="s">
        <v>72</v>
      </c>
      <c r="W1992" t="str">
        <f t="shared" ca="1" si="95"/>
        <v>Active</v>
      </c>
    </row>
    <row r="1993" spans="1:23" x14ac:dyDescent="0.2">
      <c r="A1993">
        <v>1118</v>
      </c>
      <c r="B1993" t="s">
        <v>3347</v>
      </c>
      <c r="C1993" t="s">
        <v>3348</v>
      </c>
      <c r="D1993" s="1" t="s">
        <v>309</v>
      </c>
      <c r="E1993" t="s">
        <v>3349</v>
      </c>
      <c r="F1993" t="s">
        <v>1154</v>
      </c>
      <c r="G1993" s="4" t="s">
        <v>5425</v>
      </c>
      <c r="H1993" t="s">
        <v>3350</v>
      </c>
      <c r="I1993" t="s">
        <v>136</v>
      </c>
      <c r="J1993" s="4" t="s">
        <v>74</v>
      </c>
      <c r="K1993" t="s">
        <v>3351</v>
      </c>
      <c r="L1993">
        <v>4</v>
      </c>
      <c r="M1993" t="s">
        <v>309</v>
      </c>
      <c r="N1993" t="s">
        <v>2623</v>
      </c>
      <c r="O1993" t="s">
        <v>2623</v>
      </c>
      <c r="P1993" s="2" t="str">
        <f t="shared" si="93"/>
        <v>09/01/2026 to 14/01/2026</v>
      </c>
      <c r="Q1993" s="3">
        <v>46036</v>
      </c>
      <c r="R1993" t="str">
        <f t="shared" si="94"/>
        <v>On-Time</v>
      </c>
      <c r="S1993" t="s">
        <v>3352</v>
      </c>
      <c r="T1993">
        <v>35</v>
      </c>
      <c r="U1993" t="s">
        <v>79</v>
      </c>
      <c r="V1993" t="s">
        <v>72</v>
      </c>
      <c r="W1993" t="str">
        <f t="shared" ca="1" si="95"/>
        <v>Active</v>
      </c>
    </row>
    <row r="1994" spans="1:23" x14ac:dyDescent="0.2">
      <c r="A1994">
        <v>1176</v>
      </c>
      <c r="B1994" t="s">
        <v>3482</v>
      </c>
      <c r="C1994" t="s">
        <v>3483</v>
      </c>
      <c r="D1994" s="1" t="s">
        <v>309</v>
      </c>
      <c r="E1994" t="s">
        <v>3484</v>
      </c>
      <c r="F1994" t="s">
        <v>1920</v>
      </c>
      <c r="G1994" s="4" t="s">
        <v>5423</v>
      </c>
      <c r="H1994" t="s">
        <v>3485</v>
      </c>
      <c r="I1994" t="s">
        <v>201</v>
      </c>
      <c r="J1994" s="4" t="s">
        <v>60</v>
      </c>
      <c r="K1994" t="s">
        <v>3486</v>
      </c>
      <c r="L1994">
        <v>4</v>
      </c>
      <c r="M1994" t="s">
        <v>306</v>
      </c>
      <c r="N1994" t="s">
        <v>317</v>
      </c>
      <c r="O1994" t="s">
        <v>317</v>
      </c>
      <c r="P1994" s="2" t="str">
        <f t="shared" si="93"/>
        <v>13/01/2026 to 16/01/2026</v>
      </c>
      <c r="Q1994" s="3">
        <v>46037</v>
      </c>
      <c r="R1994" t="str">
        <f t="shared" si="94"/>
        <v>On-Time</v>
      </c>
      <c r="S1994" t="s">
        <v>3487</v>
      </c>
      <c r="T1994">
        <v>34</v>
      </c>
      <c r="U1994" t="s">
        <v>79</v>
      </c>
      <c r="V1994" t="s">
        <v>72</v>
      </c>
      <c r="W1994" t="str">
        <f t="shared" ca="1" si="95"/>
        <v>Active</v>
      </c>
    </row>
    <row r="1995" spans="1:23" x14ac:dyDescent="0.2">
      <c r="A1995">
        <v>1177</v>
      </c>
      <c r="B1995" t="s">
        <v>3482</v>
      </c>
      <c r="C1995" t="s">
        <v>3488</v>
      </c>
      <c r="D1995" s="1" t="s">
        <v>309</v>
      </c>
      <c r="E1995" t="s">
        <v>3484</v>
      </c>
      <c r="F1995" t="s">
        <v>1920</v>
      </c>
      <c r="G1995" s="4" t="s">
        <v>5419</v>
      </c>
      <c r="H1995" t="s">
        <v>3485</v>
      </c>
      <c r="I1995" t="s">
        <v>201</v>
      </c>
      <c r="J1995" s="4" t="s">
        <v>68</v>
      </c>
      <c r="K1995" t="s">
        <v>3489</v>
      </c>
      <c r="L1995">
        <v>4</v>
      </c>
      <c r="M1995" t="s">
        <v>309</v>
      </c>
      <c r="N1995" t="s">
        <v>309</v>
      </c>
      <c r="O1995" t="s">
        <v>309</v>
      </c>
      <c r="P1995" s="2" t="str">
        <f t="shared" si="93"/>
        <v>09/01/2026 to 14/01/2026</v>
      </c>
      <c r="Q1995" s="3">
        <v>46029</v>
      </c>
      <c r="R1995" t="str">
        <f t="shared" si="94"/>
        <v>Late</v>
      </c>
      <c r="S1995" t="s">
        <v>2198</v>
      </c>
      <c r="T1995">
        <v>40.5</v>
      </c>
      <c r="U1995" t="s">
        <v>79</v>
      </c>
      <c r="V1995" t="s">
        <v>80</v>
      </c>
      <c r="W1995" t="str">
        <f t="shared" ca="1" si="95"/>
        <v>Active</v>
      </c>
    </row>
    <row r="1996" spans="1:23" x14ac:dyDescent="0.2">
      <c r="A1996">
        <v>1178</v>
      </c>
      <c r="B1996" t="s">
        <v>3482</v>
      </c>
      <c r="C1996" t="s">
        <v>3490</v>
      </c>
      <c r="D1996" s="1" t="s">
        <v>309</v>
      </c>
      <c r="E1996" t="s">
        <v>3484</v>
      </c>
      <c r="F1996" t="s">
        <v>1920</v>
      </c>
      <c r="G1996" s="4" t="s">
        <v>5423</v>
      </c>
      <c r="H1996" t="s">
        <v>3485</v>
      </c>
      <c r="I1996" t="s">
        <v>201</v>
      </c>
      <c r="J1996" s="4" t="s">
        <v>60</v>
      </c>
      <c r="K1996" t="s">
        <v>3170</v>
      </c>
      <c r="L1996">
        <v>2</v>
      </c>
      <c r="M1996" t="s">
        <v>309</v>
      </c>
      <c r="N1996" t="s">
        <v>309</v>
      </c>
      <c r="O1996" t="s">
        <v>306</v>
      </c>
      <c r="P1996" s="2" t="str">
        <f t="shared" si="93"/>
        <v>09/01/2026 to 14/01/2026</v>
      </c>
      <c r="Q1996" s="3">
        <v>46036</v>
      </c>
      <c r="R1996" t="str">
        <f t="shared" si="94"/>
        <v>On-Time</v>
      </c>
      <c r="S1996" t="s">
        <v>3487</v>
      </c>
      <c r="T1996">
        <v>21</v>
      </c>
      <c r="U1996" t="s">
        <v>79</v>
      </c>
      <c r="V1996" t="s">
        <v>80</v>
      </c>
      <c r="W1996" t="str">
        <f t="shared" ca="1" si="95"/>
        <v>Active</v>
      </c>
    </row>
    <row r="1997" spans="1:23" x14ac:dyDescent="0.2">
      <c r="A1997">
        <v>1224</v>
      </c>
      <c r="B1997" t="s">
        <v>3603</v>
      </c>
      <c r="C1997" t="s">
        <v>3604</v>
      </c>
      <c r="D1997" s="1" t="s">
        <v>309</v>
      </c>
      <c r="E1997" t="s">
        <v>3605</v>
      </c>
      <c r="F1997" t="s">
        <v>121</v>
      </c>
      <c r="G1997" s="4" t="s">
        <v>5420</v>
      </c>
      <c r="H1997" t="s">
        <v>3606</v>
      </c>
      <c r="I1997" t="s">
        <v>136</v>
      </c>
      <c r="J1997" s="4" t="s">
        <v>5417</v>
      </c>
      <c r="K1997" t="s">
        <v>18</v>
      </c>
      <c r="L1997">
        <v>1</v>
      </c>
      <c r="M1997" t="s">
        <v>306</v>
      </c>
      <c r="N1997" t="s">
        <v>306</v>
      </c>
      <c r="O1997" t="s">
        <v>306</v>
      </c>
      <c r="P1997" s="2" t="str">
        <f t="shared" si="93"/>
        <v>13/01/2026 to 16/01/2026</v>
      </c>
      <c r="Q1997" s="3">
        <v>46032</v>
      </c>
      <c r="R1997" t="str">
        <f t="shared" si="94"/>
        <v>Late</v>
      </c>
      <c r="S1997" t="s">
        <v>912</v>
      </c>
      <c r="T1997">
        <v>8.5</v>
      </c>
      <c r="U1997" t="s">
        <v>65</v>
      </c>
      <c r="V1997" t="s">
        <v>66</v>
      </c>
      <c r="W1997" t="str">
        <f t="shared" ca="1" si="95"/>
        <v>Active</v>
      </c>
    </row>
    <row r="1998" spans="1:23" x14ac:dyDescent="0.2">
      <c r="A1998">
        <v>1225</v>
      </c>
      <c r="B1998" t="s">
        <v>3603</v>
      </c>
      <c r="C1998" t="s">
        <v>3607</v>
      </c>
      <c r="D1998" s="1" t="s">
        <v>309</v>
      </c>
      <c r="E1998" t="s">
        <v>3605</v>
      </c>
      <c r="F1998" t="s">
        <v>121</v>
      </c>
      <c r="G1998" s="4" t="s">
        <v>5418</v>
      </c>
      <c r="H1998" t="s">
        <v>3606</v>
      </c>
      <c r="I1998" t="s">
        <v>136</v>
      </c>
      <c r="J1998" s="4" t="s">
        <v>68</v>
      </c>
      <c r="K1998" t="s">
        <v>10</v>
      </c>
      <c r="L1998">
        <v>1</v>
      </c>
      <c r="M1998" t="s">
        <v>309</v>
      </c>
      <c r="N1998" t="s">
        <v>309</v>
      </c>
      <c r="O1998" t="s">
        <v>309</v>
      </c>
      <c r="P1998" s="2" t="str">
        <f t="shared" si="93"/>
        <v>09/01/2026 to 14/01/2026</v>
      </c>
      <c r="Q1998" s="3">
        <v>46031</v>
      </c>
      <c r="R1998" t="str">
        <f t="shared" si="94"/>
        <v>On-Time</v>
      </c>
      <c r="S1998" t="s">
        <v>2304</v>
      </c>
      <c r="T1998">
        <v>10</v>
      </c>
      <c r="U1998" t="s">
        <v>65</v>
      </c>
      <c r="V1998" t="s">
        <v>66</v>
      </c>
      <c r="W1998" t="str">
        <f t="shared" ca="1" si="95"/>
        <v>Active</v>
      </c>
    </row>
    <row r="1999" spans="1:23" x14ac:dyDescent="0.2">
      <c r="A1999">
        <v>1226</v>
      </c>
      <c r="B1999" t="s">
        <v>3603</v>
      </c>
      <c r="C1999" t="s">
        <v>3608</v>
      </c>
      <c r="D1999" s="1" t="s">
        <v>309</v>
      </c>
      <c r="E1999" t="s">
        <v>3605</v>
      </c>
      <c r="F1999" t="s">
        <v>121</v>
      </c>
      <c r="G1999" s="4" t="s">
        <v>5428</v>
      </c>
      <c r="H1999" t="s">
        <v>3606</v>
      </c>
      <c r="I1999" t="s">
        <v>136</v>
      </c>
      <c r="J1999" s="4" t="s">
        <v>74</v>
      </c>
      <c r="K1999" t="s">
        <v>3609</v>
      </c>
      <c r="L1999">
        <v>4</v>
      </c>
      <c r="M1999" t="s">
        <v>306</v>
      </c>
      <c r="N1999" t="s">
        <v>1499</v>
      </c>
      <c r="O1999" t="s">
        <v>317</v>
      </c>
      <c r="P1999" s="2" t="str">
        <f t="shared" si="93"/>
        <v>13/01/2026 to 16/01/2026</v>
      </c>
      <c r="Q1999" s="3">
        <v>46036</v>
      </c>
      <c r="R1999" t="str">
        <f t="shared" si="94"/>
        <v>On-Time</v>
      </c>
      <c r="S1999" t="s">
        <v>2492</v>
      </c>
      <c r="T1999">
        <v>36.5</v>
      </c>
      <c r="U1999" t="s">
        <v>79</v>
      </c>
      <c r="V1999" t="s">
        <v>66</v>
      </c>
      <c r="W1999" t="str">
        <f t="shared" ca="1" si="95"/>
        <v>Active</v>
      </c>
    </row>
    <row r="2000" spans="1:23" x14ac:dyDescent="0.2">
      <c r="A2000">
        <v>1227</v>
      </c>
      <c r="B2000" t="s">
        <v>3603</v>
      </c>
      <c r="C2000" t="s">
        <v>3610</v>
      </c>
      <c r="D2000" s="1" t="s">
        <v>309</v>
      </c>
      <c r="E2000" t="s">
        <v>3605</v>
      </c>
      <c r="F2000" t="s">
        <v>121</v>
      </c>
      <c r="G2000" s="4" t="s">
        <v>5428</v>
      </c>
      <c r="H2000" t="s">
        <v>3606</v>
      </c>
      <c r="I2000" t="s">
        <v>136</v>
      </c>
      <c r="J2000" s="4" t="s">
        <v>68</v>
      </c>
      <c r="K2000" t="s">
        <v>4</v>
      </c>
      <c r="L2000">
        <v>1</v>
      </c>
      <c r="M2000" t="s">
        <v>306</v>
      </c>
      <c r="N2000" t="s">
        <v>306</v>
      </c>
      <c r="O2000" t="s">
        <v>306</v>
      </c>
      <c r="P2000" s="2" t="str">
        <f t="shared" si="93"/>
        <v>13/01/2026 to 16/01/2026</v>
      </c>
      <c r="Q2000" s="3">
        <v>46033</v>
      </c>
      <c r="R2000" t="str">
        <f t="shared" si="94"/>
        <v>Late</v>
      </c>
      <c r="S2000" t="s">
        <v>2621</v>
      </c>
      <c r="T2000">
        <v>8</v>
      </c>
      <c r="U2000" t="s">
        <v>79</v>
      </c>
      <c r="V2000" t="s">
        <v>72</v>
      </c>
      <c r="W2000" t="str">
        <f t="shared" ca="1" si="95"/>
        <v>Active</v>
      </c>
    </row>
    <row r="2001" spans="1:23" x14ac:dyDescent="0.2">
      <c r="A2001">
        <v>1228</v>
      </c>
      <c r="B2001" t="s">
        <v>3603</v>
      </c>
      <c r="C2001" t="s">
        <v>3611</v>
      </c>
      <c r="D2001" s="1" t="s">
        <v>309</v>
      </c>
      <c r="E2001" t="s">
        <v>3605</v>
      </c>
      <c r="F2001" t="s">
        <v>121</v>
      </c>
      <c r="G2001" s="4" t="s">
        <v>38</v>
      </c>
      <c r="H2001" t="s">
        <v>3606</v>
      </c>
      <c r="I2001" t="s">
        <v>136</v>
      </c>
      <c r="J2001" s="4" t="s">
        <v>68</v>
      </c>
      <c r="K2001" t="s">
        <v>1129</v>
      </c>
      <c r="L2001">
        <v>2</v>
      </c>
      <c r="M2001" t="s">
        <v>2623</v>
      </c>
      <c r="N2001" t="s">
        <v>2623</v>
      </c>
      <c r="O2001" t="s">
        <v>306</v>
      </c>
      <c r="P2001" s="2" t="str">
        <f t="shared" si="93"/>
        <v>12/01/2026 to 15/01/2026</v>
      </c>
      <c r="Q2001" s="3">
        <v>46032</v>
      </c>
      <c r="R2001" t="str">
        <f t="shared" si="94"/>
        <v>Late</v>
      </c>
      <c r="S2001" t="s">
        <v>912</v>
      </c>
      <c r="T2001">
        <v>17</v>
      </c>
      <c r="U2001" t="s">
        <v>79</v>
      </c>
      <c r="V2001" t="s">
        <v>80</v>
      </c>
      <c r="W2001" t="str">
        <f t="shared" ca="1" si="95"/>
        <v>Active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 Price List</vt:lpstr>
      <vt:lpstr>Service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 BELLYDAY</cp:lastModifiedBy>
  <dcterms:created xsi:type="dcterms:W3CDTF">2026-02-20T04:21:13Z</dcterms:created>
  <dcterms:modified xsi:type="dcterms:W3CDTF">2026-03-18T07:12:34Z</dcterms:modified>
</cp:coreProperties>
</file>